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"/>
    </mc:Choice>
  </mc:AlternateContent>
  <xr:revisionPtr revIDLastSave="0" documentId="13_ncr:1_{15E6B125-7D2A-427B-89F6-794286DB9FAC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5" r:id="rId5"/>
    <sheet name="STOWAGE" sheetId="6" r:id="rId6"/>
    <sheet name="PROTEST" sheetId="7" r:id="rId7"/>
    <sheet name="TAHLİYE FARK" sheetId="8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_xlnm.Print_Area" localSheetId="4">'MAIN ULAGE'!$A$2:$AD$45</definedName>
    <definedName name="_xlnm.Print_Area" localSheetId="10">PUMPAGE_LOG_DISCH!$A$1:$L$74</definedName>
    <definedName name="_xlnm.Print_Area" localSheetId="5">STOWAGE!$A$2:$Y$45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0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5" l="1"/>
  <c r="I41" i="5"/>
  <c r="AA36" i="5"/>
  <c r="AC32" i="5"/>
  <c r="AA17" i="5"/>
  <c r="AA32" i="5" s="1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14" i="5"/>
  <c r="AA15" i="5"/>
  <c r="AA16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14" i="5"/>
  <c r="U10" i="5"/>
  <c r="Z10" i="5"/>
  <c r="AA8" i="5"/>
  <c r="I8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14" i="5"/>
  <c r="Q15" i="5"/>
  <c r="Q36" i="5" s="1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14" i="5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3" i="4"/>
  <c r="L70" i="11"/>
  <c r="K70" i="11"/>
  <c r="J70" i="11"/>
  <c r="I70" i="11"/>
  <c r="H70" i="11"/>
  <c r="L69" i="11"/>
  <c r="K69" i="11"/>
  <c r="J69" i="11"/>
  <c r="I69" i="11"/>
  <c r="H69" i="11"/>
  <c r="L68" i="11"/>
  <c r="K68" i="11"/>
  <c r="J68" i="11"/>
  <c r="I68" i="11"/>
  <c r="H68" i="11"/>
  <c r="L67" i="11"/>
  <c r="K67" i="11"/>
  <c r="J67" i="11"/>
  <c r="I67" i="11"/>
  <c r="H67" i="11"/>
  <c r="L66" i="11"/>
  <c r="K66" i="11"/>
  <c r="J66" i="11"/>
  <c r="I66" i="11"/>
  <c r="H66" i="11"/>
  <c r="L65" i="11"/>
  <c r="K65" i="11"/>
  <c r="J65" i="11"/>
  <c r="I65" i="11"/>
  <c r="H65" i="11"/>
  <c r="L64" i="11"/>
  <c r="K64" i="11"/>
  <c r="J64" i="11"/>
  <c r="I64" i="11"/>
  <c r="H64" i="11"/>
  <c r="L63" i="11"/>
  <c r="K63" i="11"/>
  <c r="J63" i="11"/>
  <c r="I63" i="11"/>
  <c r="H63" i="11"/>
  <c r="L62" i="11"/>
  <c r="K62" i="11"/>
  <c r="J62" i="11"/>
  <c r="I62" i="11"/>
  <c r="H62" i="11"/>
  <c r="L61" i="11"/>
  <c r="K61" i="11"/>
  <c r="J61" i="11"/>
  <c r="I61" i="11"/>
  <c r="H61" i="11"/>
  <c r="L60" i="11"/>
  <c r="K60" i="11"/>
  <c r="J60" i="11"/>
  <c r="I60" i="11"/>
  <c r="H60" i="11"/>
  <c r="L59" i="11"/>
  <c r="K59" i="11"/>
  <c r="J59" i="11"/>
  <c r="I59" i="11"/>
  <c r="H59" i="11"/>
  <c r="L58" i="11"/>
  <c r="K58" i="11"/>
  <c r="J58" i="11"/>
  <c r="I58" i="11"/>
  <c r="H58" i="11"/>
  <c r="L57" i="11"/>
  <c r="K57" i="11"/>
  <c r="J57" i="11"/>
  <c r="I57" i="11"/>
  <c r="H57" i="11"/>
  <c r="L56" i="11"/>
  <c r="K56" i="11"/>
  <c r="J56" i="11"/>
  <c r="I56" i="11"/>
  <c r="H56" i="11"/>
  <c r="L55" i="11"/>
  <c r="K55" i="11"/>
  <c r="J55" i="11"/>
  <c r="I55" i="11"/>
  <c r="H55" i="11"/>
  <c r="L54" i="11"/>
  <c r="K54" i="11"/>
  <c r="J54" i="11"/>
  <c r="I54" i="11"/>
  <c r="H54" i="11"/>
  <c r="L53" i="11"/>
  <c r="K53" i="11"/>
  <c r="J53" i="11"/>
  <c r="I53" i="11"/>
  <c r="H53" i="11"/>
  <c r="L52" i="11"/>
  <c r="K52" i="11"/>
  <c r="J52" i="11"/>
  <c r="I52" i="11"/>
  <c r="H52" i="11"/>
  <c r="L51" i="11"/>
  <c r="K51" i="11"/>
  <c r="J51" i="11"/>
  <c r="I51" i="11"/>
  <c r="H51" i="11"/>
  <c r="L50" i="11"/>
  <c r="K50" i="11"/>
  <c r="J50" i="11"/>
  <c r="I50" i="11"/>
  <c r="H50" i="11"/>
  <c r="L49" i="11"/>
  <c r="K49" i="11"/>
  <c r="J49" i="11"/>
  <c r="I49" i="11"/>
  <c r="H49" i="11"/>
  <c r="L48" i="11"/>
  <c r="K48" i="11"/>
  <c r="J48" i="11"/>
  <c r="I48" i="11"/>
  <c r="H48" i="11"/>
  <c r="L47" i="11"/>
  <c r="K47" i="11"/>
  <c r="J47" i="11"/>
  <c r="I47" i="11"/>
  <c r="H47" i="11"/>
  <c r="L46" i="11"/>
  <c r="K46" i="11"/>
  <c r="J46" i="11"/>
  <c r="I46" i="11"/>
  <c r="H46" i="11"/>
  <c r="L45" i="11"/>
  <c r="K45" i="11"/>
  <c r="J45" i="11"/>
  <c r="I45" i="11"/>
  <c r="H45" i="11"/>
  <c r="L44" i="11"/>
  <c r="K44" i="11"/>
  <c r="J44" i="11"/>
  <c r="I44" i="11"/>
  <c r="H44" i="11"/>
  <c r="L43" i="11"/>
  <c r="K43" i="11"/>
  <c r="J43" i="11"/>
  <c r="I43" i="11"/>
  <c r="H43" i="11"/>
  <c r="L42" i="11"/>
  <c r="K42" i="11"/>
  <c r="J42" i="11"/>
  <c r="I42" i="11"/>
  <c r="H42" i="11"/>
  <c r="L41" i="11"/>
  <c r="K41" i="11"/>
  <c r="J41" i="11"/>
  <c r="I41" i="11"/>
  <c r="H41" i="11"/>
  <c r="L40" i="11"/>
  <c r="K40" i="11"/>
  <c r="J40" i="11"/>
  <c r="I40" i="11"/>
  <c r="H40" i="11"/>
  <c r="L39" i="11"/>
  <c r="K39" i="11"/>
  <c r="J39" i="11"/>
  <c r="I39" i="11"/>
  <c r="H39" i="11"/>
  <c r="L38" i="11"/>
  <c r="K38" i="11"/>
  <c r="J38" i="11"/>
  <c r="I38" i="11"/>
  <c r="H38" i="11"/>
  <c r="L37" i="11"/>
  <c r="K37" i="11"/>
  <c r="J37" i="11"/>
  <c r="I37" i="11"/>
  <c r="H37" i="11"/>
  <c r="L36" i="11"/>
  <c r="K36" i="11"/>
  <c r="J36" i="11"/>
  <c r="I36" i="11"/>
  <c r="H36" i="11"/>
  <c r="L35" i="11"/>
  <c r="K35" i="11"/>
  <c r="J35" i="11"/>
  <c r="I35" i="11"/>
  <c r="H35" i="11"/>
  <c r="L34" i="11"/>
  <c r="K34" i="11"/>
  <c r="J34" i="11"/>
  <c r="I34" i="11"/>
  <c r="H34" i="11"/>
  <c r="L33" i="11"/>
  <c r="K33" i="11"/>
  <c r="J33" i="11"/>
  <c r="I33" i="11"/>
  <c r="H33" i="11"/>
  <c r="L32" i="11"/>
  <c r="K32" i="11"/>
  <c r="J32" i="11"/>
  <c r="I32" i="11"/>
  <c r="H32" i="11"/>
  <c r="L31" i="11"/>
  <c r="K31" i="11"/>
  <c r="J31" i="11"/>
  <c r="I31" i="11"/>
  <c r="H31" i="11"/>
  <c r="L30" i="11"/>
  <c r="K30" i="11"/>
  <c r="J30" i="11"/>
  <c r="I30" i="11"/>
  <c r="H30" i="11"/>
  <c r="L29" i="11"/>
  <c r="K29" i="11"/>
  <c r="J29" i="11"/>
  <c r="I29" i="11"/>
  <c r="H29" i="11"/>
  <c r="L28" i="11"/>
  <c r="K28" i="11"/>
  <c r="J28" i="11"/>
  <c r="I28" i="11"/>
  <c r="H28" i="11"/>
  <c r="L27" i="11"/>
  <c r="K27" i="11"/>
  <c r="J27" i="11"/>
  <c r="I27" i="11"/>
  <c r="H27" i="11"/>
  <c r="L26" i="11"/>
  <c r="K26" i="11"/>
  <c r="J26" i="11"/>
  <c r="I26" i="11"/>
  <c r="H26" i="11"/>
  <c r="L25" i="11"/>
  <c r="K25" i="11"/>
  <c r="J25" i="11"/>
  <c r="I25" i="11"/>
  <c r="H25" i="11"/>
  <c r="L24" i="11"/>
  <c r="K24" i="11"/>
  <c r="J24" i="11"/>
  <c r="I24" i="11"/>
  <c r="H24" i="11"/>
  <c r="L23" i="11"/>
  <c r="K23" i="11"/>
  <c r="J23" i="11"/>
  <c r="I23" i="11"/>
  <c r="H23" i="11"/>
  <c r="L22" i="11"/>
  <c r="K22" i="11"/>
  <c r="J22" i="11"/>
  <c r="I22" i="11"/>
  <c r="H22" i="11"/>
  <c r="L21" i="11"/>
  <c r="K21" i="11"/>
  <c r="J21" i="11"/>
  <c r="I21" i="11"/>
  <c r="H21" i="11"/>
  <c r="L20" i="11"/>
  <c r="K20" i="11"/>
  <c r="J20" i="11"/>
  <c r="B20" i="11"/>
  <c r="J9" i="11"/>
  <c r="H9" i="11"/>
  <c r="E9" i="11"/>
  <c r="M20" i="8"/>
  <c r="N21" i="8" s="1"/>
  <c r="M19" i="8"/>
  <c r="M18" i="8"/>
  <c r="H14" i="8"/>
  <c r="I15" i="8" s="1"/>
  <c r="C14" i="8"/>
  <c r="D15" i="8" s="1"/>
  <c r="J11" i="8"/>
  <c r="E11" i="8"/>
  <c r="I7" i="8"/>
  <c r="H6" i="8"/>
  <c r="C6" i="8"/>
  <c r="D7" i="8" s="1"/>
  <c r="J3" i="8"/>
  <c r="E3" i="8"/>
  <c r="M5" i="8" s="1"/>
  <c r="H15" i="7"/>
  <c r="H16" i="7" s="1"/>
  <c r="H17" i="7" s="1"/>
  <c r="K4" i="7"/>
  <c r="K7" i="7" s="1"/>
  <c r="K8" i="7" s="1"/>
  <c r="K9" i="7" s="1"/>
  <c r="L37" i="6"/>
  <c r="H37" i="6"/>
  <c r="P36" i="6"/>
  <c r="J36" i="6"/>
  <c r="H36" i="6"/>
  <c r="T35" i="6"/>
  <c r="P35" i="6"/>
  <c r="S34" i="6"/>
  <c r="M34" i="6"/>
  <c r="E34" i="6"/>
  <c r="S33" i="6"/>
  <c r="E33" i="6"/>
  <c r="U27" i="6"/>
  <c r="V25" i="6"/>
  <c r="V24" i="6"/>
  <c r="P24" i="6"/>
  <c r="V23" i="6"/>
  <c r="R23" i="6"/>
  <c r="P23" i="6"/>
  <c r="U22" i="6"/>
  <c r="B17" i="6"/>
  <c r="J16" i="6"/>
  <c r="F16" i="6"/>
  <c r="D16" i="6"/>
  <c r="F13" i="6"/>
  <c r="D13" i="6"/>
  <c r="B13" i="6"/>
  <c r="J12" i="6"/>
  <c r="D10" i="6"/>
  <c r="D5" i="6"/>
  <c r="M36" i="5"/>
  <c r="K36" i="5"/>
  <c r="D36" i="5"/>
  <c r="X25" i="4"/>
  <c r="V25" i="4"/>
  <c r="F22" i="4"/>
  <c r="D22" i="4"/>
  <c r="F21" i="4"/>
  <c r="D21" i="4"/>
  <c r="R20" i="4"/>
  <c r="F36" i="6" s="1"/>
  <c r="Q20" i="4"/>
  <c r="P20" i="4"/>
  <c r="O20" i="4"/>
  <c r="N20" i="4"/>
  <c r="M20" i="4"/>
  <c r="L20" i="4"/>
  <c r="J20" i="4"/>
  <c r="I20" i="4"/>
  <c r="F38" i="6" s="1"/>
  <c r="H20" i="4"/>
  <c r="G20" i="4"/>
  <c r="F20" i="4"/>
  <c r="F35" i="6" s="1"/>
  <c r="D20" i="4"/>
  <c r="C20" i="4"/>
  <c r="B20" i="4"/>
  <c r="R19" i="4"/>
  <c r="Q19" i="4"/>
  <c r="P19" i="4"/>
  <c r="O19" i="4"/>
  <c r="N19" i="4"/>
  <c r="M19" i="4"/>
  <c r="L19" i="4"/>
  <c r="J19" i="4"/>
  <c r="I19" i="4"/>
  <c r="H19" i="4"/>
  <c r="G19" i="4"/>
  <c r="F19" i="4"/>
  <c r="D19" i="4"/>
  <c r="C19" i="4"/>
  <c r="B19" i="4"/>
  <c r="Y18" i="4"/>
  <c r="X18" i="4"/>
  <c r="W18" i="4"/>
  <c r="V18" i="4"/>
  <c r="U18" i="4"/>
  <c r="R18" i="4"/>
  <c r="Q18" i="4"/>
  <c r="P18" i="4"/>
  <c r="O18" i="4"/>
  <c r="N18" i="4"/>
  <c r="M18" i="4"/>
  <c r="L18" i="4"/>
  <c r="J18" i="4"/>
  <c r="I18" i="4"/>
  <c r="H18" i="4"/>
  <c r="G18" i="4"/>
  <c r="F18" i="4"/>
  <c r="H35" i="6" s="1"/>
  <c r="D18" i="4"/>
  <c r="G34" i="6" s="1"/>
  <c r="C18" i="4"/>
  <c r="G33" i="6" s="1"/>
  <c r="B18" i="4"/>
  <c r="Y17" i="4"/>
  <c r="X17" i="4"/>
  <c r="W17" i="4"/>
  <c r="V17" i="4"/>
  <c r="U17" i="4"/>
  <c r="R17" i="4"/>
  <c r="H24" i="6" s="1"/>
  <c r="Q17" i="4"/>
  <c r="P17" i="4"/>
  <c r="O17" i="4"/>
  <c r="N17" i="4"/>
  <c r="M17" i="4"/>
  <c r="L17" i="4"/>
  <c r="J17" i="4"/>
  <c r="H25" i="6" s="1"/>
  <c r="I17" i="4"/>
  <c r="H17" i="4"/>
  <c r="G17" i="4"/>
  <c r="F17" i="4"/>
  <c r="H23" i="6" s="1"/>
  <c r="D17" i="4"/>
  <c r="G22" i="6" s="1"/>
  <c r="C17" i="4"/>
  <c r="G27" i="6" s="1"/>
  <c r="B17" i="4"/>
  <c r="Y16" i="4"/>
  <c r="X16" i="4"/>
  <c r="W16" i="4"/>
  <c r="V16" i="4"/>
  <c r="U16" i="4"/>
  <c r="R16" i="4"/>
  <c r="Q16" i="4"/>
  <c r="P16" i="4"/>
  <c r="O16" i="4"/>
  <c r="N16" i="4"/>
  <c r="M16" i="4"/>
  <c r="L16" i="4"/>
  <c r="J16" i="4"/>
  <c r="I16" i="4"/>
  <c r="H16" i="4"/>
  <c r="G16" i="4"/>
  <c r="F16" i="4"/>
  <c r="D16" i="4"/>
  <c r="I34" i="6" s="1"/>
  <c r="C16" i="4"/>
  <c r="I33" i="6" s="1"/>
  <c r="B16" i="4"/>
  <c r="Y15" i="4"/>
  <c r="X15" i="4"/>
  <c r="W15" i="4"/>
  <c r="V15" i="4"/>
  <c r="U15" i="4"/>
  <c r="R15" i="4"/>
  <c r="J24" i="6" s="1"/>
  <c r="Q15" i="4"/>
  <c r="P15" i="4"/>
  <c r="O15" i="4"/>
  <c r="N15" i="4"/>
  <c r="M15" i="4"/>
  <c r="L15" i="4"/>
  <c r="J15" i="4"/>
  <c r="J25" i="6" s="1"/>
  <c r="I15" i="4"/>
  <c r="H15" i="4"/>
  <c r="G15" i="4"/>
  <c r="F15" i="4"/>
  <c r="J23" i="6" s="1"/>
  <c r="D15" i="4"/>
  <c r="I22" i="6" s="1"/>
  <c r="C15" i="4"/>
  <c r="I27" i="6" s="1"/>
  <c r="B15" i="4"/>
  <c r="Y14" i="4"/>
  <c r="X14" i="4"/>
  <c r="W14" i="4"/>
  <c r="V14" i="4"/>
  <c r="U14" i="4"/>
  <c r="R14" i="4"/>
  <c r="L36" i="6" s="1"/>
  <c r="Q14" i="4"/>
  <c r="P14" i="4"/>
  <c r="O14" i="4"/>
  <c r="N14" i="4"/>
  <c r="M14" i="4"/>
  <c r="L14" i="4"/>
  <c r="J14" i="4"/>
  <c r="I14" i="4"/>
  <c r="H14" i="4"/>
  <c r="G14" i="4"/>
  <c r="F14" i="4"/>
  <c r="D14" i="4"/>
  <c r="K34" i="6" s="1"/>
  <c r="C14" i="4"/>
  <c r="K33" i="6" s="1"/>
  <c r="B14" i="4"/>
  <c r="Y13" i="4"/>
  <c r="X13" i="4"/>
  <c r="W13" i="4"/>
  <c r="V13" i="4"/>
  <c r="U13" i="4"/>
  <c r="R13" i="4"/>
  <c r="L24" i="6" s="1"/>
  <c r="Q13" i="4"/>
  <c r="P13" i="4"/>
  <c r="O13" i="4"/>
  <c r="N13" i="4"/>
  <c r="M13" i="4"/>
  <c r="L13" i="4"/>
  <c r="J13" i="4"/>
  <c r="L25" i="6" s="1"/>
  <c r="I13" i="4"/>
  <c r="H13" i="4"/>
  <c r="G13" i="4"/>
  <c r="F13" i="4"/>
  <c r="L23" i="6" s="1"/>
  <c r="D13" i="4"/>
  <c r="K22" i="6" s="1"/>
  <c r="C13" i="4"/>
  <c r="K27" i="6" s="1"/>
  <c r="B13" i="4"/>
  <c r="Y12" i="4"/>
  <c r="X12" i="4"/>
  <c r="W12" i="4"/>
  <c r="V12" i="4"/>
  <c r="U12" i="4"/>
  <c r="R12" i="4"/>
  <c r="N36" i="6" s="1"/>
  <c r="Q12" i="4"/>
  <c r="P12" i="4"/>
  <c r="O12" i="4"/>
  <c r="N12" i="4"/>
  <c r="M12" i="4"/>
  <c r="L12" i="4"/>
  <c r="J12" i="4"/>
  <c r="I12" i="4"/>
  <c r="H12" i="4"/>
  <c r="G12" i="4"/>
  <c r="F12" i="4"/>
  <c r="N35" i="6" s="1"/>
  <c r="D12" i="4"/>
  <c r="C12" i="4"/>
  <c r="M33" i="6" s="1"/>
  <c r="B12" i="4"/>
  <c r="Y11" i="4"/>
  <c r="J18" i="6" s="1"/>
  <c r="X11" i="4"/>
  <c r="B18" i="6" s="1"/>
  <c r="W11" i="4"/>
  <c r="F18" i="6" s="1"/>
  <c r="V11" i="4"/>
  <c r="D18" i="6" s="1"/>
  <c r="U11" i="4"/>
  <c r="R11" i="4"/>
  <c r="N24" i="6" s="1"/>
  <c r="Q11" i="4"/>
  <c r="P11" i="4"/>
  <c r="O11" i="4"/>
  <c r="N11" i="4"/>
  <c r="M11" i="4"/>
  <c r="L11" i="4"/>
  <c r="J11" i="4"/>
  <c r="N25" i="6" s="1"/>
  <c r="I11" i="4"/>
  <c r="H11" i="4"/>
  <c r="G11" i="4"/>
  <c r="F11" i="4"/>
  <c r="N23" i="6" s="1"/>
  <c r="D11" i="4"/>
  <c r="M22" i="6" s="1"/>
  <c r="C11" i="4"/>
  <c r="M27" i="6" s="1"/>
  <c r="B11" i="4"/>
  <c r="Y10" i="4"/>
  <c r="J17" i="6" s="1"/>
  <c r="X10" i="4"/>
  <c r="W10" i="4"/>
  <c r="F17" i="6" s="1"/>
  <c r="V10" i="4"/>
  <c r="D17" i="6" s="1"/>
  <c r="U10" i="4"/>
  <c r="R10" i="4"/>
  <c r="Q10" i="4"/>
  <c r="P10" i="4"/>
  <c r="O10" i="4"/>
  <c r="N10" i="4"/>
  <c r="M10" i="4"/>
  <c r="L10" i="4"/>
  <c r="J10" i="4"/>
  <c r="P37" i="6" s="1"/>
  <c r="I10" i="4"/>
  <c r="H10" i="4"/>
  <c r="G10" i="4"/>
  <c r="F10" i="4"/>
  <c r="D10" i="4"/>
  <c r="O34" i="6" s="1"/>
  <c r="C10" i="4"/>
  <c r="O33" i="6" s="1"/>
  <c r="B10" i="4"/>
  <c r="Y9" i="4"/>
  <c r="X9" i="4"/>
  <c r="G12" i="7" s="1"/>
  <c r="W9" i="4"/>
  <c r="V9" i="4"/>
  <c r="U9" i="4"/>
  <c r="R9" i="4"/>
  <c r="Q9" i="4"/>
  <c r="P9" i="4"/>
  <c r="O9" i="4"/>
  <c r="N9" i="4"/>
  <c r="M9" i="4"/>
  <c r="L9" i="4"/>
  <c r="J9" i="4"/>
  <c r="I9" i="4"/>
  <c r="H9" i="4"/>
  <c r="G9" i="4"/>
  <c r="F9" i="4"/>
  <c r="D9" i="4"/>
  <c r="O22" i="6" s="1"/>
  <c r="C9" i="4"/>
  <c r="O27" i="6" s="1"/>
  <c r="B9" i="4"/>
  <c r="Y8" i="4"/>
  <c r="E15" i="7" s="1"/>
  <c r="X8" i="4"/>
  <c r="D12" i="7" s="1"/>
  <c r="W8" i="4"/>
  <c r="F15" i="6" s="1"/>
  <c r="V8" i="4"/>
  <c r="D15" i="6" s="1"/>
  <c r="U8" i="4"/>
  <c r="R8" i="4"/>
  <c r="R36" i="6" s="1"/>
  <c r="Q8" i="4"/>
  <c r="P8" i="4"/>
  <c r="O8" i="4"/>
  <c r="N8" i="4"/>
  <c r="M8" i="4"/>
  <c r="L8" i="4"/>
  <c r="J8" i="4"/>
  <c r="R37" i="6" s="1"/>
  <c r="I8" i="4"/>
  <c r="H8" i="4"/>
  <c r="G8" i="4"/>
  <c r="F8" i="4"/>
  <c r="D8" i="4"/>
  <c r="Q34" i="6" s="1"/>
  <c r="C8" i="4"/>
  <c r="Q33" i="6" s="1"/>
  <c r="B8" i="4"/>
  <c r="Y7" i="4"/>
  <c r="E15" i="11" s="1"/>
  <c r="X7" i="4"/>
  <c r="A12" i="7" s="1"/>
  <c r="W7" i="4"/>
  <c r="F14" i="6" s="1"/>
  <c r="V7" i="4"/>
  <c r="C15" i="11" s="1"/>
  <c r="U7" i="4"/>
  <c r="R7" i="4"/>
  <c r="R24" i="6" s="1"/>
  <c r="Q7" i="4"/>
  <c r="P7" i="4"/>
  <c r="O7" i="4"/>
  <c r="N7" i="4"/>
  <c r="M7" i="4"/>
  <c r="L7" i="4"/>
  <c r="J7" i="4"/>
  <c r="I7" i="4"/>
  <c r="H7" i="4"/>
  <c r="G7" i="4"/>
  <c r="F7" i="4"/>
  <c r="D7" i="4"/>
  <c r="Q22" i="6" s="1"/>
  <c r="C7" i="4"/>
  <c r="Q27" i="6" s="1"/>
  <c r="B7" i="4"/>
  <c r="Y6" i="4"/>
  <c r="J13" i="6" s="1"/>
  <c r="X6" i="4"/>
  <c r="J1" i="7" s="1"/>
  <c r="W6" i="4"/>
  <c r="V6" i="4"/>
  <c r="C14" i="11" s="1"/>
  <c r="U6" i="4"/>
  <c r="R6" i="4"/>
  <c r="T36" i="6" s="1"/>
  <c r="Q6" i="4"/>
  <c r="P6" i="4"/>
  <c r="O6" i="4"/>
  <c r="N6" i="4"/>
  <c r="M6" i="4"/>
  <c r="L6" i="4"/>
  <c r="J6" i="4"/>
  <c r="I6" i="4"/>
  <c r="H6" i="4"/>
  <c r="G6" i="4"/>
  <c r="F6" i="4"/>
  <c r="D6" i="4"/>
  <c r="C6" i="4"/>
  <c r="B6" i="4"/>
  <c r="Y5" i="4"/>
  <c r="E13" i="11" s="1"/>
  <c r="X5" i="4"/>
  <c r="G1" i="7" s="1"/>
  <c r="W5" i="4"/>
  <c r="F12" i="6" s="1"/>
  <c r="V5" i="4"/>
  <c r="C13" i="11" s="1"/>
  <c r="U5" i="4"/>
  <c r="R5" i="4"/>
  <c r="T24" i="6" s="1"/>
  <c r="Q5" i="4"/>
  <c r="R21" i="4" s="1"/>
  <c r="P5" i="4"/>
  <c r="O5" i="4"/>
  <c r="N5" i="4"/>
  <c r="M5" i="4"/>
  <c r="L5" i="4"/>
  <c r="J5" i="4"/>
  <c r="T25" i="6" s="1"/>
  <c r="I5" i="4"/>
  <c r="H5" i="4"/>
  <c r="G5" i="4"/>
  <c r="F5" i="4"/>
  <c r="D5" i="4"/>
  <c r="S22" i="6" s="1"/>
  <c r="C5" i="4"/>
  <c r="S27" i="6" s="1"/>
  <c r="B5" i="4"/>
  <c r="Y4" i="4"/>
  <c r="E4" i="7" s="1"/>
  <c r="X4" i="4"/>
  <c r="D1" i="7" s="1"/>
  <c r="W4" i="4"/>
  <c r="F11" i="6" s="1"/>
  <c r="V4" i="4"/>
  <c r="C12" i="11" s="1"/>
  <c r="U4" i="4"/>
  <c r="R4" i="4"/>
  <c r="V36" i="6" s="1"/>
  <c r="Q4" i="4"/>
  <c r="P4" i="4"/>
  <c r="O4" i="4"/>
  <c r="N4" i="4"/>
  <c r="M4" i="4"/>
  <c r="L4" i="4"/>
  <c r="J4" i="4"/>
  <c r="V37" i="6" s="1"/>
  <c r="I4" i="4"/>
  <c r="H4" i="4"/>
  <c r="G4" i="4"/>
  <c r="F4" i="4"/>
  <c r="D4" i="4"/>
  <c r="U34" i="6" s="1"/>
  <c r="C4" i="4"/>
  <c r="U33" i="6" s="1"/>
  <c r="B4" i="4"/>
  <c r="Y3" i="4"/>
  <c r="B4" i="7" s="1"/>
  <c r="X3" i="4"/>
  <c r="B10" i="6" s="1"/>
  <c r="W3" i="4"/>
  <c r="F10" i="6" s="1"/>
  <c r="V3" i="4"/>
  <c r="C11" i="11" s="1"/>
  <c r="U3" i="4"/>
  <c r="R3" i="4"/>
  <c r="Q3" i="4"/>
  <c r="P3" i="4"/>
  <c r="O3" i="4"/>
  <c r="N3" i="4"/>
  <c r="M3" i="4"/>
  <c r="L3" i="4"/>
  <c r="L21" i="4" s="1"/>
  <c r="J3" i="4"/>
  <c r="J21" i="4" s="1"/>
  <c r="I3" i="4"/>
  <c r="H3" i="4"/>
  <c r="G3" i="4"/>
  <c r="F3" i="4"/>
  <c r="D3" i="4"/>
  <c r="C3" i="4"/>
  <c r="B3" i="4"/>
  <c r="B7" i="7" l="1"/>
  <c r="B8" i="7" s="1"/>
  <c r="B9" i="7" s="1"/>
  <c r="B5" i="7"/>
  <c r="B6" i="7" s="1"/>
  <c r="E7" i="7"/>
  <c r="E8" i="7" s="1"/>
  <c r="E9" i="7" s="1"/>
  <c r="E5" i="7"/>
  <c r="E6" i="7" s="1"/>
  <c r="M32" i="5"/>
  <c r="O36" i="5" s="1"/>
  <c r="S32" i="5"/>
  <c r="S36" i="5" s="1"/>
  <c r="E16" i="7"/>
  <c r="E17" i="7" s="1"/>
  <c r="E18" i="7"/>
  <c r="E19" i="7" s="1"/>
  <c r="E20" i="7" s="1"/>
  <c r="B14" i="6"/>
  <c r="P25" i="6"/>
  <c r="J35" i="6"/>
  <c r="F37" i="6"/>
  <c r="H4" i="7"/>
  <c r="J10" i="6"/>
  <c r="D14" i="6"/>
  <c r="R25" i="6"/>
  <c r="L35" i="6"/>
  <c r="H20" i="11"/>
  <c r="I20" i="11" s="1"/>
  <c r="R10" i="6"/>
  <c r="T23" i="6"/>
  <c r="J37" i="6"/>
  <c r="D11" i="6"/>
  <c r="B15" i="6"/>
  <c r="R35" i="6"/>
  <c r="N37" i="6"/>
  <c r="H18" i="7"/>
  <c r="H19" i="7" s="1"/>
  <c r="H20" i="7" s="1"/>
  <c r="B11" i="6"/>
  <c r="J14" i="6"/>
  <c r="K5" i="7"/>
  <c r="K6" i="7" s="1"/>
  <c r="J11" i="6"/>
  <c r="V35" i="6"/>
  <c r="R11" i="6"/>
  <c r="J15" i="6"/>
  <c r="T37" i="6"/>
  <c r="M12" i="8"/>
  <c r="E11" i="11"/>
  <c r="G32" i="5"/>
  <c r="I36" i="5" s="1"/>
  <c r="B12" i="6"/>
  <c r="B16" i="6"/>
  <c r="M13" i="8"/>
  <c r="D12" i="6"/>
  <c r="B15" i="7"/>
  <c r="E12" i="11"/>
  <c r="A1" i="7"/>
  <c r="P21" i="4"/>
  <c r="M4" i="8"/>
  <c r="M6" i="8" s="1"/>
  <c r="N7" i="8" s="1"/>
  <c r="E14" i="11"/>
  <c r="R22" i="4"/>
  <c r="W36" i="5" l="1"/>
  <c r="B16" i="7"/>
  <c r="B17" i="7" s="1"/>
  <c r="B18" i="7"/>
  <c r="B19" i="7" s="1"/>
  <c r="B20" i="7" s="1"/>
  <c r="M14" i="8"/>
  <c r="N15" i="8" s="1"/>
  <c r="H7" i="7"/>
  <c r="H8" i="7" s="1"/>
  <c r="H9" i="7" s="1"/>
  <c r="H5" i="7"/>
  <c r="H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<sst xmlns="http://schemas.openxmlformats.org/spreadsheetml/2006/main" count="713" uniqueCount="275">
  <si>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</si>
  <si>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</si>
  <si>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</si>
  <si>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</si>
  <si>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</si>
  <si>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</si>
  <si>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</si>
  <si>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</si>
  <si>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</si>
  <si>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</si>
  <si>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</si>
  <si>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</si>
  <si>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</si>
  <si>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</si>
  <si>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</si>
  <si>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</si>
  <si>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</si>
  <si>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</si>
  <si>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</si>
  <si>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TANK_ID_END</t>
  </si>
  <si>
    <t>1P</t>
  </si>
  <si>
    <t>4</t>
  </si>
  <si>
    <t>KBZ</t>
  </si>
  <si>
    <t>ANTALYA OPET</t>
  </si>
  <si>
    <t>1S</t>
  </si>
  <si>
    <t>1</t>
  </si>
  <si>
    <t>MERSİN TÜPRAŞ</t>
  </si>
  <si>
    <t>2P</t>
  </si>
  <si>
    <t>8</t>
  </si>
  <si>
    <t>MOTORİN</t>
  </si>
  <si>
    <t>2S</t>
  </si>
  <si>
    <t>6</t>
  </si>
  <si>
    <t>ANTALYA POAS</t>
  </si>
  <si>
    <t>3P</t>
  </si>
  <si>
    <t>2</t>
  </si>
  <si>
    <t>MERSİN SHELL</t>
  </si>
  <si>
    <t>3S</t>
  </si>
  <si>
    <t>4P</t>
  </si>
  <si>
    <t>4S</t>
  </si>
  <si>
    <t>5P</t>
  </si>
  <si>
    <t>3</t>
  </si>
  <si>
    <t>MERSİN POAŞ</t>
  </si>
  <si>
    <t>5S</t>
  </si>
  <si>
    <t>6P</t>
  </si>
  <si>
    <t>5</t>
  </si>
  <si>
    <t>ANTALYA SHELL</t>
  </si>
  <si>
    <t>6S</t>
  </si>
  <si>
    <t>7P</t>
  </si>
  <si>
    <t>7S</t>
  </si>
  <si>
    <t>8P</t>
  </si>
  <si>
    <t>9</t>
  </si>
  <si>
    <t>JET</t>
  </si>
  <si>
    <t>ANTALYA TUPRAS</t>
  </si>
  <si>
    <t>8S</t>
  </si>
  <si>
    <t>SlopP</t>
  </si>
  <si>
    <t>0</t>
  </si>
  <si>
    <t>SLOP</t>
  </si>
  <si>
    <t>SlopS</t>
  </si>
  <si>
    <t>PARCEL_NO</t>
  </si>
  <si>
    <t>VAC_DENSITY</t>
  </si>
  <si>
    <t>COLOR</t>
  </si>
  <si>
    <t>#EF4444</t>
  </si>
  <si>
    <t>#aaff00</t>
  </si>
  <si>
    <t>#8b4600</t>
  </si>
  <si>
    <t>#ffff7f</t>
  </si>
  <si>
    <t>#0c8a60</t>
  </si>
  <si>
    <t>#F59E0B</t>
  </si>
  <si>
    <t>#6040ac</t>
  </si>
  <si>
    <t>#00007f</t>
  </si>
  <si>
    <t>#9CA3AF</t>
  </si>
  <si>
    <t>LOADING_PORT</t>
  </si>
  <si>
    <t>ALİAĞA</t>
  </si>
  <si>
    <t>LOADING_TERMINAL</t>
  </si>
  <si>
    <t>TÜPRAŞ</t>
  </si>
  <si>
    <t>VOYAGE_NO</t>
  </si>
  <si>
    <t>01-26</t>
  </si>
  <si>
    <t>DATE</t>
  </si>
  <si>
    <t>26-12-2025</t>
  </si>
  <si>
    <t>VEF</t>
  </si>
  <si>
    <t>DRAFT_AFT</t>
  </si>
  <si>
    <t>DRAFT_FWD</t>
  </si>
  <si>
    <t>CHIEF_OFFICER</t>
  </si>
  <si>
    <t>Harun Kurtuluş</t>
  </si>
  <si>
    <t>MASTER</t>
  </si>
  <si>
    <t>Akın Arıdıcı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</si>
  <si>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</si>
  <si>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</si>
  <si>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</si>
  <si>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</si>
  <si>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</si>
  <si>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</si>
  <si>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</si>
  <si>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</si>
  <si>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</si>
  <si>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</si>
  <si>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</si>
  <si>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</si>
  <si>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</si>
  <si>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</si>
  <si>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</si>
  <si>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</si>
  <si>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</si>
  <si>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</si>
  <si>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</si>
  <si>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</si>
  <si>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</si>
  <si>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</si>
  <si>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</si>
  <si>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AFT DRAFT</t>
  </si>
  <si>
    <t>FWD DRAFT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</si>
  <si>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</si>
  <si>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</si>
  <si>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</si>
  <si>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</si>
  <si>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</si>
  <si>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</si>
  <si>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</si>
  <si>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</si>
  <si>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</si>
  <si>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</si>
  <si>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</si>
  <si>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</si>
  <si>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</si>
  <si>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</si>
  <si>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</si>
  <si>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</si>
  <si>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</si>
  <si>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</si>
  <si>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</si>
  <si>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</si>
  <si>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Draft Fwd</t>
  </si>
  <si>
    <t>Draft Aft</t>
  </si>
  <si>
    <t>Tanks</t>
  </si>
  <si>
    <t>Ullage (mm)</t>
  </si>
  <si>
    <t>Free water</t>
  </si>
  <si>
    <t>Temperature</t>
  </si>
  <si>
    <t>Density</t>
  </si>
  <si>
    <t>Actual</t>
  </si>
  <si>
    <t>Corrected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</si>
  <si>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</si>
  <si>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</si>
  <si>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</si>
  <si>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</si>
  <si>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</si>
  <si>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</si>
  <si>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</si>
  <si>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</si>
  <si>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</si>
  <si>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</si>
  <si>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</si>
  <si>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</si>
  <si>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</si>
  <si>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</si>
  <si>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</si>
  <si>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</si>
  <si>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</si>
  <si>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</si>
  <si>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SLOP S</t>
  </si>
  <si>
    <t>MMC No</t>
  </si>
  <si>
    <t>Product</t>
  </si>
  <si>
    <t>Density Vacuum</t>
  </si>
  <si>
    <t>Free Water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</si>
  <si>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</si>
  <si>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</si>
  <si>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</si>
  <si>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</si>
  <si>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</si>
  <si>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</si>
  <si>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</si>
  <si>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</si>
  <si>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</si>
  <si>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</si>
  <si>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</si>
  <si>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</si>
  <si>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</si>
  <si>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</si>
  <si>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</si>
  <si>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</si>
  <si>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</si>
  <si>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</si>
  <si>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</si>
  <si>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</si>
  <si>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</si>
  <si>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</si>
  <si>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</si>
  <si>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</si>
  <si>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</si>
  <si>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</si>
  <si>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</si>
  <si>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</si>
  <si>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</si>
  <si>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</si>
  <si>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</si>
  <si>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</si>
  <si>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%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</si>
  <si>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</si>
  <si>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</si>
  <si>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</si>
  <si>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</si>
  <si>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</si>
  <si>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</si>
  <si>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</si>
  <si>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</si>
  <si>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</si>
  <si>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</si>
  <si>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</si>
  <si>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</si>
  <si>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</si>
  <si>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</si>
  <si>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</si>
  <si>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</si>
  <si>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</si>
  <si>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</si>
  <si>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</si>
  <si>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</si>
  <si>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</si>
  <si>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</si>
  <si>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</si>
  <si>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</si>
  <si>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</si>
  <si>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FACT</t>
  </si>
  <si>
    <t>0,999S02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</si>
  <si>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</si>
  <si>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</si>
  <si>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</si>
  <si>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</si>
  <si>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</si>
  <si>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</si>
  <si>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</si>
  <si>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</si>
  <si>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COT3P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</si>
  <si>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</si>
  <si>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</si>
  <si>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</si>
  <si>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</si>
  <si>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</si>
  <si>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</si>
  <si>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</si>
  <si>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</si>
  <si>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</si>
  <si>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</si>
  <si>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</si>
  <si>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</si>
  <si>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</si>
  <si>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</si>
  <si>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</si>
  <si>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</si>
  <si>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</si>
  <si>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</si>
  <si>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</si>
  <si>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</si>
  <si>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</si>
  <si>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</si>
  <si>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</si>
  <si>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</si>
  <si>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</si>
  <si>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</si>
  <si>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</si>
  <si>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</si>
  <si>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</si>
  <si>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</si>
  <si>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</si>
  <si>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</si>
  <si>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</si>
  <si>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</si>
  <si>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</si>
  <si>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</si>
  <si>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</si>
  <si>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</si>
  <si>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</si>
  <si>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</si>
  <si>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</si>
  <si>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</si>
  <si>
    <t>Weight Vacuum</t>
  </si>
  <si>
    <t>Weight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</si>
</sst>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58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0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1" borderId="8" xfId="0" applyNumberFormat="1" applyFont="1" applyFill="1" applyBorder="1" applyAlignment="1">
      <alignment horizontal="right" vertical="center"/>
    </xf>
    <xf numFmtId="0" fontId="85" fillId="21" borderId="8" xfId="0" applyFont="1" applyFill="1" applyBorder="1" applyAlignment="1">
      <alignment vertical="center"/>
    </xf>
    <xf numFmtId="0" fontId="86" fillId="21" borderId="8" xfId="0" applyFont="1" applyFill="1" applyBorder="1" applyAlignment="1">
      <alignment horizontal="center" vertical="center"/>
    </xf>
    <xf numFmtId="0" fontId="87" fillId="21" borderId="8" xfId="0" applyFont="1" applyFill="1" applyBorder="1" applyAlignment="1">
      <alignment vertical="center"/>
    </xf>
    <xf numFmtId="164" fontId="87" fillId="21" borderId="8" xfId="0" applyNumberFormat="1" applyFont="1" applyFill="1" applyBorder="1" applyAlignment="1">
      <alignment horizontal="right" vertical="center"/>
    </xf>
    <xf numFmtId="0" fontId="86" fillId="21" borderId="8" xfId="0" applyFont="1" applyFill="1" applyBorder="1" applyAlignment="1">
      <alignment vertical="center"/>
    </xf>
    <xf numFmtId="164" fontId="88" fillId="21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2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5" borderId="3" xfId="0" applyFont="1" applyFill="1" applyBorder="1" applyAlignment="1">
      <alignment horizontal="center" vertical="center"/>
    </xf>
    <xf numFmtId="1" fontId="79" fillId="25" borderId="28" xfId="0" applyNumberFormat="1" applyFont="1" applyFill="1" applyBorder="1" applyAlignment="1">
      <alignment horizontal="center" vertical="center"/>
    </xf>
    <xf numFmtId="1" fontId="29" fillId="25" borderId="28" xfId="0" applyNumberFormat="1" applyFont="1" applyFill="1" applyBorder="1" applyAlignment="1">
      <alignment horizontal="center" vertical="center"/>
    </xf>
    <xf numFmtId="0" fontId="29" fillId="25" borderId="2" xfId="0" applyFont="1" applyFill="1" applyBorder="1" applyAlignment="1">
      <alignment horizontal="center" vertical="center"/>
    </xf>
    <xf numFmtId="165" fontId="29" fillId="25" borderId="29" xfId="0" applyNumberFormat="1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1" fontId="68" fillId="25" borderId="4" xfId="0" applyNumberFormat="1" applyFont="1" applyFill="1" applyBorder="1" applyAlignment="1">
      <alignment horizontal="center" vertical="center"/>
    </xf>
    <xf numFmtId="1" fontId="23" fillId="25" borderId="4" xfId="0" applyNumberFormat="1" applyFont="1" applyFill="1" applyBorder="1" applyAlignment="1">
      <alignment horizontal="center" vertical="center"/>
    </xf>
    <xf numFmtId="0" fontId="23" fillId="25" borderId="2" xfId="0" applyFont="1" applyFill="1" applyBorder="1" applyAlignment="1">
      <alignment horizontal="center" vertical="center"/>
    </xf>
    <xf numFmtId="165" fontId="23" fillId="25" borderId="5" xfId="0" applyNumberFormat="1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" fontId="68" fillId="25" borderId="6" xfId="0" applyNumberFormat="1" applyFont="1" applyFill="1" applyBorder="1" applyAlignment="1">
      <alignment horizontal="center" vertical="center"/>
    </xf>
    <xf numFmtId="165" fontId="23" fillId="2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center" vertical="center"/>
    </xf>
    <xf numFmtId="1" fontId="68" fillId="23" borderId="6" xfId="0" applyNumberFormat="1" applyFont="1" applyFill="1" applyBorder="1" applyAlignment="1">
      <alignment horizontal="center" vertical="center"/>
    </xf>
    <xf numFmtId="165" fontId="23" fillId="23" borderId="4" xfId="0" applyNumberFormat="1" applyFont="1" applyFill="1" applyBorder="1" applyAlignment="1">
      <alignment horizontal="center" vertical="center"/>
    </xf>
    <xf numFmtId="0" fontId="29" fillId="23" borderId="1" xfId="0" applyFont="1" applyFill="1" applyBorder="1" applyAlignment="1">
      <alignment horizontal="center" vertical="center"/>
    </xf>
    <xf numFmtId="1" fontId="79" fillId="23" borderId="28" xfId="0" applyNumberFormat="1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1" fontId="29" fillId="23" borderId="28" xfId="0" applyNumberFormat="1" applyFont="1" applyFill="1" applyBorder="1" applyAlignment="1">
      <alignment horizontal="center" vertical="center"/>
    </xf>
    <xf numFmtId="165" fontId="29" fillId="23" borderId="28" xfId="0" applyNumberFormat="1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1" fontId="68" fillId="27" borderId="6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/>
    </xf>
    <xf numFmtId="1" fontId="23" fillId="20" borderId="6" xfId="0" applyNumberFormat="1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1" fontId="23" fillId="20" borderId="4" xfId="0" applyNumberFormat="1" applyFont="1" applyFill="1" applyBorder="1" applyAlignment="1">
      <alignment horizontal="center" vertical="center"/>
    </xf>
    <xf numFmtId="165" fontId="23" fillId="20" borderId="4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1" fontId="68" fillId="29" borderId="6" xfId="0" applyNumberFormat="1" applyFont="1" applyFill="1" applyBorder="1" applyAlignment="1">
      <alignment horizontal="center" vertical="center"/>
    </xf>
    <xf numFmtId="0" fontId="23" fillId="29" borderId="3" xfId="0" applyFont="1" applyFill="1" applyBorder="1" applyAlignment="1">
      <alignment horizontal="center" vertical="center"/>
    </xf>
    <xf numFmtId="1" fontId="23" fillId="29" borderId="4" xfId="0" applyNumberFormat="1" applyFont="1" applyFill="1" applyBorder="1" applyAlignment="1">
      <alignment horizontal="center" vertical="center"/>
    </xf>
    <xf numFmtId="165" fontId="23" fillId="29" borderId="5" xfId="0" applyNumberFormat="1" applyFont="1" applyFill="1" applyBorder="1" applyAlignment="1">
      <alignment horizontal="center" vertical="center"/>
    </xf>
    <xf numFmtId="1" fontId="68" fillId="29" borderId="4" xfId="0" applyNumberFormat="1" applyFont="1" applyFill="1" applyBorder="1" applyAlignment="1">
      <alignment horizontal="center" vertical="center"/>
    </xf>
    <xf numFmtId="0" fontId="23" fillId="29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8" borderId="19" xfId="0" applyFont="1" applyFill="1" applyBorder="1" applyAlignment="1">
      <alignment horizontal="center" vertical="center"/>
    </xf>
    <xf numFmtId="0" fontId="54" fillId="9" borderId="54" xfId="0" applyFont="1" applyFill="1" applyBorder="1" applyAlignment="1">
      <alignment horizontal="center" vertical="center"/>
    </xf>
    <xf numFmtId="164" fontId="90" fillId="9" borderId="54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8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7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2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0" xfId="0" applyNumberFormat="1" applyFont="1" applyFill="1" applyBorder="1" applyAlignment="1">
      <alignment horizontal="center" vertical="center"/>
    </xf>
    <xf numFmtId="165" fontId="96" fillId="12" borderId="70" xfId="0" applyNumberFormat="1" applyFont="1" applyFill="1" applyBorder="1" applyAlignment="1">
      <alignment horizontal="center" vertical="center"/>
    </xf>
    <xf numFmtId="1" fontId="27" fillId="9" borderId="70" xfId="0" applyNumberFormat="1" applyFont="1" applyFill="1" applyBorder="1" applyAlignment="1">
      <alignment horizontal="center" vertical="center"/>
    </xf>
    <xf numFmtId="165" fontId="51" fillId="10" borderId="70" xfId="0" applyNumberFormat="1" applyFont="1" applyFill="1" applyBorder="1" applyAlignment="1">
      <alignment horizontal="center" vertical="center"/>
    </xf>
    <xf numFmtId="164" fontId="27" fillId="10" borderId="70" xfId="0" applyNumberFormat="1" applyFont="1" applyFill="1" applyBorder="1" applyAlignment="1">
      <alignment horizontal="right" vertical="center"/>
    </xf>
    <xf numFmtId="167" fontId="52" fillId="10" borderId="70" xfId="0" applyNumberFormat="1" applyFont="1" applyFill="1" applyBorder="1" applyAlignment="1">
      <alignment horizontal="right" vertical="center"/>
    </xf>
    <xf numFmtId="166" fontId="52" fillId="10" borderId="70" xfId="0" applyNumberFormat="1" applyFont="1" applyFill="1" applyBorder="1" applyAlignment="1">
      <alignment horizontal="right" vertical="center"/>
    </xf>
    <xf numFmtId="164" fontId="51" fillId="10" borderId="70" xfId="0" applyNumberFormat="1" applyFont="1" applyFill="1" applyBorder="1" applyAlignment="1">
      <alignment horizontal="right" vertical="center"/>
    </xf>
    <xf numFmtId="164" fontId="52" fillId="10" borderId="70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3" xfId="0" applyFont="1" applyFill="1" applyBorder="1" applyAlignment="1">
      <alignment horizontal="center" wrapText="1"/>
    </xf>
    <xf numFmtId="0" fontId="0" fillId="12" borderId="67" xfId="0" applyFill="1" applyBorder="1"/>
    <xf numFmtId="0" fontId="0" fillId="12" borderId="56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30" borderId="67" xfId="0" applyNumberFormat="1" applyFont="1" applyFill="1" applyBorder="1" applyAlignment="1">
      <alignment horizontal="center" vertical="center"/>
    </xf>
    <xf numFmtId="164" fontId="27" fillId="30" borderId="54" xfId="0" applyNumberFormat="1" applyFont="1" applyFill="1" applyBorder="1" applyAlignment="1">
      <alignment horizontal="center" vertical="center"/>
    </xf>
    <xf numFmtId="0" fontId="51" fillId="10" borderId="61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4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7" xfId="0" applyNumberFormat="1" applyFont="1" applyFill="1" applyBorder="1" applyAlignment="1">
      <alignment horizont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1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3" xfId="0" applyFont="1" applyFill="1" applyBorder="1" applyAlignment="1">
      <alignment vertical="center"/>
    </xf>
    <xf numFmtId="0" fontId="51" fillId="10" borderId="73" xfId="0" applyFont="1" applyFill="1" applyBorder="1" applyAlignment="1">
      <alignment vertical="center"/>
    </xf>
    <xf numFmtId="0" fontId="51" fillId="10" borderId="68" xfId="0" applyFont="1" applyFill="1" applyBorder="1" applyAlignment="1">
      <alignment vertical="center"/>
    </xf>
    <xf numFmtId="0" fontId="0" fillId="22" borderId="67" xfId="0" applyFill="1" applyBorder="1"/>
    <xf numFmtId="0" fontId="0" fillId="22" borderId="23" xfId="0" applyFill="1" applyBorder="1"/>
    <xf numFmtId="0" fontId="26" fillId="22" borderId="23" xfId="0" applyFont="1" applyFill="1" applyBorder="1"/>
    <xf numFmtId="0" fontId="0" fillId="22" borderId="31" xfId="0" applyFill="1" applyBorder="1"/>
    <xf numFmtId="0" fontId="0" fillId="22" borderId="56" xfId="0" applyFill="1" applyBorder="1"/>
    <xf numFmtId="0" fontId="0" fillId="22" borderId="21" xfId="0" applyFill="1" applyBorder="1"/>
    <xf numFmtId="0" fontId="0" fillId="22" borderId="96" xfId="0" applyFill="1" applyBorder="1"/>
    <xf numFmtId="0" fontId="0" fillId="22" borderId="25" xfId="0" applyFill="1" applyBorder="1"/>
    <xf numFmtId="0" fontId="51" fillId="10" borderId="72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4" xfId="0" applyFont="1" applyFill="1" applyBorder="1" applyAlignment="1">
      <alignment horizontal="left" wrapText="1"/>
    </xf>
    <xf numFmtId="0" fontId="59" fillId="14" borderId="54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1" fontId="58" fillId="19" borderId="92" xfId="0" applyNumberFormat="1" applyFont="1" applyFill="1" applyBorder="1" applyAlignment="1">
      <alignment horizontal="center"/>
    </xf>
    <xf numFmtId="0" fontId="60" fillId="12" borderId="105" xfId="0" applyFont="1" applyFill="1" applyBorder="1"/>
    <xf numFmtId="166" fontId="60" fillId="12" borderId="105" xfId="0" applyNumberFormat="1" applyFont="1" applyFill="1" applyBorder="1" applyAlignment="1">
      <alignment horizontal="center"/>
    </xf>
    <xf numFmtId="164" fontId="60" fillId="19" borderId="92" xfId="0" applyNumberFormat="1" applyFont="1" applyFill="1" applyBorder="1" applyAlignment="1">
      <alignment horizontal="right" vertical="center"/>
    </xf>
    <xf numFmtId="1" fontId="58" fillId="19" borderId="20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49" fontId="0" fillId="22" borderId="31" xfId="0" applyNumberFormat="1" applyFill="1" applyBorder="1" applyAlignment="1">
      <alignment horizontal="left"/>
    </xf>
    <xf numFmtId="0" fontId="0" fillId="22" borderId="28" xfId="0" applyFill="1" applyBorder="1"/>
    <xf numFmtId="0" fontId="0" fillId="22" borderId="55" xfId="0" applyFill="1" applyBorder="1"/>
    <xf numFmtId="0" fontId="0" fillId="22" borderId="0" xfId="0" applyFill="1"/>
    <xf numFmtId="0" fontId="89" fillId="22" borderId="0" xfId="0" applyFont="1" applyFill="1" applyAlignment="1">
      <alignment horizontal="right" vertical="center"/>
    </xf>
    <xf numFmtId="0" fontId="89" fillId="22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2" borderId="0" xfId="0" applyFont="1" applyFill="1"/>
    <xf numFmtId="49" fontId="0" fillId="22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95" xfId="0" applyFont="1" applyFill="1" applyBorder="1" applyAlignment="1">
      <alignment horizontal="center" vertical="center"/>
    </xf>
    <xf numFmtId="0" fontId="27" fillId="9" borderId="77" xfId="0" applyFont="1" applyFill="1" applyBorder="1" applyAlignment="1">
      <alignment horizontal="center" vertical="center"/>
    </xf>
    <xf numFmtId="0" fontId="27" fillId="9" borderId="103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1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  <xf numFmtId="0" fontId="27" fillId="14" borderId="16" xfId="0" applyFont="1" applyFill="1" applyBorder="1" applyAlignment="1">
      <alignment horizontal="center" vertical="center"/>
    </xf>
    <xf numFmtId="0" fontId="0" fillId="0" borderId="19" xfId="0" applyBorder="1"/>
    <xf numFmtId="0" fontId="27" fillId="14" borderId="54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6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2" borderId="19" xfId="0" applyFont="1" applyFill="1" applyBorder="1" applyAlignment="1">
      <alignment horizontal="center" vertical="center"/>
    </xf>
    <xf numFmtId="0" fontId="0" fillId="0" borderId="18" xfId="0" applyBorder="1"/>
    <xf numFmtId="0" fontId="0" fillId="12" borderId="19" xfId="0" applyFill="1" applyBorder="1" applyAlignment="1">
      <alignment horizontal="center"/>
    </xf>
    <xf numFmtId="0" fontId="0" fillId="0" borderId="57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28" xfId="0" applyBorder="1"/>
    <xf numFmtId="0" fontId="0" fillId="0" borderId="55" xfId="0" applyBorder="1"/>
    <xf numFmtId="0" fontId="56" fillId="17" borderId="75" xfId="0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164" fontId="53" fillId="30" borderId="57" xfId="0" applyNumberFormat="1" applyFont="1" applyFill="1" applyBorder="1" applyAlignment="1">
      <alignment horizontal="center" vertical="center"/>
    </xf>
    <xf numFmtId="164" fontId="53" fillId="30" borderId="19" xfId="0" applyNumberFormat="1" applyFont="1" applyFill="1" applyBorder="1" applyAlignment="1">
      <alignment horizontal="center" vertical="center"/>
    </xf>
    <xf numFmtId="0" fontId="89" fillId="22" borderId="16" xfId="0" applyFont="1" applyFill="1" applyBorder="1" applyAlignment="1">
      <alignment horizontal="center" vertical="center"/>
    </xf>
    <xf numFmtId="0" fontId="43" fillId="0" borderId="26" xfId="25" applyFont="1" applyBorder="1" applyAlignment="1">
      <alignment horizontal="left" vertical="center" wrapText="1"/>
    </xf>
    <xf numFmtId="0" fontId="0" fillId="0" borderId="40" xfId="0" applyBorder="1"/>
    <xf numFmtId="0" fontId="0" fillId="0" borderId="41" xfId="0" applyBorder="1"/>
    <xf numFmtId="0" fontId="0" fillId="0" borderId="10" xfId="0" applyBorder="1" applyProtection="1">
      <protection locked="0"/>
    </xf>
    <xf numFmtId="0" fontId="0" fillId="0" borderId="15" xfId="0" applyBorder="1" applyProtection="1">
      <protection locked="0"/>
    </xf>
    <xf numFmtId="0" fontId="45" fillId="0" borderId="81" xfId="25" applyFont="1" applyBorder="1" applyAlignment="1">
      <alignment horizontal="center" vertical="center"/>
    </xf>
    <xf numFmtId="0" fontId="0" fillId="0" borderId="47" xfId="0" applyBorder="1"/>
    <xf numFmtId="0" fontId="0" fillId="0" borderId="6" xfId="0" applyBorder="1"/>
    <xf numFmtId="0" fontId="45" fillId="0" borderId="11" xfId="25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0" fillId="0" borderId="44" xfId="0" applyBorder="1" applyProtection="1">
      <protection locked="0"/>
    </xf>
    <xf numFmtId="0" fontId="0" fillId="0" borderId="45" xfId="0" applyBorder="1" applyProtection="1">
      <protection locked="0"/>
    </xf>
    <xf numFmtId="0" fontId="45" fillId="0" borderId="14" xfId="25" applyFont="1" applyBorder="1" applyAlignment="1" applyProtection="1">
      <alignment horizontal="left" vertical="center" wrapText="1"/>
      <protection locked="0"/>
    </xf>
    <xf numFmtId="0" fontId="0" fillId="0" borderId="44" xfId="0" applyBorder="1"/>
    <xf numFmtId="0" fontId="0" fillId="0" borderId="15" xfId="0" applyBorder="1"/>
    <xf numFmtId="0" fontId="45" fillId="0" borderId="78" xfId="25" applyFont="1" applyBorder="1" applyAlignment="1">
      <alignment horizontal="center" vertical="center"/>
    </xf>
    <xf numFmtId="0" fontId="0" fillId="0" borderId="48" xfId="0" applyBorder="1"/>
    <xf numFmtId="0" fontId="0" fillId="0" borderId="5" xfId="0" applyBorder="1"/>
    <xf numFmtId="0" fontId="1" fillId="0" borderId="0" xfId="24"/>
    <xf numFmtId="0" fontId="0" fillId="0" borderId="27" xfId="0" applyBorder="1"/>
    <xf numFmtId="0" fontId="0" fillId="0" borderId="45" xfId="0" applyBorder="1"/>
    <xf numFmtId="0" fontId="0" fillId="0" borderId="10" xfId="0" applyBorder="1"/>
    <xf numFmtId="0" fontId="45" fillId="0" borderId="43" xfId="25" applyFont="1" applyBorder="1" applyAlignment="1">
      <alignment horizontal="center" vertical="center" wrapText="1"/>
    </xf>
    <xf numFmtId="0" fontId="35" fillId="0" borderId="22" xfId="24" applyFont="1" applyBorder="1" applyAlignment="1">
      <alignment horizontal="center" vertical="center"/>
    </xf>
    <xf numFmtId="0" fontId="45" fillId="0" borderId="26" xfId="25" applyFont="1" applyBorder="1" applyAlignment="1">
      <alignment horizontal="left" vertical="top" wrapText="1"/>
    </xf>
    <xf numFmtId="0" fontId="45" fillId="0" borderId="82" xfId="25" applyFont="1" applyBorder="1" applyAlignment="1">
      <alignment horizontal="center" vertical="center"/>
    </xf>
    <xf numFmtId="0" fontId="0" fillId="0" borderId="46" xfId="0" applyBorder="1"/>
    <xf numFmtId="0" fontId="0" fillId="0" borderId="49" xfId="0" applyBorder="1"/>
    <xf numFmtId="0" fontId="45" fillId="0" borderId="79" xfId="25" applyFont="1" applyBorder="1" applyAlignment="1">
      <alignment horizontal="center" vertical="center"/>
    </xf>
    <xf numFmtId="0" fontId="36" fillId="0" borderId="42" xfId="24" applyFont="1" applyBorder="1" applyAlignment="1">
      <alignment horizontal="left" wrapText="1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5" fillId="0" borderId="80" xfId="25" applyFont="1" applyBorder="1" applyAlignment="1">
      <alignment horizontal="center" vertical="center"/>
    </xf>
    <xf numFmtId="0" fontId="0" fillId="0" borderId="51" xfId="0" applyBorder="1"/>
    <xf numFmtId="0" fontId="0" fillId="0" borderId="52" xfId="0" applyBorder="1"/>
    <xf numFmtId="0" fontId="37" fillId="0" borderId="15" xfId="24" applyFont="1" applyBorder="1" applyAlignment="1">
      <alignment horizontal="center" vertical="center"/>
    </xf>
    <xf numFmtId="0" fontId="37" fillId="0" borderId="43" xfId="24" applyFont="1" applyBorder="1" applyAlignment="1">
      <alignment horizontal="center" vertical="center"/>
    </xf>
    <xf numFmtId="0" fontId="0" fillId="0" borderId="43" xfId="0" applyBorder="1"/>
    <xf numFmtId="0" fontId="0" fillId="0" borderId="42" xfId="0" applyBorder="1"/>
    <xf numFmtId="168" fontId="45" fillId="0" borderId="10" xfId="25" applyNumberFormat="1" applyFont="1" applyBorder="1" applyAlignment="1" applyProtection="1">
      <alignment horizontal="left" vertical="center" wrapText="1"/>
      <protection locked="0"/>
    </xf>
    <xf numFmtId="0" fontId="97" fillId="0" borderId="78" xfId="25" applyFont="1" applyBorder="1" applyAlignment="1">
      <alignment horizontal="center" vertical="center"/>
    </xf>
    <xf numFmtId="0" fontId="0" fillId="0" borderId="51" xfId="0" applyBorder="1" applyProtection="1">
      <protection locked="0"/>
    </xf>
    <xf numFmtId="0" fontId="41" fillId="0" borderId="0" xfId="25" applyFont="1" applyAlignment="1">
      <alignment horizontal="left" wrapText="1"/>
    </xf>
    <xf numFmtId="0" fontId="45" fillId="0" borderId="82" xfId="25" applyFont="1" applyBorder="1" applyAlignment="1">
      <alignment horizontal="center" vertical="center" wrapText="1"/>
    </xf>
    <xf numFmtId="0" fontId="0" fillId="0" borderId="53" xfId="0" applyBorder="1"/>
    <xf numFmtId="0" fontId="23" fillId="28" borderId="90" xfId="0" applyFont="1" applyFill="1" applyBorder="1" applyAlignment="1">
      <alignment horizontal="center" vertical="center"/>
    </xf>
    <xf numFmtId="0" fontId="0" fillId="0" borderId="59" xfId="0" applyBorder="1"/>
    <xf numFmtId="0" fontId="23" fillId="15" borderId="90" xfId="0" applyFont="1" applyFill="1" applyBorder="1" applyAlignment="1">
      <alignment horizontal="center" vertical="center"/>
    </xf>
    <xf numFmtId="166" fontId="101" fillId="28" borderId="89" xfId="0" applyNumberFormat="1" applyFont="1" applyFill="1" applyBorder="1" applyAlignment="1" applyProtection="1">
      <alignment vertical="center"/>
      <protection locked="0"/>
    </xf>
    <xf numFmtId="0" fontId="0" fillId="0" borderId="58" xfId="0" applyBorder="1" applyProtection="1">
      <protection locked="0"/>
    </xf>
    <xf numFmtId="0" fontId="23" fillId="29" borderId="90" xfId="0" applyFont="1" applyFill="1" applyBorder="1" applyAlignment="1">
      <alignment horizontal="center" vertical="center"/>
    </xf>
    <xf numFmtId="165" fontId="99" fillId="25" borderId="89" xfId="0" applyNumberFormat="1" applyFont="1" applyFill="1" applyBorder="1" applyAlignment="1" applyProtection="1">
      <alignment horizontal="center" vertical="center"/>
      <protection locked="0"/>
    </xf>
    <xf numFmtId="0" fontId="2" fillId="25" borderId="74" xfId="0" applyFont="1" applyFill="1" applyBorder="1" applyAlignment="1">
      <alignment horizontal="center" vertical="center"/>
    </xf>
    <xf numFmtId="0" fontId="0" fillId="0" borderId="12" xfId="0" applyBorder="1"/>
    <xf numFmtId="0" fontId="66" fillId="14" borderId="34" xfId="0" applyFont="1" applyFill="1" applyBorder="1" applyAlignment="1">
      <alignment horizontal="center" vertical="center"/>
    </xf>
    <xf numFmtId="1" fontId="99" fillId="23" borderId="89" xfId="0" applyNumberFormat="1" applyFont="1" applyFill="1" applyBorder="1" applyAlignment="1" applyProtection="1">
      <alignment vertical="center"/>
      <protection locked="0"/>
    </xf>
    <xf numFmtId="1" fontId="103" fillId="27" borderId="89" xfId="0" applyNumberFormat="1" applyFont="1" applyFill="1" applyBorder="1" applyAlignment="1" applyProtection="1">
      <alignment vertical="center"/>
      <protection locked="0"/>
    </xf>
    <xf numFmtId="166" fontId="99" fillId="20" borderId="89" xfId="0" applyNumberFormat="1" applyFont="1" applyFill="1" applyBorder="1" applyAlignment="1" applyProtection="1">
      <alignment vertical="center"/>
      <protection locked="0"/>
    </xf>
    <xf numFmtId="1" fontId="99" fillId="15" borderId="89" xfId="0" applyNumberFormat="1" applyFont="1" applyFill="1" applyBorder="1" applyAlignment="1" applyProtection="1">
      <alignment vertical="center"/>
      <protection locked="0"/>
    </xf>
    <xf numFmtId="1" fontId="103" fillId="24" borderId="89" xfId="0" applyNumberFormat="1" applyFont="1" applyFill="1" applyBorder="1" applyAlignment="1" applyProtection="1">
      <alignment vertical="center"/>
      <protection locked="0"/>
    </xf>
    <xf numFmtId="0" fontId="80" fillId="0" borderId="85" xfId="0" applyFont="1" applyBorder="1" applyAlignment="1">
      <alignment horizontal="center" vertical="center" textRotation="90"/>
    </xf>
    <xf numFmtId="0" fontId="0" fillId="0" borderId="65" xfId="0" applyBorder="1"/>
    <xf numFmtId="0" fontId="0" fillId="0" borderId="31" xfId="0" applyBorder="1"/>
    <xf numFmtId="0" fontId="0" fillId="0" borderId="4" xfId="0" applyBorder="1"/>
    <xf numFmtId="0" fontId="0" fillId="0" borderId="66" xfId="0" applyBorder="1"/>
    <xf numFmtId="49" fontId="23" fillId="28" borderId="74" xfId="0" applyNumberFormat="1" applyFont="1" applyFill="1" applyBorder="1" applyAlignment="1">
      <alignment horizontal="center" vertical="center" wrapText="1"/>
    </xf>
    <xf numFmtId="1" fontId="103" fillId="15" borderId="89" xfId="0" applyNumberFormat="1" applyFont="1" applyFill="1" applyBorder="1" applyAlignment="1" applyProtection="1">
      <alignment vertical="center"/>
      <protection locked="0"/>
    </xf>
    <xf numFmtId="49" fontId="30" fillId="27" borderId="79" xfId="0" applyNumberFormat="1" applyFont="1" applyFill="1" applyBorder="1" applyAlignment="1">
      <alignment horizontal="center" vertical="center" wrapText="1"/>
    </xf>
    <xf numFmtId="0" fontId="0" fillId="0" borderId="63" xfId="0" applyBorder="1"/>
    <xf numFmtId="49" fontId="102" fillId="0" borderId="74" xfId="0" applyNumberFormat="1" applyFont="1" applyBorder="1" applyAlignment="1">
      <alignment horizontal="center" vertical="center"/>
    </xf>
    <xf numFmtId="49" fontId="2" fillId="23" borderId="86" xfId="0" applyNumberFormat="1" applyFont="1" applyFill="1" applyBorder="1" applyAlignment="1">
      <alignment horizontal="center" vertical="center"/>
    </xf>
    <xf numFmtId="0" fontId="0" fillId="0" borderId="30" xfId="0" applyBorder="1"/>
    <xf numFmtId="49" fontId="2" fillId="23" borderId="74" xfId="0" applyNumberFormat="1" applyFont="1" applyFill="1" applyBorder="1" applyAlignment="1">
      <alignment horizontal="center" vertical="center"/>
    </xf>
    <xf numFmtId="0" fontId="2" fillId="24" borderId="74" xfId="0" applyFont="1" applyFill="1" applyBorder="1" applyAlignment="1">
      <alignment horizontal="center" vertical="center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166" fontId="99" fillId="15" borderId="89" xfId="0" applyNumberFormat="1" applyFont="1" applyFill="1" applyBorder="1" applyAlignment="1" applyProtection="1">
      <alignment vertical="center"/>
      <protection locked="0"/>
    </xf>
    <xf numFmtId="49" fontId="2" fillId="15" borderId="74" xfId="0" applyNumberFormat="1" applyFont="1" applyFill="1" applyBorder="1" applyAlignment="1">
      <alignment horizontal="center" vertical="center"/>
    </xf>
    <xf numFmtId="165" fontId="99" fillId="15" borderId="89" xfId="0" applyNumberFormat="1" applyFont="1" applyFill="1" applyBorder="1" applyAlignment="1" applyProtection="1">
      <alignment horizontal="center" vertical="center"/>
      <protection locked="0"/>
    </xf>
    <xf numFmtId="165" fontId="99" fillId="20" borderId="89" xfId="0" applyNumberFormat="1" applyFont="1" applyFill="1" applyBorder="1" applyAlignment="1" applyProtection="1">
      <alignment horizontal="center" vertical="center"/>
      <protection locked="0"/>
    </xf>
    <xf numFmtId="49" fontId="23" fillId="0" borderId="74" xfId="0" applyNumberFormat="1" applyFont="1" applyBorder="1" applyAlignment="1">
      <alignment horizontal="center" vertical="center" wrapText="1"/>
    </xf>
    <xf numFmtId="49" fontId="30" fillId="28" borderId="33" xfId="0" applyNumberFormat="1" applyFont="1" applyFill="1" applyBorder="1" applyAlignment="1">
      <alignment horizontal="center" vertical="center" wrapText="1"/>
    </xf>
    <xf numFmtId="1" fontId="99" fillId="20" borderId="89" xfId="0" applyNumberFormat="1" applyFont="1" applyFill="1" applyBorder="1" applyAlignment="1" applyProtection="1">
      <alignment vertical="center"/>
      <protection locked="0"/>
    </xf>
    <xf numFmtId="49" fontId="30" fillId="29" borderId="35" xfId="0" applyNumberFormat="1" applyFont="1" applyFill="1" applyBorder="1" applyAlignment="1">
      <alignment horizontal="center" vertical="center" wrapText="1"/>
    </xf>
    <xf numFmtId="0" fontId="0" fillId="0" borderId="60" xfId="0" applyBorder="1"/>
    <xf numFmtId="49" fontId="29" fillId="25" borderId="86" xfId="0" applyNumberFormat="1" applyFont="1" applyFill="1" applyBorder="1" applyAlignment="1">
      <alignment horizontal="center" vertical="center" wrapText="1"/>
    </xf>
    <xf numFmtId="1" fontId="104" fillId="28" borderId="89" xfId="0" applyNumberFormat="1" applyFont="1" applyFill="1" applyBorder="1" applyAlignment="1" applyProtection="1">
      <alignment vertical="center"/>
      <protection locked="0"/>
    </xf>
    <xf numFmtId="1" fontId="99" fillId="25" borderId="89" xfId="0" applyNumberFormat="1" applyFont="1" applyFill="1" applyBorder="1" applyAlignment="1" applyProtection="1">
      <alignment vertical="center"/>
      <protection locked="0"/>
    </xf>
    <xf numFmtId="166" fontId="99" fillId="25" borderId="89" xfId="0" applyNumberFormat="1" applyFont="1" applyFill="1" applyBorder="1" applyAlignment="1" applyProtection="1">
      <alignment vertical="center"/>
      <protection locked="0"/>
    </xf>
    <xf numFmtId="1" fontId="100" fillId="26" borderId="89" xfId="0" applyNumberFormat="1" applyFont="1" applyFill="1" applyBorder="1" applyAlignment="1" applyProtection="1">
      <alignment vertical="center"/>
      <protection locked="0"/>
    </xf>
    <xf numFmtId="0" fontId="23" fillId="15" borderId="84" xfId="0" applyFont="1" applyFill="1" applyBorder="1" applyAlignment="1">
      <alignment horizontal="center" vertical="center"/>
    </xf>
    <xf numFmtId="0" fontId="0" fillId="0" borderId="32" xfId="0" applyBorder="1"/>
    <xf numFmtId="0" fontId="23" fillId="25" borderId="90" xfId="0" applyFont="1" applyFill="1" applyBorder="1" applyAlignment="1">
      <alignment horizontal="center" vertical="center"/>
    </xf>
    <xf numFmtId="0" fontId="23" fillId="20" borderId="84" xfId="0" applyFont="1" applyFill="1" applyBorder="1" applyAlignment="1">
      <alignment horizontal="center" vertical="center"/>
    </xf>
    <xf numFmtId="1" fontId="101" fillId="28" borderId="89" xfId="0" applyNumberFormat="1" applyFont="1" applyFill="1" applyBorder="1" applyAlignment="1" applyProtection="1">
      <alignment vertical="center"/>
      <protection locked="0"/>
    </xf>
    <xf numFmtId="1" fontId="103" fillId="23" borderId="89" xfId="0" applyNumberFormat="1" applyFont="1" applyFill="1" applyBorder="1" applyAlignment="1" applyProtection="1">
      <alignment vertical="center"/>
      <protection locked="0"/>
    </xf>
    <xf numFmtId="166" fontId="99" fillId="26" borderId="89" xfId="0" applyNumberFormat="1" applyFont="1" applyFill="1" applyBorder="1" applyAlignment="1" applyProtection="1">
      <alignment vertical="center"/>
      <protection locked="0"/>
    </xf>
    <xf numFmtId="166" fontId="101" fillId="29" borderId="89" xfId="0" applyNumberFormat="1" applyFont="1" applyFill="1" applyBorder="1" applyAlignment="1" applyProtection="1">
      <alignment vertical="center"/>
      <protection locked="0"/>
    </xf>
    <xf numFmtId="165" fontId="101" fillId="29" borderId="89" xfId="0" applyNumberFormat="1" applyFont="1" applyFill="1" applyBorder="1" applyAlignment="1" applyProtection="1">
      <alignment horizontal="center" vertical="center"/>
      <protection locked="0"/>
    </xf>
    <xf numFmtId="165" fontId="99" fillId="23" borderId="89" xfId="0" applyNumberFormat="1" applyFont="1" applyFill="1" applyBorder="1" applyAlignment="1" applyProtection="1">
      <alignment horizontal="center" vertical="center"/>
      <protection locked="0"/>
    </xf>
    <xf numFmtId="0" fontId="23" fillId="23" borderId="90" xfId="0" applyFont="1" applyFill="1" applyBorder="1" applyAlignment="1">
      <alignment horizontal="center" vertical="center"/>
    </xf>
    <xf numFmtId="0" fontId="23" fillId="24" borderId="90" xfId="0" applyFont="1" applyFill="1" applyBorder="1" applyAlignment="1">
      <alignment horizontal="center" vertical="center"/>
    </xf>
    <xf numFmtId="0" fontId="2" fillId="27" borderId="74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20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165" fontId="99" fillId="27" borderId="89" xfId="0" applyNumberFormat="1" applyFont="1" applyFill="1" applyBorder="1" applyAlignment="1" applyProtection="1">
      <alignment horizontal="center" vertical="center"/>
      <protection locked="0"/>
    </xf>
    <xf numFmtId="1" fontId="99" fillId="24" borderId="89" xfId="0" applyNumberFormat="1" applyFont="1" applyFill="1" applyBorder="1" applyAlignment="1" applyProtection="1">
      <alignment vertical="center"/>
      <protection locked="0"/>
    </xf>
    <xf numFmtId="1" fontId="103" fillId="20" borderId="89" xfId="0" applyNumberFormat="1" applyFont="1" applyFill="1" applyBorder="1" applyAlignment="1" applyProtection="1">
      <alignment vertical="center"/>
      <protection locked="0"/>
    </xf>
    <xf numFmtId="165" fontId="99" fillId="24" borderId="89" xfId="0" applyNumberFormat="1" applyFont="1" applyFill="1" applyBorder="1" applyAlignment="1" applyProtection="1">
      <alignment horizontal="center" vertical="center"/>
      <protection locked="0"/>
    </xf>
    <xf numFmtId="49" fontId="29" fillId="23" borderId="86" xfId="0" applyNumberFormat="1" applyFont="1" applyFill="1" applyBorder="1" applyAlignment="1">
      <alignment horizontal="center" vertical="center" wrapText="1"/>
    </xf>
    <xf numFmtId="49" fontId="23" fillId="23" borderId="74" xfId="0" applyNumberFormat="1" applyFont="1" applyFill="1" applyBorder="1" applyAlignment="1">
      <alignment horizontal="center" vertical="center" wrapText="1"/>
    </xf>
    <xf numFmtId="49" fontId="30" fillId="29" borderId="79" xfId="0" applyNumberFormat="1" applyFont="1" applyFill="1" applyBorder="1" applyAlignment="1">
      <alignment horizontal="center" vertical="center" wrapText="1"/>
    </xf>
    <xf numFmtId="0" fontId="23" fillId="23" borderId="84" xfId="0" applyFont="1" applyFill="1" applyBorder="1" applyAlignment="1">
      <alignment horizontal="center" vertical="center"/>
    </xf>
    <xf numFmtId="0" fontId="23" fillId="29" borderId="84" xfId="0" applyFont="1" applyFill="1" applyBorder="1" applyAlignment="1">
      <alignment horizontal="center" vertical="center"/>
    </xf>
    <xf numFmtId="0" fontId="23" fillId="28" borderId="84" xfId="0" applyFont="1" applyFill="1" applyBorder="1" applyAlignment="1">
      <alignment horizontal="center" vertical="center"/>
    </xf>
    <xf numFmtId="0" fontId="23" fillId="27" borderId="84" xfId="0" applyFont="1" applyFill="1" applyBorder="1" applyAlignment="1">
      <alignment horizontal="center" vertical="center"/>
    </xf>
    <xf numFmtId="1" fontId="104" fillId="29" borderId="89" xfId="0" applyNumberFormat="1" applyFont="1" applyFill="1" applyBorder="1" applyAlignment="1" applyProtection="1">
      <alignment vertical="center"/>
      <protection locked="0"/>
    </xf>
    <xf numFmtId="1" fontId="101" fillId="29" borderId="89" xfId="0" applyNumberFormat="1" applyFont="1" applyFill="1" applyBorder="1" applyAlignment="1" applyProtection="1">
      <alignment vertical="center"/>
      <protection locked="0"/>
    </xf>
    <xf numFmtId="49" fontId="30" fillId="24" borderId="33" xfId="0" applyNumberFormat="1" applyFont="1" applyFill="1" applyBorder="1" applyAlignment="1">
      <alignment horizontal="center" vertical="center" wrapText="1"/>
    </xf>
    <xf numFmtId="165" fontId="101" fillId="28" borderId="89" xfId="0" applyNumberFormat="1" applyFont="1" applyFill="1" applyBorder="1" applyAlignment="1" applyProtection="1">
      <alignment horizontal="center" vertical="center"/>
      <protection locked="0"/>
    </xf>
    <xf numFmtId="0" fontId="29" fillId="25" borderId="91" xfId="0" applyFont="1" applyFill="1" applyBorder="1" applyAlignment="1">
      <alignment horizontal="center" vertical="center"/>
    </xf>
    <xf numFmtId="0" fontId="0" fillId="0" borderId="62" xfId="0" applyBorder="1"/>
    <xf numFmtId="1" fontId="99" fillId="26" borderId="89" xfId="0" applyNumberFormat="1" applyFont="1" applyFill="1" applyBorder="1" applyAlignment="1" applyProtection="1">
      <alignment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7" borderId="89" xfId="0" applyNumberFormat="1" applyFont="1" applyFill="1" applyBorder="1" applyAlignment="1" applyProtection="1">
      <alignment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4" borderId="89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49" fontId="30" fillId="15" borderId="82" xfId="0" applyNumberFormat="1" applyFont="1" applyFill="1" applyBorder="1" applyAlignment="1">
      <alignment horizontal="center" vertical="center" wrapText="1"/>
    </xf>
    <xf numFmtId="166" fontId="99" fillId="23" borderId="89" xfId="0" applyNumberFormat="1" applyFont="1" applyFill="1" applyBorder="1" applyAlignment="1" applyProtection="1">
      <alignment vertical="center"/>
      <protection locked="0"/>
    </xf>
    <xf numFmtId="49" fontId="30" fillId="25" borderId="87" xfId="0" applyNumberFormat="1" applyFont="1" applyFill="1" applyBorder="1" applyAlignment="1">
      <alignment horizontal="center" vertical="center" wrapText="1"/>
    </xf>
    <xf numFmtId="49" fontId="2" fillId="28" borderId="74" xfId="0" applyNumberFormat="1" applyFont="1" applyFill="1" applyBorder="1" applyAlignment="1">
      <alignment horizontal="center" vertical="center"/>
    </xf>
    <xf numFmtId="49" fontId="69" fillId="16" borderId="0" xfId="0" applyNumberFormat="1" applyFont="1" applyFill="1" applyAlignment="1">
      <alignment horizontal="center" vertical="center"/>
    </xf>
    <xf numFmtId="0" fontId="2" fillId="28" borderId="74" xfId="0" applyFont="1" applyFill="1" applyBorder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2" fillId="29" borderId="74" xfId="0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25" borderId="86" xfId="0" applyNumberFormat="1" applyFont="1" applyFill="1" applyBorder="1" applyAlignment="1">
      <alignment horizontal="center" vertical="center"/>
    </xf>
    <xf numFmtId="166" fontId="99" fillId="27" borderId="89" xfId="0" applyNumberFormat="1" applyFont="1" applyFill="1" applyBorder="1" applyAlignment="1" applyProtection="1">
      <alignment vertical="center"/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49" fontId="30" fillId="25" borderId="35" xfId="0" applyNumberFormat="1" applyFont="1" applyFill="1" applyBorder="1" applyAlignment="1">
      <alignment horizontal="center" vertical="center" wrapText="1"/>
    </xf>
    <xf numFmtId="49" fontId="30" fillId="20" borderId="87" xfId="0" applyNumberFormat="1" applyFont="1" applyFill="1" applyBorder="1" applyAlignment="1">
      <alignment horizontal="center" vertical="center" wrapText="1"/>
    </xf>
    <xf numFmtId="1" fontId="103" fillId="25" borderId="89" xfId="0" applyNumberFormat="1" applyFont="1" applyFill="1" applyBorder="1" applyAlignment="1" applyProtection="1">
      <alignment vertical="center"/>
      <protection locked="0"/>
    </xf>
    <xf numFmtId="0" fontId="23" fillId="25" borderId="84" xfId="0" applyFont="1" applyFill="1" applyBorder="1" applyAlignment="1">
      <alignment horizontal="center" vertical="center"/>
    </xf>
    <xf numFmtId="0" fontId="29" fillId="23" borderId="88" xfId="0" applyFont="1" applyFill="1" applyBorder="1" applyAlignment="1">
      <alignment horizontal="center" vertical="center"/>
    </xf>
    <xf numFmtId="0" fontId="0" fillId="0" borderId="64" xfId="0" applyBorder="1"/>
    <xf numFmtId="165" fontId="99" fillId="26" borderId="89" xfId="0" applyNumberFormat="1" applyFont="1" applyFill="1" applyBorder="1" applyAlignment="1" applyProtection="1">
      <alignment horizontal="center" vertical="center"/>
      <protection locked="0"/>
    </xf>
    <xf numFmtId="0" fontId="23" fillId="0" borderId="90" xfId="0" applyFont="1" applyBorder="1" applyAlignment="1">
      <alignment horizontal="center" vertical="center"/>
    </xf>
    <xf numFmtId="0" fontId="85" fillId="21" borderId="8" xfId="0" applyFont="1" applyFill="1" applyBorder="1" applyAlignment="1">
      <alignment horizontal="center" vertical="center"/>
    </xf>
    <xf numFmtId="0" fontId="93" fillId="24" borderId="0" xfId="0" applyFont="1" applyFill="1" applyAlignment="1">
      <alignment horizontal="center" vertical="center"/>
    </xf>
    <xf numFmtId="0" fontId="91" fillId="0" borderId="8" xfId="27" applyBorder="1" applyAlignment="1" applyProtection="1">
      <alignment horizontal="center"/>
      <protection locked="0"/>
    </xf>
    <xf numFmtId="0" fontId="91" fillId="0" borderId="8" xfId="27" applyBorder="1" applyAlignment="1">
      <alignment horizontal="center"/>
    </xf>
    <xf numFmtId="164" fontId="91" fillId="0" borderId="44" xfId="27" applyNumberFormat="1" applyBorder="1" applyAlignment="1">
      <alignment horizontal="center"/>
    </xf>
    <xf numFmtId="164" fontId="91" fillId="0" borderId="44" xfId="27" applyNumberFormat="1" applyBorder="1" applyAlignment="1" applyProtection="1">
      <alignment horizontal="right"/>
      <protection locked="0"/>
    </xf>
    <xf numFmtId="164" fontId="91" fillId="0" borderId="44" xfId="27" applyNumberFormat="1" applyBorder="1" applyAlignment="1">
      <alignment horizontal="right"/>
    </xf>
    <xf numFmtId="164" fontId="0" fillId="0" borderId="45" xfId="32" applyNumberFormat="1" applyFont="1" applyBorder="1" applyAlignment="1" applyProtection="1">
      <alignment horizontal="right"/>
      <protection locked="0"/>
    </xf>
    <xf numFmtId="0" fontId="91" fillId="0" borderId="0" xfId="27" applyAlignment="1">
      <alignment horizontal="center"/>
    </xf>
    <xf numFmtId="0" fontId="91" fillId="0" borderId="0" xfId="27"/>
    <xf numFmtId="164" fontId="0" fillId="0" borderId="45" xfId="32" applyNumberFormat="1" applyFont="1" applyBorder="1" applyAlignment="1">
      <alignment horizontal="right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>
      <protection locked="0"/>
    </xf>
    <xf numFmtId="0" fontId="0" fillId="0" borderId="43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0" fontId="61" fillId="0" borderId="14" xfId="25" applyFont="1" applyBorder="1" applyAlignment="1">
      <alignment horizontal="left" wrapText="1"/>
    </xf>
    <xf numFmtId="0" fontId="64" fillId="0" borderId="8" xfId="25" applyFont="1" applyBorder="1" applyAlignment="1">
      <alignment horizontal="center" vertical="center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0" fillId="0" borderId="10" xfId="0" applyBorder="1" applyProtection="1"/>
    <xf numFmtId="1" fontId="4" fillId="0" borderId="14" xfId="25" applyNumberFormat="1" applyFont="1" applyBorder="1" applyAlignment="1" applyProtection="1">
      <alignment horizontal="center" vertical="center"/>
    </xf>
    <xf numFmtId="0" fontId="0" fillId="0" borderId="15" xfId="0" applyBorder="1" applyProtection="1"/>
    <xf numFmtId="164" fontId="4" fillId="0" borderId="14" xfId="25" applyNumberFormat="1" applyFont="1" applyBorder="1" applyAlignment="1" applyProtection="1">
      <alignment horizontal="right" vertical="center"/>
    </xf>
    <xf numFmtId="2" fontId="4" fillId="0" borderId="8" xfId="25" applyNumberFormat="1" applyFont="1" applyBorder="1" applyAlignment="1" applyProtection="1">
      <alignment horizontal="center" vertical="center"/>
    </xf>
    <xf numFmtId="166" fontId="4" fillId="0" borderId="14" xfId="25" applyNumberFormat="1" applyFont="1" applyBorder="1" applyAlignment="1" applyProtection="1">
      <alignment horizontal="center" vertical="center"/>
    </xf>
    <xf numFmtId="0" fontId="0" fillId="0" borderId="44" xfId="0" applyBorder="1" applyProtection="1"/>
    <xf numFmtId="0" fontId="1" fillId="0" borderId="0" xfId="24" applyProtection="1"/>
    <xf numFmtId="14" fontId="36" fillId="0" borderId="27" xfId="24" quotePrefix="1" applyNumberFormat="1" applyFont="1" applyBorder="1" applyAlignment="1" applyProtection="1">
      <alignment horizontal="left" wrapText="1"/>
      <protection locked="0"/>
    </xf>
    <xf numFmtId="49" fontId="36" fillId="0" borderId="27" xfId="24" applyNumberFormat="1" applyFont="1" applyBorder="1" applyAlignment="1" applyProtection="1">
      <alignment horizontal="left" wrapText="1"/>
      <protection locked="0"/>
    </xf>
    <xf numFmtId="0" fontId="45" fillId="0" borderId="106" xfId="25" applyFont="1" applyBorder="1" applyAlignment="1">
      <alignment horizontal="center" vertical="center"/>
    </xf>
    <xf numFmtId="0" fontId="45" fillId="0" borderId="47" xfId="25" applyFont="1" applyBorder="1" applyAlignment="1">
      <alignment horizontal="center" vertical="center"/>
    </xf>
    <xf numFmtId="0" fontId="45" fillId="0" borderId="49" xfId="25" applyFont="1" applyBorder="1" applyAlignment="1">
      <alignment horizontal="center" vertical="center"/>
    </xf>
    <xf numFmtId="0" fontId="45" fillId="0" borderId="7" xfId="25" applyFont="1" applyBorder="1" applyAlignment="1">
      <alignment horizontal="center" vertical="center"/>
    </xf>
    <xf numFmtId="0" fontId="45" fillId="0" borderId="6" xfId="25" applyFont="1" applyBorder="1" applyAlignment="1">
      <alignment horizontal="center" vertical="center"/>
    </xf>
    <xf numFmtId="0" fontId="45" fillId="0" borderId="5" xfId="25" applyFont="1" applyBorder="1" applyAlignment="1">
      <alignment horizontal="center" vertical="center"/>
    </xf>
    <xf numFmtId="164" fontId="4" fillId="0" borderId="9" xfId="25" applyNumberFormat="1" applyFont="1" applyBorder="1" applyAlignment="1" applyProtection="1">
      <alignment horizontal="right" vertical="center"/>
    </xf>
    <xf numFmtId="164" fontId="4" fillId="0" borderId="10" xfId="25" applyNumberFormat="1" applyFont="1" applyBorder="1" applyAlignment="1" applyProtection="1">
      <alignment horizontal="right" vertical="center"/>
    </xf>
    <xf numFmtId="164" fontId="4" fillId="0" borderId="50" xfId="25" applyNumberFormat="1" applyFont="1" applyBorder="1" applyAlignment="1" applyProtection="1">
      <alignment horizontal="right" vertical="center"/>
    </xf>
    <xf numFmtId="164" fontId="4" fillId="0" borderId="52" xfId="25" applyNumberFormat="1" applyFont="1" applyBorder="1" applyAlignment="1" applyProtection="1">
      <alignment horizontal="right" vertical="center"/>
    </xf>
    <xf numFmtId="164" fontId="106" fillId="0" borderId="51" xfId="0" applyNumberFormat="1" applyFont="1" applyBorder="1" applyAlignment="1" applyProtection="1">
      <alignment horizontal="right"/>
    </xf>
    <xf numFmtId="164" fontId="106" fillId="0" borderId="45" xfId="0" applyNumberFormat="1" applyFont="1" applyBorder="1" applyAlignment="1" applyProtection="1">
      <alignment horizontal="right"/>
    </xf>
    <xf numFmtId="0" fontId="45" fillId="0" borderId="46" xfId="25" applyFont="1" applyBorder="1" applyAlignment="1">
      <alignment horizontal="center" vertical="center"/>
    </xf>
    <xf numFmtId="0" fontId="45" fillId="0" borderId="48" xfId="25" applyFont="1" applyBorder="1" applyAlignment="1">
      <alignment horizontal="center" vertical="center"/>
    </xf>
    <xf numFmtId="0" fontId="4" fillId="0" borderId="7" xfId="25" applyFont="1" applyBorder="1" applyAlignment="1">
      <alignment horizontal="center" vertical="center"/>
    </xf>
    <xf numFmtId="0" fontId="4" fillId="0" borderId="33" xfId="25" applyFont="1" applyBorder="1" applyAlignment="1" applyProtection="1">
      <alignment horizontal="center" vertical="center"/>
    </xf>
    <xf numFmtId="0" fontId="0" fillId="0" borderId="52" xfId="0" applyBorder="1" applyProtection="1"/>
    <xf numFmtId="1" fontId="4" fillId="0" borderId="34" xfId="25" applyNumberFormat="1" applyFont="1" applyBorder="1" applyAlignment="1" applyProtection="1">
      <alignment horizontal="center" vertical="center"/>
    </xf>
    <xf numFmtId="164" fontId="4" fillId="0" borderId="34" xfId="25" applyNumberFormat="1" applyFont="1" applyBorder="1" applyAlignment="1" applyProtection="1">
      <alignment horizontal="right" vertical="center"/>
    </xf>
    <xf numFmtId="2" fontId="4" fillId="0" borderId="34" xfId="25" applyNumberFormat="1" applyFont="1" applyBorder="1" applyAlignment="1" applyProtection="1">
      <alignment horizontal="center" vertical="center"/>
    </xf>
    <xf numFmtId="166" fontId="4" fillId="0" borderId="34" xfId="25" applyNumberFormat="1" applyFont="1" applyBorder="1" applyAlignment="1" applyProtection="1">
      <alignment horizontal="center" vertical="center"/>
    </xf>
    <xf numFmtId="0" fontId="0" fillId="0" borderId="51" xfId="0" applyBorder="1" applyProtection="1"/>
    <xf numFmtId="164" fontId="106" fillId="0" borderId="60" xfId="0" applyNumberFormat="1" applyFont="1" applyBorder="1" applyAlignment="1" applyProtection="1">
      <alignment horizontal="right"/>
    </xf>
    <xf numFmtId="0" fontId="4" fillId="0" borderId="36" xfId="25" applyFont="1" applyBorder="1" applyAlignment="1" applyProtection="1">
      <alignment horizontal="center" vertical="center"/>
    </xf>
    <xf numFmtId="164" fontId="106" fillId="0" borderId="58" xfId="0" applyNumberFormat="1" applyFont="1" applyBorder="1" applyAlignment="1" applyProtection="1">
      <alignment horizontal="right"/>
    </xf>
    <xf numFmtId="0" fontId="4" fillId="0" borderId="107" xfId="25" applyFont="1" applyBorder="1" applyAlignment="1">
      <alignment horizontal="center" vertical="center"/>
    </xf>
    <xf numFmtId="2" fontId="4" fillId="0" borderId="78" xfId="25" applyNumberFormat="1" applyFont="1" applyBorder="1" applyAlignment="1">
      <alignment horizontal="center" vertical="center"/>
    </xf>
    <xf numFmtId="164" fontId="4" fillId="0" borderId="78" xfId="25" applyNumberFormat="1" applyFont="1" applyBorder="1" applyAlignment="1">
      <alignment horizontal="right" vertical="center"/>
    </xf>
    <xf numFmtId="2" fontId="4" fillId="0" borderId="94" xfId="25" applyNumberFormat="1" applyFont="1" applyBorder="1" applyAlignment="1">
      <alignment horizontal="center" vertical="center"/>
    </xf>
    <xf numFmtId="2" fontId="4" fillId="0" borderId="71" xfId="25" applyNumberFormat="1" applyFont="1" applyBorder="1" applyAlignment="1">
      <alignment horizontal="center" vertical="center"/>
    </xf>
    <xf numFmtId="166" fontId="4" fillId="0" borderId="78" xfId="25" applyNumberFormat="1" applyFont="1" applyBorder="1" applyAlignment="1">
      <alignment horizontal="center" vertical="center"/>
    </xf>
    <xf numFmtId="167" fontId="4" fillId="0" borderId="78" xfId="25" applyNumberFormat="1" applyFont="1" applyBorder="1" applyAlignment="1">
      <alignment horizontal="center" vertical="center"/>
    </xf>
    <xf numFmtId="164" fontId="4" fillId="0" borderId="94" xfId="25" applyNumberFormat="1" applyFont="1" applyBorder="1" applyAlignment="1">
      <alignment horizontal="right" vertical="center"/>
    </xf>
    <xf numFmtId="164" fontId="4" fillId="0" borderId="71" xfId="25" applyNumberFormat="1" applyFont="1" applyBorder="1" applyAlignment="1">
      <alignment horizontal="right" vertical="center"/>
    </xf>
    <xf numFmtId="164" fontId="107" fillId="0" borderId="53" xfId="0" applyNumberFormat="1" applyFont="1" applyBorder="1" applyAlignment="1">
      <alignment horizontal="right" vertical="center"/>
    </xf>
    <xf numFmtId="164" fontId="107" fillId="0" borderId="108" xfId="0" applyNumberFormat="1" applyFont="1" applyBorder="1" applyAlignment="1">
      <alignment horizontal="right" vertical="center"/>
    </xf>
    <xf numFmtId="0" fontId="39" fillId="0" borderId="26" xfId="24" applyFont="1" applyBorder="1" applyAlignment="1">
      <alignment horizontal="center"/>
    </xf>
    <xf numFmtId="0" fontId="41" fillId="0" borderId="61" xfId="25" applyFont="1" applyBorder="1" applyAlignment="1">
      <alignment horizontal="left" vertical="center" wrapText="1"/>
    </xf>
    <xf numFmtId="0" fontId="48" fillId="0" borderId="52" xfId="25" applyFont="1" applyBorder="1" applyAlignment="1">
      <alignment horizontal="left" vertical="center" wrapText="1"/>
    </xf>
    <xf numFmtId="49" fontId="41" fillId="0" borderId="50" xfId="25" applyNumberFormat="1" applyFont="1" applyBorder="1" applyAlignment="1">
      <alignment horizontal="center" vertical="center" wrapText="1"/>
    </xf>
    <xf numFmtId="1" fontId="41" fillId="0" borderId="52" xfId="25" applyNumberFormat="1" applyFont="1" applyBorder="1" applyAlignment="1" applyProtection="1">
      <alignment horizontal="left" vertical="center" wrapText="1"/>
    </xf>
    <xf numFmtId="168" fontId="41" fillId="0" borderId="50" xfId="25" applyNumberFormat="1" applyFont="1" applyBorder="1" applyAlignment="1">
      <alignment horizontal="left" vertical="center" wrapText="1"/>
    </xf>
    <xf numFmtId="168" fontId="41" fillId="0" borderId="52" xfId="25" applyNumberFormat="1" applyFont="1" applyBorder="1" applyAlignment="1" applyProtection="1">
      <alignment horizontal="left" vertical="center" wrapText="1"/>
      <protection locked="0"/>
    </xf>
    <xf numFmtId="0" fontId="0" fillId="0" borderId="60" xfId="0" applyBorder="1" applyProtection="1">
      <protection locked="0"/>
    </xf>
    <xf numFmtId="0" fontId="43" fillId="0" borderId="109" xfId="25" applyFont="1" applyBorder="1" applyAlignment="1">
      <alignment horizontal="left" vertical="center" wrapText="1"/>
    </xf>
    <xf numFmtId="0" fontId="0" fillId="0" borderId="72" xfId="0" applyBorder="1"/>
    <xf numFmtId="0" fontId="49" fillId="0" borderId="107" xfId="25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0" fontId="49" fillId="0" borderId="78" xfId="25" applyFont="1" applyBorder="1" applyAlignment="1" applyProtection="1">
      <alignment horizontal="center" vertical="center" wrapText="1"/>
      <protection locked="0"/>
    </xf>
    <xf numFmtId="0" fontId="4" fillId="0" borderId="78" xfId="25" applyFont="1" applyBorder="1" applyAlignment="1" applyProtection="1">
      <alignment horizontal="center" vertical="center" wrapText="1"/>
      <protection locked="0"/>
    </xf>
    <xf numFmtId="2" fontId="49" fillId="0" borderId="78" xfId="25" applyNumberFormat="1" applyFont="1" applyBorder="1" applyAlignment="1" applyProtection="1">
      <alignment horizontal="center" vertical="center" wrapText="1"/>
    </xf>
    <xf numFmtId="0" fontId="0" fillId="0" borderId="7" xfId="0" applyBorder="1" applyProtection="1"/>
    <xf numFmtId="0" fontId="0" fillId="0" borderId="48" xfId="0" applyBorder="1" applyProtection="1"/>
    <xf numFmtId="0" fontId="0" fillId="0" borderId="5" xfId="0" applyBorder="1" applyProtection="1"/>
    <xf numFmtId="0" fontId="50" fillId="0" borderId="0" xfId="24" applyFont="1" applyBorder="1" applyAlignment="1">
      <alignment horizontal="center" vertical="center"/>
    </xf>
    <xf numFmtId="0" fontId="0" fillId="0" borderId="0" xfId="0" applyBorder="1"/>
    <xf numFmtId="0" fontId="34" fillId="0" borderId="61" xfId="24" applyFont="1" applyBorder="1" applyAlignment="1">
      <alignment horizontal="center" vertical="center"/>
    </xf>
    <xf numFmtId="0" fontId="35" fillId="0" borderId="80" xfId="24" applyFont="1" applyBorder="1" applyAlignment="1">
      <alignment horizontal="center" vertical="center"/>
    </xf>
    <xf numFmtId="0" fontId="36" fillId="0" borderId="106" xfId="24" applyFont="1" applyBorder="1" applyAlignment="1">
      <alignment horizontal="left" wrapText="1"/>
    </xf>
    <xf numFmtId="49" fontId="36" fillId="0" borderId="46" xfId="24" applyNumberFormat="1" applyFont="1" applyBorder="1" applyAlignment="1" applyProtection="1">
      <alignment horizontal="left" wrapText="1"/>
      <protection locked="0"/>
    </xf>
    <xf numFmtId="0" fontId="0" fillId="0" borderId="47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" xfId="0" applyBorder="1"/>
    <xf numFmtId="0" fontId="1" fillId="0" borderId="0" xfId="24" applyBorder="1"/>
    <xf numFmtId="0" fontId="1" fillId="0" borderId="0" xfId="24" applyBorder="1" applyProtection="1">
      <protection locked="0"/>
    </xf>
    <xf numFmtId="0" fontId="0" fillId="0" borderId="4" xfId="0" applyBorder="1" applyProtection="1">
      <protection locked="0"/>
    </xf>
    <xf numFmtId="0" fontId="36" fillId="0" borderId="49" xfId="24" applyFont="1" applyBorder="1" applyAlignment="1">
      <alignment horizontal="left" wrapText="1"/>
    </xf>
    <xf numFmtId="49" fontId="36" fillId="0" borderId="48" xfId="24" applyNumberFormat="1" applyFont="1" applyBorder="1" applyAlignment="1" applyProtection="1">
      <alignment horizontal="left" wrapText="1"/>
      <protection locked="0"/>
    </xf>
    <xf numFmtId="0" fontId="0" fillId="0" borderId="5" xfId="0" applyBorder="1" applyProtection="1">
      <protection locked="0"/>
    </xf>
    <xf numFmtId="164" fontId="27" fillId="9" borderId="54" xfId="0" applyNumberFormat="1" applyFont="1" applyFill="1" applyBorder="1" applyAlignment="1">
      <alignment horizontal="center" vertical="center"/>
    </xf>
    <xf numFmtId="0" fontId="4" fillId="0" borderId="0" xfId="25" applyFont="1" applyBorder="1" applyAlignment="1">
      <alignment horizontal="center" vertical="center"/>
    </xf>
    <xf numFmtId="0" fontId="0" fillId="0" borderId="110" xfId="0" applyBorder="1"/>
    <xf numFmtId="166" fontId="4" fillId="0" borderId="78" xfId="25" applyNumberFormat="1" applyFont="1" applyBorder="1" applyAlignment="1" applyProtection="1">
      <alignment horizontal="center" vertical="center"/>
      <protection locked="0"/>
    </xf>
    <xf numFmtId="164" fontId="4" fillId="0" borderId="78" xfId="25" applyNumberFormat="1" applyFont="1" applyBorder="1" applyAlignment="1">
      <alignment horizontal="center" vertical="center"/>
    </xf>
    <xf numFmtId="164" fontId="47" fillId="0" borderId="78" xfId="25" applyNumberFormat="1" applyFont="1" applyBorder="1" applyAlignment="1">
      <alignment horizontal="right" vertical="center"/>
    </xf>
    <xf numFmtId="0" fontId="45" fillId="0" borderId="61" xfId="25" applyFont="1" applyBorder="1" applyAlignment="1">
      <alignment horizontal="left" vertical="center" wrapText="1"/>
    </xf>
    <xf numFmtId="0" fontId="45" fillId="0" borderId="52" xfId="25" applyFont="1" applyBorder="1" applyAlignment="1" applyProtection="1">
      <alignment horizontal="left" vertical="center" wrapText="1"/>
      <protection locked="0"/>
    </xf>
    <xf numFmtId="168" fontId="45" fillId="0" borderId="111" xfId="25" applyNumberFormat="1" applyFont="1" applyBorder="1" applyAlignment="1" applyProtection="1">
      <alignment horizontal="left" vertical="center" wrapText="1"/>
      <protection locked="0"/>
    </xf>
    <xf numFmtId="0" fontId="45" fillId="0" borderId="109" xfId="25" applyFont="1" applyBorder="1" applyAlignment="1">
      <alignment horizontal="left" vertical="top" wrapText="1"/>
    </xf>
    <xf numFmtId="0" fontId="45" fillId="0" borderId="112" xfId="25" applyFont="1" applyBorder="1" applyAlignment="1">
      <alignment horizontal="center" vertical="center" wrapText="1"/>
    </xf>
    <xf numFmtId="0" fontId="0" fillId="0" borderId="113" xfId="0" applyBorder="1" applyProtection="1">
      <protection locked="0"/>
    </xf>
    <xf numFmtId="0" fontId="45" fillId="0" borderId="101" xfId="25" applyFont="1" applyBorder="1" applyAlignment="1">
      <alignment horizontal="left" vertical="top" wrapText="1"/>
    </xf>
    <xf numFmtId="0" fontId="4" fillId="0" borderId="107" xfId="25" applyFont="1" applyBorder="1" applyAlignment="1" applyProtection="1">
      <alignment horizontal="center" vertical="center" wrapText="1"/>
      <protection locked="0"/>
    </xf>
    <xf numFmtId="0" fontId="1" fillId="0" borderId="110" xfId="24" applyBorder="1"/>
    <xf numFmtId="0" fontId="1" fillId="0" borderId="11" xfId="24" applyBorder="1" applyAlignment="1">
      <alignment horizontal="left"/>
    </xf>
    <xf numFmtId="0" fontId="1" fillId="0" borderId="110" xfId="24" applyBorder="1" applyAlignment="1">
      <alignment horizontal="right"/>
    </xf>
    <xf numFmtId="0" fontId="4" fillId="0" borderId="2" xfId="25" applyFont="1" applyBorder="1" applyAlignment="1" applyProtection="1">
      <alignment horizontal="center" vertical="center"/>
      <protection locked="0"/>
    </xf>
    <xf numFmtId="0" fontId="4" fillId="0" borderId="78" xfId="25" applyFont="1" applyBorder="1" applyAlignment="1">
      <alignment horizontal="center" vertical="center"/>
    </xf>
    <xf numFmtId="0" fontId="0" fillId="0" borderId="112" xfId="0" applyBorder="1"/>
    <xf numFmtId="0" fontId="45" fillId="0" borderId="14" xfId="25" applyFont="1" applyBorder="1" applyAlignment="1">
      <alignment horizontal="center" vertical="center"/>
    </xf>
    <xf numFmtId="2" fontId="4" fillId="0" borderId="70" xfId="25" applyNumberFormat="1" applyFont="1" applyBorder="1" applyAlignment="1">
      <alignment horizontal="center" vertical="center"/>
    </xf>
    <xf numFmtId="0" fontId="0" fillId="0" borderId="71" xfId="0" applyBorder="1"/>
    <xf numFmtId="164" fontId="47" fillId="0" borderId="70" xfId="25" applyNumberFormat="1" applyFont="1" applyBorder="1" applyAlignment="1">
      <alignment horizontal="right" vertical="center"/>
    </xf>
    <xf numFmtId="0" fontId="45" fillId="0" borderId="22" xfId="25" applyFont="1" applyBorder="1" applyAlignment="1">
      <alignment horizontal="center" vertical="center"/>
    </xf>
    <xf numFmtId="0" fontId="45" fillId="0" borderId="68" xfId="25" applyFont="1" applyBorder="1" applyAlignment="1">
      <alignment horizontal="center" vertical="center"/>
    </xf>
    <xf numFmtId="0" fontId="0" fillId="0" borderId="113" xfId="0" applyBorder="1"/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1E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0000000}"/>
    <cellStyle name="Warning" xfId="23" xr:uid="{00000000-0005-0000-0000-000017000000}"/>
    <cellStyle name="Βασικό_BSI REPORT 3" xfId="31" xr:uid="{00000000-0005-0000-0000-00001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449037</xdr:colOff>
      <xdr:row>22</xdr:row>
      <xdr:rowOff>61232</xdr:rowOff>
    </xdr:from>
    <xdr:to>
      <xdr:col>23</xdr:col>
      <xdr:colOff>819151</xdr:colOff>
      <xdr:row>25</xdr:row>
      <xdr:rowOff>240847</xdr:rowOff>
    </xdr:to>
    <xdr:pic>
      <xdr:nvPicPr>
        <xdr:cNvPr id="4" name="Graphic 3" descr="Anchor outlin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1" y="5728608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9F64C1D7-56E8-F6CA-36AA-7DBB532FA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893B1864-C0AE-052C-430A-BF7FFC76A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C08AF823-1864-6EE7-E7DB-5F29FAF29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C5324880-8865-8B16-E4FF-8C57FEFC5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W35"/>
  <sheetViews>
    <sheetView topLeftCell="D1" workbookViewId="0">
      <selection activeCell="L2" sqref="L2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V1">
        <v>9</v>
      </c>
      <c r="W1">
        <v>9</v>
      </c>
    </row>
    <row r="2" spans="1:23">
      <c r="A2" t="s">
        <v>20</v>
      </c>
      <c r="B2" t="s">
        <v>21</v>
      </c>
      <c r="C2" t="s">
        <v>22</v>
      </c>
      <c r="D2" t="s">
        <v>23</v>
      </c>
      <c r="E2" t="s">
        <v>20</v>
      </c>
      <c r="F2" s="320">
        <v>105</v>
      </c>
      <c r="G2" s="320">
        <v>28</v>
      </c>
      <c r="H2" s="320">
        <v>97.521172638436468</v>
      </c>
      <c r="I2" s="320">
        <v>0</v>
      </c>
      <c r="J2" s="108">
        <v>105</v>
      </c>
      <c r="K2" s="108">
        <v>778.41399999999999</v>
      </c>
      <c r="L2" s="317">
        <v>1.000264</v>
      </c>
      <c r="M2" s="108">
        <v>778.61950129600007</v>
      </c>
      <c r="N2" s="317">
        <v>0.98379315377625043</v>
      </c>
      <c r="O2" s="108">
        <v>765.99856980000004</v>
      </c>
      <c r="P2" s="318">
        <v>0.73399999999999999</v>
      </c>
      <c r="Q2" s="108">
        <v>562.24295023319996</v>
      </c>
      <c r="R2" s="318">
        <v>0.7329</v>
      </c>
      <c r="S2" s="108">
        <v>561.40035180642008</v>
      </c>
    </row>
    <row r="3" spans="1:23">
      <c r="A3" t="s">
        <v>24</v>
      </c>
      <c r="B3" t="s">
        <v>25</v>
      </c>
      <c r="C3" t="s">
        <v>22</v>
      </c>
      <c r="D3" t="s">
        <v>26</v>
      </c>
      <c r="E3" t="s">
        <v>24</v>
      </c>
      <c r="F3" s="320">
        <v>105</v>
      </c>
      <c r="G3" s="320">
        <v>26.5</v>
      </c>
      <c r="H3" s="320">
        <v>97.57218576476528</v>
      </c>
      <c r="I3" s="320">
        <v>0</v>
      </c>
      <c r="J3" s="108">
        <v>105</v>
      </c>
      <c r="K3" s="108">
        <v>773.16200000000003</v>
      </c>
      <c r="L3" s="317">
        <v>1.0002145</v>
      </c>
      <c r="M3" s="108">
        <v>773.32784324900001</v>
      </c>
      <c r="N3" s="317">
        <v>0.98567063222825602</v>
      </c>
      <c r="O3" s="108">
        <v>762.24620976000006</v>
      </c>
      <c r="P3" s="318">
        <v>0.73399999999999999</v>
      </c>
      <c r="Q3" s="108">
        <v>559.48871796384003</v>
      </c>
      <c r="R3" s="318">
        <v>0.7329</v>
      </c>
      <c r="S3" s="108">
        <v>558.65024713310402</v>
      </c>
    </row>
    <row r="4" spans="1:23">
      <c r="A4" t="s">
        <v>27</v>
      </c>
      <c r="B4" t="s">
        <v>28</v>
      </c>
      <c r="C4" t="s">
        <v>29</v>
      </c>
      <c r="D4" t="s">
        <v>23</v>
      </c>
      <c r="E4" t="s">
        <v>27</v>
      </c>
      <c r="F4" s="320">
        <v>103</v>
      </c>
      <c r="G4" s="320">
        <v>24</v>
      </c>
      <c r="H4" s="320">
        <v>98.316622852601327</v>
      </c>
      <c r="I4" s="320">
        <v>0</v>
      </c>
      <c r="J4" s="108">
        <v>103</v>
      </c>
      <c r="K4" s="108">
        <v>1608.165</v>
      </c>
      <c r="L4" s="317">
        <v>1.000132</v>
      </c>
      <c r="M4" s="108">
        <v>1608.37727778</v>
      </c>
      <c r="N4" s="317">
        <v>0.99221492180943383</v>
      </c>
      <c r="O4" s="108">
        <v>1595.8477431700001</v>
      </c>
      <c r="P4" s="318">
        <v>0.83</v>
      </c>
      <c r="Q4" s="108">
        <v>1324.5536268311</v>
      </c>
      <c r="R4" s="318">
        <v>0.82889999999999997</v>
      </c>
      <c r="S4" s="108">
        <v>1322.7981943136131</v>
      </c>
    </row>
    <row r="5" spans="1:23">
      <c r="A5" t="s">
        <v>30</v>
      </c>
      <c r="B5" t="s">
        <v>31</v>
      </c>
      <c r="C5" t="s">
        <v>22</v>
      </c>
      <c r="D5" t="s">
        <v>32</v>
      </c>
      <c r="E5" t="s">
        <v>30</v>
      </c>
      <c r="F5" s="320">
        <v>103</v>
      </c>
      <c r="G5" s="320">
        <v>26.5</v>
      </c>
      <c r="H5" s="320">
        <v>98.233013271359553</v>
      </c>
      <c r="I5" s="320">
        <v>0</v>
      </c>
      <c r="J5" s="108">
        <v>103</v>
      </c>
      <c r="K5" s="108">
        <v>1606.2080000000001</v>
      </c>
      <c r="L5" s="317">
        <v>1.0002145</v>
      </c>
      <c r="M5" s="108">
        <v>1606.5525316159999</v>
      </c>
      <c r="N5" s="317">
        <v>0.98567063222825602</v>
      </c>
      <c r="O5" s="108">
        <v>1583.5310955099999</v>
      </c>
      <c r="P5" s="318">
        <v>0.73399999999999999</v>
      </c>
      <c r="Q5" s="108">
        <v>1162.3118241043401</v>
      </c>
      <c r="R5" s="318">
        <v>0.7329</v>
      </c>
      <c r="S5" s="108">
        <v>1160.569939899279</v>
      </c>
    </row>
    <row r="6" spans="1:23">
      <c r="A6" t="s">
        <v>33</v>
      </c>
      <c r="B6" t="s">
        <v>34</v>
      </c>
      <c r="C6" t="s">
        <v>22</v>
      </c>
      <c r="D6" t="s">
        <v>35</v>
      </c>
      <c r="E6" t="s">
        <v>33</v>
      </c>
      <c r="F6" s="320">
        <v>103</v>
      </c>
      <c r="G6" s="320">
        <v>28</v>
      </c>
      <c r="H6" s="320">
        <v>98.326818675352882</v>
      </c>
      <c r="I6" s="320">
        <v>0</v>
      </c>
      <c r="J6" s="108">
        <v>103</v>
      </c>
      <c r="K6" s="108">
        <v>1358.385</v>
      </c>
      <c r="L6" s="317">
        <v>1.000264</v>
      </c>
      <c r="M6" s="108">
        <v>1358.7436136399999</v>
      </c>
      <c r="N6" s="317">
        <v>0.98379315377625043</v>
      </c>
      <c r="O6" s="108">
        <v>1336.71875976</v>
      </c>
      <c r="P6" s="318">
        <v>0.73399999999999999</v>
      </c>
      <c r="Q6" s="108">
        <v>981.15156966383995</v>
      </c>
      <c r="R6" s="318">
        <v>0.7329</v>
      </c>
      <c r="S6" s="108">
        <v>979.681179028104</v>
      </c>
    </row>
    <row r="7" spans="1:23">
      <c r="A7" t="s">
        <v>36</v>
      </c>
      <c r="B7" t="s">
        <v>34</v>
      </c>
      <c r="C7" t="s">
        <v>22</v>
      </c>
      <c r="D7" t="s">
        <v>35</v>
      </c>
      <c r="E7" t="s">
        <v>36</v>
      </c>
      <c r="F7" s="320">
        <v>103</v>
      </c>
      <c r="G7" s="320">
        <v>27</v>
      </c>
      <c r="H7" s="320">
        <v>98.243851273148138</v>
      </c>
      <c r="I7" s="320">
        <v>0</v>
      </c>
      <c r="J7" s="108">
        <v>103</v>
      </c>
      <c r="K7" s="108">
        <v>1358.123</v>
      </c>
      <c r="L7" s="317">
        <v>1.0002310000000001</v>
      </c>
      <c r="M7" s="108">
        <v>1358.4367264130001</v>
      </c>
      <c r="N7" s="317">
        <v>0.98504501500613217</v>
      </c>
      <c r="O7" s="108">
        <v>1338.12836685</v>
      </c>
      <c r="P7" s="318">
        <v>0.73399999999999999</v>
      </c>
      <c r="Q7" s="108">
        <v>982.18622126789978</v>
      </c>
      <c r="R7" s="318">
        <v>0.7329</v>
      </c>
      <c r="S7" s="108">
        <v>980.71428006436486</v>
      </c>
    </row>
    <row r="8" spans="1:23">
      <c r="A8" t="s">
        <v>37</v>
      </c>
      <c r="B8" t="s">
        <v>28</v>
      </c>
      <c r="C8" t="s">
        <v>29</v>
      </c>
      <c r="D8" t="s">
        <v>23</v>
      </c>
      <c r="E8" t="s">
        <v>37</v>
      </c>
      <c r="F8" s="320">
        <v>103</v>
      </c>
      <c r="G8" s="320">
        <v>24</v>
      </c>
      <c r="H8" s="320">
        <v>98.272793053545598</v>
      </c>
      <c r="I8" s="320">
        <v>0</v>
      </c>
      <c r="J8" s="108">
        <v>103</v>
      </c>
      <c r="K8" s="108">
        <v>1358.13</v>
      </c>
      <c r="L8" s="317">
        <v>1.000132</v>
      </c>
      <c r="M8" s="108">
        <v>1358.30927316</v>
      </c>
      <c r="N8" s="317">
        <v>0.99221492180943383</v>
      </c>
      <c r="O8" s="108">
        <v>1347.7277728900001</v>
      </c>
      <c r="P8" s="318">
        <v>0.83</v>
      </c>
      <c r="Q8" s="108">
        <v>1118.6140514987001</v>
      </c>
      <c r="R8" s="318">
        <v>0.82889999999999997</v>
      </c>
      <c r="S8" s="108">
        <v>1117.131550948521</v>
      </c>
    </row>
    <row r="9" spans="1:23">
      <c r="A9" t="s">
        <v>38</v>
      </c>
      <c r="B9" t="s">
        <v>28</v>
      </c>
      <c r="C9" t="s">
        <v>29</v>
      </c>
      <c r="D9" t="s">
        <v>23</v>
      </c>
      <c r="E9" t="s">
        <v>38</v>
      </c>
      <c r="F9" s="320">
        <v>103</v>
      </c>
      <c r="G9" s="320">
        <v>24</v>
      </c>
      <c r="H9" s="320">
        <v>98.161904072921942</v>
      </c>
      <c r="I9" s="320">
        <v>0</v>
      </c>
      <c r="J9" s="108">
        <v>103</v>
      </c>
      <c r="K9" s="108">
        <v>1356.8920000000001</v>
      </c>
      <c r="L9" s="317">
        <v>1.000132</v>
      </c>
      <c r="M9" s="108">
        <v>1357.0711097440001</v>
      </c>
      <c r="N9" s="317">
        <v>0.99221492180943383</v>
      </c>
      <c r="O9" s="108">
        <v>1346.49941691</v>
      </c>
      <c r="P9" s="318">
        <v>0.83</v>
      </c>
      <c r="Q9" s="108">
        <v>1117.5945160353001</v>
      </c>
      <c r="R9" s="318">
        <v>0.82889999999999997</v>
      </c>
      <c r="S9" s="108">
        <v>1116.1133666766989</v>
      </c>
    </row>
    <row r="10" spans="1:23">
      <c r="A10" t="s">
        <v>39</v>
      </c>
      <c r="B10" t="s">
        <v>40</v>
      </c>
      <c r="C10" t="s">
        <v>22</v>
      </c>
      <c r="D10" t="s">
        <v>41</v>
      </c>
      <c r="E10" t="s">
        <v>39</v>
      </c>
      <c r="F10" s="320">
        <v>103</v>
      </c>
      <c r="G10" s="320">
        <v>25</v>
      </c>
      <c r="H10" s="320">
        <v>98.307286014036606</v>
      </c>
      <c r="I10" s="320">
        <v>0</v>
      </c>
      <c r="J10" s="108">
        <v>103</v>
      </c>
      <c r="K10" s="108">
        <v>1358.7049999999999</v>
      </c>
      <c r="L10" s="317">
        <v>1.000165</v>
      </c>
      <c r="M10" s="108">
        <v>1358.929186325</v>
      </c>
      <c r="N10" s="317">
        <v>0.98754621947743804</v>
      </c>
      <c r="O10" s="108">
        <v>1342.0103339499999</v>
      </c>
      <c r="P10" s="318">
        <v>0.73399999999999999</v>
      </c>
      <c r="Q10" s="108">
        <v>985.03558511930009</v>
      </c>
      <c r="R10" s="318">
        <v>0.7329</v>
      </c>
      <c r="S10" s="108">
        <v>983.55937375195504</v>
      </c>
    </row>
    <row r="11" spans="1:23">
      <c r="A11" t="s">
        <v>42</v>
      </c>
      <c r="B11" t="s">
        <v>34</v>
      </c>
      <c r="C11" t="s">
        <v>22</v>
      </c>
      <c r="D11" t="s">
        <v>35</v>
      </c>
      <c r="E11" t="s">
        <v>42</v>
      </c>
      <c r="F11" s="320">
        <v>103</v>
      </c>
      <c r="G11" s="320">
        <v>24</v>
      </c>
      <c r="H11" s="320">
        <v>98.332706222865411</v>
      </c>
      <c r="I11" s="320">
        <v>0</v>
      </c>
      <c r="J11" s="108">
        <v>103</v>
      </c>
      <c r="K11" s="108">
        <v>1358.9580000000001</v>
      </c>
      <c r="L11" s="317">
        <v>1.000132</v>
      </c>
      <c r="M11" s="108">
        <v>1359.1373824560001</v>
      </c>
      <c r="N11" s="317">
        <v>0.98879554825396143</v>
      </c>
      <c r="O11" s="108">
        <v>1343.9146656</v>
      </c>
      <c r="P11" s="318">
        <v>0.73399999999999999</v>
      </c>
      <c r="Q11" s="108">
        <v>986.43336455040003</v>
      </c>
      <c r="R11" s="318">
        <v>0.7329</v>
      </c>
      <c r="S11" s="108">
        <v>984.95505841824001</v>
      </c>
    </row>
    <row r="12" spans="1:23">
      <c r="A12" t="s">
        <v>43</v>
      </c>
      <c r="B12" t="s">
        <v>44</v>
      </c>
      <c r="C12" t="s">
        <v>22</v>
      </c>
      <c r="D12" t="s">
        <v>45</v>
      </c>
      <c r="E12" t="s">
        <v>43</v>
      </c>
      <c r="F12" s="320">
        <v>103</v>
      </c>
      <c r="G12" s="320">
        <v>23.5</v>
      </c>
      <c r="H12" s="320">
        <v>98.268589650674016</v>
      </c>
      <c r="I12" s="320">
        <v>0</v>
      </c>
      <c r="J12" s="108">
        <v>103</v>
      </c>
      <c r="K12" s="108">
        <v>1355.91</v>
      </c>
      <c r="L12" s="317">
        <v>1.0001154999999999</v>
      </c>
      <c r="M12" s="108">
        <v>1356.0666076049999</v>
      </c>
      <c r="N12" s="317">
        <v>0.98941989111181738</v>
      </c>
      <c r="O12" s="108">
        <v>1341.71981114</v>
      </c>
      <c r="P12" s="318">
        <v>0.73399999999999999</v>
      </c>
      <c r="Q12" s="108">
        <v>984.82234137676005</v>
      </c>
      <c r="R12" s="318">
        <v>0.7329</v>
      </c>
      <c r="S12" s="108">
        <v>983.34644958450599</v>
      </c>
    </row>
    <row r="13" spans="1:23">
      <c r="A13" t="s">
        <v>46</v>
      </c>
      <c r="B13" t="s">
        <v>44</v>
      </c>
      <c r="C13" t="s">
        <v>22</v>
      </c>
      <c r="D13" t="s">
        <v>45</v>
      </c>
      <c r="E13" t="s">
        <v>46</v>
      </c>
      <c r="F13" s="320">
        <v>103</v>
      </c>
      <c r="G13" s="320">
        <v>24</v>
      </c>
      <c r="H13" s="320">
        <v>98.295038029699384</v>
      </c>
      <c r="I13" s="320">
        <v>0</v>
      </c>
      <c r="J13" s="108">
        <v>103</v>
      </c>
      <c r="K13" s="108">
        <v>1356.963</v>
      </c>
      <c r="L13" s="317">
        <v>1.000132</v>
      </c>
      <c r="M13" s="108">
        <v>1357.142119116</v>
      </c>
      <c r="N13" s="317">
        <v>0.98879554825396143</v>
      </c>
      <c r="O13" s="108">
        <v>1341.9420095999999</v>
      </c>
      <c r="P13" s="318">
        <v>0.73399999999999999</v>
      </c>
      <c r="Q13" s="108">
        <v>984.98543504640008</v>
      </c>
      <c r="R13" s="318">
        <v>0.7329</v>
      </c>
      <c r="S13" s="108">
        <v>983.50929883584013</v>
      </c>
    </row>
    <row r="14" spans="1:23">
      <c r="A14" t="s">
        <v>47</v>
      </c>
      <c r="B14" t="s">
        <v>25</v>
      </c>
      <c r="C14" t="s">
        <v>22</v>
      </c>
      <c r="D14" t="s">
        <v>26</v>
      </c>
      <c r="E14" t="s">
        <v>47</v>
      </c>
      <c r="F14" s="320">
        <v>103</v>
      </c>
      <c r="G14" s="320">
        <v>27</v>
      </c>
      <c r="H14" s="320">
        <v>98.337008559408105</v>
      </c>
      <c r="I14" s="320">
        <v>0</v>
      </c>
      <c r="J14" s="108">
        <v>103</v>
      </c>
      <c r="K14" s="108">
        <v>1355.674</v>
      </c>
      <c r="L14" s="317">
        <v>1.0002310000000001</v>
      </c>
      <c r="M14" s="108">
        <v>1355.9871606940001</v>
      </c>
      <c r="N14" s="317">
        <v>0.98504501500613217</v>
      </c>
      <c r="O14" s="108">
        <v>1335.7149943500001</v>
      </c>
      <c r="P14" s="318">
        <v>0.73399999999999999</v>
      </c>
      <c r="Q14" s="108">
        <v>980.41480585290003</v>
      </c>
      <c r="R14" s="318">
        <v>0.7329</v>
      </c>
      <c r="S14" s="108">
        <v>978.94551935911511</v>
      </c>
    </row>
    <row r="15" spans="1:23">
      <c r="A15" t="s">
        <v>48</v>
      </c>
      <c r="B15" t="s">
        <v>25</v>
      </c>
      <c r="C15" t="s">
        <v>22</v>
      </c>
      <c r="D15" t="s">
        <v>26</v>
      </c>
      <c r="E15" t="s">
        <v>48</v>
      </c>
      <c r="F15" s="320">
        <v>103</v>
      </c>
      <c r="G15" s="320">
        <v>26</v>
      </c>
      <c r="H15" s="320">
        <v>98.349183303085297</v>
      </c>
      <c r="I15" s="320">
        <v>0</v>
      </c>
      <c r="J15" s="108">
        <v>103</v>
      </c>
      <c r="K15" s="108">
        <v>1354.76</v>
      </c>
      <c r="L15" s="317">
        <v>1.0001979999999999</v>
      </c>
      <c r="M15" s="108">
        <v>1355.02824248</v>
      </c>
      <c r="N15" s="317">
        <v>0.98629603931685628</v>
      </c>
      <c r="O15" s="108">
        <v>1336.4641164</v>
      </c>
      <c r="P15" s="318">
        <v>0.73399999999999999</v>
      </c>
      <c r="Q15" s="108">
        <v>980.96466143759994</v>
      </c>
      <c r="R15" s="318">
        <v>0.7329</v>
      </c>
      <c r="S15" s="108">
        <v>979.49455090955996</v>
      </c>
    </row>
    <row r="16" spans="1:23">
      <c r="A16" t="s">
        <v>49</v>
      </c>
      <c r="B16" t="s">
        <v>50</v>
      </c>
      <c r="C16" t="s">
        <v>51</v>
      </c>
      <c r="D16" t="s">
        <v>52</v>
      </c>
      <c r="E16" t="s">
        <v>49</v>
      </c>
      <c r="F16" s="320">
        <v>103</v>
      </c>
      <c r="G16" s="320">
        <v>24</v>
      </c>
      <c r="H16" s="320">
        <v>98.135805312452035</v>
      </c>
      <c r="I16" s="320">
        <v>0</v>
      </c>
      <c r="J16" s="108">
        <v>103</v>
      </c>
      <c r="K16" s="108">
        <v>1278.317</v>
      </c>
      <c r="L16" s="317">
        <v>1.000132</v>
      </c>
      <c r="M16" s="108">
        <v>1278.4857378439999</v>
      </c>
      <c r="N16" s="317">
        <v>0.99155528610166754</v>
      </c>
      <c r="O16" s="108">
        <v>1267.69557816</v>
      </c>
      <c r="P16" s="318">
        <v>0.79700000000000004</v>
      </c>
      <c r="Q16" s="108">
        <v>1010.3533757935199</v>
      </c>
      <c r="R16" s="318">
        <v>0.79590000000000005</v>
      </c>
      <c r="S16" s="108">
        <v>1008.958910657544</v>
      </c>
    </row>
    <row r="17" spans="1:19">
      <c r="A17" t="s">
        <v>53</v>
      </c>
      <c r="B17" t="s">
        <v>21</v>
      </c>
      <c r="C17" t="s">
        <v>22</v>
      </c>
      <c r="D17" t="s">
        <v>23</v>
      </c>
      <c r="E17" t="s">
        <v>53</v>
      </c>
      <c r="F17" s="320">
        <v>103</v>
      </c>
      <c r="G17" s="320">
        <v>25</v>
      </c>
      <c r="H17" s="320">
        <v>98.286756238003832</v>
      </c>
      <c r="I17" s="320">
        <v>0</v>
      </c>
      <c r="J17" s="108">
        <v>103</v>
      </c>
      <c r="K17" s="108">
        <v>1280.1849999999999</v>
      </c>
      <c r="L17" s="317">
        <v>1.000165</v>
      </c>
      <c r="M17" s="108">
        <v>1280.396230525</v>
      </c>
      <c r="N17" s="317">
        <v>0.98754621947743804</v>
      </c>
      <c r="O17" s="108">
        <v>1264.4550698</v>
      </c>
      <c r="P17" s="318">
        <v>0.73399999999999999</v>
      </c>
      <c r="Q17" s="108">
        <v>928.11002123319997</v>
      </c>
      <c r="R17" s="318">
        <v>0.7329</v>
      </c>
      <c r="S17" s="108">
        <v>926.71912065642005</v>
      </c>
    </row>
    <row r="18" spans="1:19">
      <c r="A18" t="s">
        <v>54</v>
      </c>
      <c r="B18" t="s">
        <v>55</v>
      </c>
      <c r="C18" t="s">
        <v>56</v>
      </c>
      <c r="E18" t="s">
        <v>54</v>
      </c>
      <c r="F18" s="320">
        <v>1229.54713438166</v>
      </c>
      <c r="G18" s="320">
        <v>20</v>
      </c>
      <c r="H18" s="320">
        <v>7.4283060452152133E-2</v>
      </c>
      <c r="I18" s="320">
        <v>0</v>
      </c>
      <c r="J18" s="108">
        <v>1229.54713438166</v>
      </c>
      <c r="K18" s="108">
        <v>0.28383557398767328</v>
      </c>
      <c r="L18" s="317">
        <v>1</v>
      </c>
      <c r="M18" s="108">
        <v>0.28383557398767328</v>
      </c>
      <c r="N18" s="317">
        <v>0.99614044432908577</v>
      </c>
      <c r="O18" s="108">
        <v>0.28290376</v>
      </c>
      <c r="P18" s="318">
        <v>0.9</v>
      </c>
      <c r="Q18" s="108">
        <v>0.254613384</v>
      </c>
      <c r="R18" s="318">
        <v>0.89890000000000003</v>
      </c>
      <c r="S18" s="108">
        <v>0.25430218986399999</v>
      </c>
    </row>
    <row r="19" spans="1:19">
      <c r="A19" t="s">
        <v>57</v>
      </c>
      <c r="B19" t="s">
        <v>50</v>
      </c>
      <c r="C19" t="s">
        <v>51</v>
      </c>
      <c r="D19" t="s">
        <v>52</v>
      </c>
      <c r="E19" t="s">
        <v>57</v>
      </c>
      <c r="F19" s="320">
        <v>178</v>
      </c>
      <c r="G19" s="320">
        <v>24</v>
      </c>
      <c r="H19" s="320">
        <v>90.54867034621175</v>
      </c>
      <c r="I19" s="320">
        <v>0</v>
      </c>
      <c r="J19" s="108">
        <v>178</v>
      </c>
      <c r="K19" s="108">
        <v>360.92700000000002</v>
      </c>
      <c r="L19" s="317">
        <v>1.000132</v>
      </c>
      <c r="M19" s="108">
        <v>360.97464236399998</v>
      </c>
      <c r="N19" s="317">
        <v>0.99155528610166754</v>
      </c>
      <c r="O19" s="108">
        <v>357.92837100000003</v>
      </c>
      <c r="P19" s="318">
        <v>0.79700000000000004</v>
      </c>
      <c r="Q19" s="108">
        <v>285.26891168700001</v>
      </c>
      <c r="R19" s="318">
        <v>0.79590000000000005</v>
      </c>
      <c r="S19" s="108">
        <v>284.87519047889998</v>
      </c>
    </row>
    <row r="20" spans="1:19">
      <c r="F20" s="320"/>
      <c r="G20" s="320"/>
      <c r="H20" s="320"/>
      <c r="I20" s="320"/>
      <c r="J20" s="108"/>
      <c r="K20" s="108"/>
      <c r="L20" s="317"/>
      <c r="M20" s="108"/>
      <c r="N20" s="317"/>
      <c r="O20" s="108"/>
      <c r="P20" s="318"/>
      <c r="Q20" s="108"/>
      <c r="R20" s="318"/>
      <c r="S20" s="108"/>
    </row>
    <row r="21" spans="1:19">
      <c r="F21" s="320"/>
      <c r="G21" s="320"/>
      <c r="H21" s="320"/>
      <c r="I21" s="320"/>
      <c r="J21" s="108"/>
      <c r="K21" s="108"/>
      <c r="L21" s="317"/>
      <c r="M21" s="108"/>
      <c r="N21" s="317"/>
      <c r="O21" s="108"/>
      <c r="P21" s="318"/>
      <c r="Q21" s="108"/>
      <c r="R21" s="318"/>
      <c r="S21" s="108"/>
    </row>
    <row r="22" spans="1:19">
      <c r="F22" s="320"/>
      <c r="G22" s="320"/>
      <c r="H22" s="320"/>
      <c r="I22" s="320"/>
      <c r="J22" s="108"/>
      <c r="K22" s="108"/>
      <c r="L22" s="317"/>
      <c r="M22" s="108"/>
      <c r="N22" s="317"/>
      <c r="O22" s="108"/>
      <c r="P22" s="318"/>
      <c r="Q22" s="108"/>
      <c r="R22" s="318"/>
      <c r="S22" s="108"/>
    </row>
    <row r="23" spans="1:19">
      <c r="F23" s="320"/>
      <c r="G23" s="320"/>
      <c r="H23" s="320"/>
      <c r="I23" s="320"/>
      <c r="J23" s="108"/>
      <c r="K23" s="108"/>
      <c r="L23" s="317"/>
      <c r="M23" s="108"/>
      <c r="N23" s="317"/>
      <c r="O23" s="108"/>
      <c r="P23" s="318"/>
      <c r="Q23" s="108"/>
      <c r="R23" s="318"/>
      <c r="S23" s="108"/>
    </row>
    <row r="24" spans="1:19">
      <c r="F24" s="320"/>
      <c r="G24" s="320"/>
      <c r="H24" s="320"/>
      <c r="I24" s="320"/>
      <c r="J24" s="108"/>
      <c r="K24" s="108"/>
      <c r="L24" s="317"/>
      <c r="M24" s="108"/>
      <c r="N24" s="317"/>
      <c r="O24" s="108"/>
      <c r="P24" s="318"/>
      <c r="Q24" s="108"/>
      <c r="R24" s="318"/>
      <c r="S24" s="108"/>
    </row>
    <row r="25" spans="1:19">
      <c r="F25" s="320"/>
      <c r="G25" s="320"/>
      <c r="H25" s="320"/>
      <c r="I25" s="320"/>
      <c r="J25" s="108"/>
      <c r="K25" s="108"/>
      <c r="L25" s="317"/>
      <c r="M25" s="108"/>
      <c r="N25" s="317"/>
      <c r="O25" s="108"/>
      <c r="P25" s="318"/>
      <c r="Q25" s="108"/>
      <c r="R25" s="318"/>
      <c r="S25" s="108"/>
    </row>
    <row r="26" spans="1:19">
      <c r="F26" s="320"/>
      <c r="G26" s="320"/>
      <c r="H26" s="320"/>
      <c r="I26" s="320"/>
      <c r="J26" s="108"/>
      <c r="K26" s="108"/>
      <c r="L26" s="317"/>
      <c r="M26" s="108"/>
      <c r="N26" s="317"/>
      <c r="O26" s="108"/>
      <c r="P26" s="318"/>
      <c r="Q26" s="108"/>
      <c r="R26" s="318"/>
      <c r="S26" s="108"/>
    </row>
    <row r="27" spans="1:19">
      <c r="F27" s="320"/>
      <c r="G27" s="320"/>
      <c r="H27" s="320"/>
      <c r="I27" s="320"/>
      <c r="J27" s="108"/>
      <c r="K27" s="108"/>
      <c r="L27" s="317"/>
      <c r="M27" s="108"/>
      <c r="N27" s="317"/>
      <c r="O27" s="108"/>
      <c r="P27" s="318"/>
      <c r="Q27" s="108"/>
      <c r="R27" s="318"/>
      <c r="S27" s="108"/>
    </row>
    <row r="28" spans="1:19">
      <c r="F28" s="320"/>
      <c r="G28" s="320"/>
      <c r="H28" s="320"/>
      <c r="I28" s="320"/>
      <c r="J28" s="108"/>
      <c r="K28" s="108"/>
      <c r="L28" s="317"/>
      <c r="M28" s="108"/>
      <c r="N28" s="317"/>
      <c r="O28" s="108"/>
      <c r="P28" s="318"/>
      <c r="Q28" s="108"/>
      <c r="R28" s="318"/>
      <c r="S28" s="108"/>
    </row>
    <row r="29" spans="1:19">
      <c r="F29" s="320"/>
      <c r="G29" s="320"/>
      <c r="H29" s="320"/>
      <c r="I29" s="320"/>
      <c r="J29" s="108"/>
      <c r="K29" s="108"/>
      <c r="L29" s="317"/>
      <c r="M29" s="108"/>
      <c r="N29" s="317"/>
      <c r="O29" s="108"/>
      <c r="P29" s="318"/>
      <c r="Q29" s="108"/>
      <c r="R29" s="318"/>
      <c r="S29" s="108"/>
    </row>
    <row r="30" spans="1:19">
      <c r="F30" s="320"/>
      <c r="G30" s="320"/>
      <c r="H30" s="320"/>
      <c r="I30" s="320"/>
      <c r="J30" s="108"/>
      <c r="K30" s="108"/>
      <c r="L30" s="317"/>
      <c r="M30" s="108"/>
      <c r="N30" s="317"/>
      <c r="O30" s="108"/>
      <c r="P30" s="318"/>
      <c r="Q30" s="108"/>
      <c r="R30" s="318"/>
      <c r="S30" s="108"/>
    </row>
    <row r="31" spans="1:19">
      <c r="F31" s="320"/>
      <c r="G31" s="320"/>
      <c r="H31" s="320"/>
      <c r="I31" s="320"/>
      <c r="J31" s="108"/>
      <c r="K31" s="108"/>
      <c r="L31" s="317"/>
      <c r="M31" s="108"/>
      <c r="N31" s="317"/>
      <c r="O31" s="108"/>
      <c r="P31" s="318"/>
      <c r="Q31" s="108"/>
      <c r="R31" s="318"/>
      <c r="S31" s="108"/>
    </row>
    <row r="32" spans="1:19">
      <c r="F32" s="320"/>
      <c r="G32" s="320"/>
      <c r="H32" s="320"/>
      <c r="I32" s="320"/>
      <c r="J32" s="108"/>
      <c r="K32" s="108"/>
      <c r="L32" s="317"/>
      <c r="M32" s="108"/>
      <c r="N32" s="317"/>
      <c r="O32" s="108"/>
      <c r="P32" s="318"/>
      <c r="Q32" s="108"/>
      <c r="R32" s="318"/>
      <c r="S32" s="108"/>
    </row>
    <row r="33" spans="6:19">
      <c r="F33" s="320"/>
      <c r="G33" s="320"/>
      <c r="H33" s="320"/>
      <c r="I33" s="320"/>
      <c r="J33" s="108"/>
      <c r="K33" s="108"/>
      <c r="L33" s="317"/>
      <c r="M33" s="108"/>
      <c r="N33" s="317"/>
      <c r="O33" s="108"/>
      <c r="P33" s="318"/>
      <c r="Q33" s="108"/>
      <c r="R33" s="318"/>
      <c r="S33" s="108"/>
    </row>
    <row r="34" spans="6:19">
      <c r="F34" s="320"/>
      <c r="G34" s="320"/>
      <c r="H34" s="320"/>
      <c r="I34" s="320"/>
      <c r="J34" s="108"/>
      <c r="K34" s="108"/>
      <c r="L34" s="317"/>
      <c r="M34" s="108"/>
      <c r="N34" s="317"/>
      <c r="O34" s="108"/>
      <c r="P34" s="318"/>
      <c r="Q34" s="108"/>
      <c r="R34" s="318"/>
      <c r="S34" s="108"/>
    </row>
    <row r="35" spans="6:19">
      <c r="F35" s="320"/>
      <c r="G35" s="320"/>
      <c r="H35" s="320"/>
      <c r="I35" s="320"/>
      <c r="J35" s="108"/>
      <c r="K35" s="108"/>
      <c r="L35" s="317"/>
      <c r="M35" s="108"/>
      <c r="N35" s="317"/>
      <c r="O35" s="108"/>
      <c r="P35" s="318"/>
      <c r="Q35" s="108"/>
      <c r="R35" s="318"/>
      <c r="S35" s="10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35"/>
  <sheetViews>
    <sheetView workbookViewId="0">
      <selection activeCell="I10" sqref="I10"/>
    </sheetView>
  </sheetViews>
  <sheetFormatPr defaultRowHeight="13.5"/>
  <sheetData>
    <row r="1" spans="1:9">
      <c r="A1" t="s">
        <v>58</v>
      </c>
      <c r="B1" t="s">
        <v>2</v>
      </c>
      <c r="C1" t="s">
        <v>3</v>
      </c>
      <c r="D1" t="s">
        <v>59</v>
      </c>
      <c r="E1" t="s">
        <v>10</v>
      </c>
      <c r="F1" t="s">
        <v>12</v>
      </c>
      <c r="G1" t="s">
        <v>16</v>
      </c>
      <c r="H1" t="s">
        <v>18</v>
      </c>
      <c r="I1" t="s">
        <v>60</v>
      </c>
    </row>
    <row r="2" spans="1:9">
      <c r="A2" t="s">
        <v>21</v>
      </c>
      <c r="B2" t="s">
        <v>22</v>
      </c>
      <c r="C2" t="s">
        <v>23</v>
      </c>
      <c r="D2" s="318">
        <v>0.73399999999999999</v>
      </c>
      <c r="E2" s="108">
        <v>2058.5990000000002</v>
      </c>
      <c r="F2" s="108">
        <v>2059.0157318209999</v>
      </c>
      <c r="G2" s="108">
        <v>1490.3529714664</v>
      </c>
      <c r="H2" s="108">
        <v>1488.1194724628399</v>
      </c>
      <c r="I2" t="s">
        <v>61</v>
      </c>
    </row>
    <row r="3" spans="1:9">
      <c r="A3" t="s">
        <v>25</v>
      </c>
      <c r="B3" t="s">
        <v>22</v>
      </c>
      <c r="C3" t="s">
        <v>26</v>
      </c>
      <c r="D3" s="318">
        <v>0.73399999999999999</v>
      </c>
      <c r="E3" s="108">
        <v>3483.596</v>
      </c>
      <c r="F3" s="108">
        <v>3484.343246423</v>
      </c>
      <c r="G3" s="108">
        <v>2520.86818525434</v>
      </c>
      <c r="H3" s="108">
        <v>2517.090317401779</v>
      </c>
      <c r="I3" t="s">
        <v>62</v>
      </c>
    </row>
    <row r="4" spans="1:9">
      <c r="A4" t="s">
        <v>28</v>
      </c>
      <c r="B4" t="s">
        <v>29</v>
      </c>
      <c r="C4" t="s">
        <v>23</v>
      </c>
      <c r="D4" s="318">
        <v>0.83</v>
      </c>
      <c r="E4" s="108">
        <v>4323.1869999999999</v>
      </c>
      <c r="F4" s="108">
        <v>4323.7576606840003</v>
      </c>
      <c r="G4" s="108">
        <v>3560.7621943651002</v>
      </c>
      <c r="H4" s="108">
        <v>3556.0431119388331</v>
      </c>
      <c r="I4" t="s">
        <v>63</v>
      </c>
    </row>
    <row r="5" spans="1:9">
      <c r="A5" t="s">
        <v>31</v>
      </c>
      <c r="B5" t="s">
        <v>22</v>
      </c>
      <c r="C5" t="s">
        <v>32</v>
      </c>
      <c r="D5" s="318">
        <v>0.73399999999999999</v>
      </c>
      <c r="E5" s="108">
        <v>1606.2080000000001</v>
      </c>
      <c r="F5" s="108">
        <v>1606.5525316159999</v>
      </c>
      <c r="G5" s="108">
        <v>1162.3118241043401</v>
      </c>
      <c r="H5" s="108">
        <v>1160.569939899279</v>
      </c>
      <c r="I5" t="s">
        <v>64</v>
      </c>
    </row>
    <row r="6" spans="1:9">
      <c r="A6" t="s">
        <v>34</v>
      </c>
      <c r="B6" t="s">
        <v>22</v>
      </c>
      <c r="C6" t="s">
        <v>35</v>
      </c>
      <c r="D6" s="318">
        <v>0.73399999999999999</v>
      </c>
      <c r="E6" s="108">
        <v>4075.4659999999999</v>
      </c>
      <c r="F6" s="108">
        <v>4076.3177225089999</v>
      </c>
      <c r="G6" s="108">
        <v>2949.7711554821399</v>
      </c>
      <c r="H6" s="108">
        <v>2945.3505175107089</v>
      </c>
      <c r="I6" t="s">
        <v>65</v>
      </c>
    </row>
    <row r="7" spans="1:9">
      <c r="A7" t="s">
        <v>40</v>
      </c>
      <c r="B7" t="s">
        <v>22</v>
      </c>
      <c r="C7" t="s">
        <v>41</v>
      </c>
      <c r="D7" s="318">
        <v>0.73399999999999999</v>
      </c>
      <c r="E7" s="108">
        <v>1358.7049999999999</v>
      </c>
      <c r="F7" s="108">
        <v>1358.929186325</v>
      </c>
      <c r="G7" s="108">
        <v>985.03558511930009</v>
      </c>
      <c r="H7" s="108">
        <v>983.55937375195504</v>
      </c>
      <c r="I7" t="s">
        <v>66</v>
      </c>
    </row>
    <row r="8" spans="1:9">
      <c r="A8" t="s">
        <v>44</v>
      </c>
      <c r="B8" t="s">
        <v>22</v>
      </c>
      <c r="C8" t="s">
        <v>45</v>
      </c>
      <c r="D8" s="318">
        <v>0.73399999999999999</v>
      </c>
      <c r="E8" s="108">
        <v>2712.873</v>
      </c>
      <c r="F8" s="108">
        <v>2713.2087267209999</v>
      </c>
      <c r="G8" s="108">
        <v>1969.80777642316</v>
      </c>
      <c r="H8" s="108">
        <v>1966.8557484203459</v>
      </c>
      <c r="I8" t="s">
        <v>67</v>
      </c>
    </row>
    <row r="9" spans="1:9">
      <c r="A9" t="s">
        <v>50</v>
      </c>
      <c r="B9" t="s">
        <v>51</v>
      </c>
      <c r="C9" t="s">
        <v>52</v>
      </c>
      <c r="D9" s="318">
        <v>0.79700000000000004</v>
      </c>
      <c r="E9" s="108">
        <v>1639.2439999999999</v>
      </c>
      <c r="F9" s="108">
        <v>1639.4603802080001</v>
      </c>
      <c r="G9" s="108">
        <v>1295.6222874805201</v>
      </c>
      <c r="H9" s="108">
        <v>1293.8341011364439</v>
      </c>
      <c r="I9" t="s">
        <v>68</v>
      </c>
    </row>
    <row r="10" spans="1:9">
      <c r="A10" t="s">
        <v>55</v>
      </c>
      <c r="B10" t="s">
        <v>56</v>
      </c>
      <c r="D10" s="318">
        <v>0</v>
      </c>
      <c r="E10" s="108">
        <v>0.28383557398767328</v>
      </c>
      <c r="F10" s="108">
        <v>0.28383557398767328</v>
      </c>
      <c r="G10" s="108">
        <v>0.254613384</v>
      </c>
      <c r="H10" s="108">
        <v>0.25430218986399999</v>
      </c>
      <c r="I10" t="s">
        <v>69</v>
      </c>
    </row>
    <row r="11" spans="1:9">
      <c r="D11" s="318"/>
      <c r="E11" s="108"/>
      <c r="F11" s="108"/>
      <c r="G11" s="108"/>
      <c r="H11" s="108"/>
    </row>
    <row r="12" spans="1:9">
      <c r="D12" s="318"/>
      <c r="E12" s="108"/>
      <c r="F12" s="108"/>
      <c r="G12" s="108"/>
      <c r="H12" s="108"/>
    </row>
    <row r="13" spans="1:9">
      <c r="D13" s="318"/>
      <c r="E13" s="108"/>
      <c r="F13" s="108"/>
      <c r="G13" s="108"/>
      <c r="H13" s="108"/>
    </row>
    <row r="14" spans="1:9">
      <c r="D14" s="318"/>
      <c r="E14" s="108"/>
      <c r="F14" s="108"/>
      <c r="G14" s="108"/>
      <c r="H14" s="108"/>
    </row>
    <row r="15" spans="1:9">
      <c r="D15" s="318"/>
      <c r="E15" s="108"/>
      <c r="F15" s="108"/>
      <c r="G15" s="108"/>
      <c r="H15" s="108"/>
    </row>
    <row r="16" spans="1:9">
      <c r="D16" s="318"/>
      <c r="E16" s="108"/>
      <c r="F16" s="108"/>
      <c r="G16" s="108"/>
      <c r="H16" s="108"/>
    </row>
    <row r="17" spans="4:8">
      <c r="D17" s="318"/>
      <c r="E17" s="108"/>
      <c r="F17" s="108"/>
      <c r="G17" s="108"/>
      <c r="H17" s="108"/>
    </row>
    <row r="18" spans="4:8">
      <c r="D18" s="318"/>
      <c r="E18" s="108"/>
      <c r="F18" s="108"/>
      <c r="G18" s="108"/>
      <c r="H18" s="108"/>
    </row>
    <row r="19" spans="4:8">
      <c r="D19" s="318"/>
      <c r="E19" s="108"/>
      <c r="F19" s="108"/>
      <c r="G19" s="108"/>
      <c r="H19" s="108"/>
    </row>
    <row r="20" spans="4:8">
      <c r="D20" s="318"/>
      <c r="E20" s="108"/>
      <c r="F20" s="108"/>
      <c r="G20" s="108"/>
      <c r="H20" s="108"/>
    </row>
    <row r="21" spans="4:8">
      <c r="D21" s="318"/>
      <c r="E21" s="108"/>
      <c r="F21" s="108"/>
      <c r="G21" s="108"/>
      <c r="H21" s="108"/>
    </row>
    <row r="22" spans="4:8">
      <c r="D22" s="318"/>
      <c r="E22" s="108"/>
      <c r="F22" s="108"/>
      <c r="G22" s="108"/>
      <c r="H22" s="108"/>
    </row>
    <row r="23" spans="4:8">
      <c r="D23" s="318"/>
      <c r="E23" s="108"/>
      <c r="F23" s="108"/>
      <c r="G23" s="108"/>
      <c r="H23" s="108"/>
    </row>
    <row r="24" spans="4:8">
      <c r="D24" s="318"/>
      <c r="E24" s="108"/>
      <c r="F24" s="108"/>
      <c r="G24" s="108"/>
      <c r="H24" s="108"/>
    </row>
    <row r="25" spans="4:8">
      <c r="D25" s="318"/>
      <c r="E25" s="108"/>
      <c r="F25" s="108"/>
      <c r="G25" s="108"/>
      <c r="H25" s="108"/>
    </row>
    <row r="26" spans="4:8">
      <c r="D26" s="318"/>
      <c r="E26" s="108"/>
      <c r="F26" s="108"/>
      <c r="G26" s="108"/>
      <c r="H26" s="108"/>
    </row>
    <row r="27" spans="4:8">
      <c r="D27" s="318"/>
      <c r="E27" s="108"/>
      <c r="F27" s="108"/>
      <c r="G27" s="108"/>
      <c r="H27" s="108"/>
    </row>
    <row r="28" spans="4:8">
      <c r="D28" s="318"/>
      <c r="E28" s="108"/>
      <c r="F28" s="108"/>
      <c r="G28" s="108"/>
      <c r="H28" s="108"/>
    </row>
    <row r="29" spans="4:8">
      <c r="D29" s="318"/>
      <c r="E29" s="108"/>
      <c r="F29" s="108"/>
      <c r="G29" s="108"/>
      <c r="H29" s="108"/>
    </row>
    <row r="30" spans="4:8">
      <c r="D30" s="318"/>
      <c r="E30" s="108"/>
      <c r="F30" s="108"/>
      <c r="G30" s="108"/>
      <c r="H30" s="108"/>
    </row>
    <row r="31" spans="4:8">
      <c r="D31" s="318"/>
      <c r="E31" s="108"/>
      <c r="F31" s="108"/>
      <c r="G31" s="108"/>
      <c r="H31" s="108"/>
    </row>
    <row r="32" spans="4:8">
      <c r="D32" s="318"/>
      <c r="E32" s="108"/>
      <c r="F32" s="108"/>
      <c r="G32" s="108"/>
      <c r="H32" s="108"/>
    </row>
    <row r="33" spans="4:8">
      <c r="D33" s="318"/>
      <c r="E33" s="108"/>
      <c r="F33" s="108"/>
      <c r="G33" s="108"/>
      <c r="H33" s="108"/>
    </row>
    <row r="34" spans="4:8">
      <c r="D34" s="318"/>
      <c r="E34" s="108"/>
      <c r="F34" s="108"/>
      <c r="G34" s="108"/>
      <c r="H34" s="108"/>
    </row>
    <row r="35" spans="4:8">
      <c r="D35" s="318"/>
      <c r="E35" s="108"/>
      <c r="G35" s="108"/>
      <c r="H35" s="10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B9"/>
  <sheetViews>
    <sheetView workbookViewId="0">
      <selection activeCell="B3" sqref="B3"/>
    </sheetView>
  </sheetViews>
  <sheetFormatPr defaultRowHeight="13.5"/>
  <sheetData>
    <row r="1" spans="1:2">
      <c r="A1" t="s">
        <v>70</v>
      </c>
      <c r="B1" t="s">
        <v>71</v>
      </c>
    </row>
    <row r="2" spans="1:2">
      <c r="A2" t="s">
        <v>72</v>
      </c>
      <c r="B2" t="s">
        <v>73</v>
      </c>
    </row>
    <row r="3" spans="1:2">
      <c r="A3" t="s">
        <v>74</v>
      </c>
      <c r="B3" t="s">
        <v>75</v>
      </c>
    </row>
    <row r="4" spans="1:2">
      <c r="A4" t="s">
        <v>76</v>
      </c>
      <c r="B4" t="s">
        <v>77</v>
      </c>
    </row>
    <row r="5" spans="1:2">
      <c r="A5" t="s">
        <v>78</v>
      </c>
      <c r="B5">
        <v>0.99995000000000001</v>
      </c>
    </row>
    <row r="6" spans="1:2">
      <c r="A6" t="s">
        <v>79</v>
      </c>
      <c r="B6" s="319">
        <v>9</v>
      </c>
    </row>
    <row r="7" spans="1:2">
      <c r="A7" t="s">
        <v>80</v>
      </c>
      <c r="B7" s="319">
        <v>9</v>
      </c>
    </row>
    <row r="8" spans="1:2">
      <c r="A8" t="s">
        <v>81</v>
      </c>
      <c r="B8" t="s">
        <v>82</v>
      </c>
    </row>
    <row r="9" spans="1:2">
      <c r="A9" t="s">
        <v>83</v>
      </c>
      <c r="B9" t="s">
        <v>84</v>
      </c>
    </row>
  </sheetData>
  <pageMargins left="0.7" right="0.7" top="0.75" bottom="0.75" header="0.3" footer="0.3"/>
  <ignoredErrors>
    <ignoredError sqref="B3" twoDigitTextYea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tabSelected="1" zoomScale="70" zoomScaleNormal="70" workbookViewId="0">
      <selection activeCell="D34" sqref="D34"/>
    </sheetView>
  </sheetViews>
  <sheetFormatPr defaultColWidth="8.75" defaultRowHeight="13.5"/>
  <cols>
    <col min="1" max="1" width="0.8125" style="62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1" customWidth="1"/>
    <col min="27" max="27" width="13.5" customWidth="1"/>
  </cols>
  <sheetData>
    <row r="1" spans="1:27" ht="5.25" customHeight="1" thickTop="1" thickBot="1">
      <c r="A1" s="298"/>
      <c r="B1" s="351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45"/>
      <c r="Z1" s="304"/>
    </row>
    <row r="2" spans="1:27" ht="31.9" customHeight="1" thickTop="1" thickBot="1">
      <c r="A2" s="301"/>
      <c r="B2" s="105" t="s">
        <v>1</v>
      </c>
      <c r="C2" s="105" t="s">
        <v>85</v>
      </c>
      <c r="D2" s="329" t="s">
        <v>3</v>
      </c>
      <c r="E2" s="105" t="s">
        <v>86</v>
      </c>
      <c r="F2" s="105" t="s">
        <v>87</v>
      </c>
      <c r="G2" s="105" t="s">
        <v>88</v>
      </c>
      <c r="H2" s="109" t="s">
        <v>89</v>
      </c>
      <c r="I2" s="105" t="s">
        <v>90</v>
      </c>
      <c r="J2" s="109" t="s">
        <v>91</v>
      </c>
      <c r="K2" s="328" t="s">
        <v>92</v>
      </c>
      <c r="L2" s="109" t="s">
        <v>93</v>
      </c>
      <c r="M2" s="105" t="s">
        <v>13</v>
      </c>
      <c r="N2" s="270" t="s">
        <v>94</v>
      </c>
      <c r="O2" s="270" t="s">
        <v>95</v>
      </c>
      <c r="P2" s="271" t="s">
        <v>14</v>
      </c>
      <c r="Q2" s="330" t="s">
        <v>96</v>
      </c>
      <c r="R2" s="330" t="s">
        <v>97</v>
      </c>
      <c r="S2" s="105" t="s">
        <v>86</v>
      </c>
      <c r="T2" s="119"/>
      <c r="U2" s="308" t="s">
        <v>1</v>
      </c>
      <c r="V2" s="309" t="s">
        <v>85</v>
      </c>
      <c r="W2" s="310" t="s">
        <v>98</v>
      </c>
      <c r="X2" s="311" t="s">
        <v>3</v>
      </c>
      <c r="Y2" s="311" t="s">
        <v>99</v>
      </c>
      <c r="Z2" s="305"/>
    </row>
    <row r="3" spans="1:27" ht="20.100000000000001" customHeight="1" thickTop="1" thickBot="1">
      <c r="A3" s="301"/>
      <c r="B3" s="288" t="str">
        <f>DATA!B2</f>
        <v>4</v>
      </c>
      <c r="C3" s="296" t="str">
        <f>DATA!C2</f>
        <v>KBZ</v>
      </c>
      <c r="D3" s="297" t="str">
        <f>DATA!D2</f>
        <v>ANTALYA OPET</v>
      </c>
      <c r="E3" s="338" t="s">
        <v>20</v>
      </c>
      <c r="F3" s="253">
        <f>DATA!F2*10</f>
        <v>1050</v>
      </c>
      <c r="G3" s="216">
        <f>DATA!G2</f>
        <v>28</v>
      </c>
      <c r="H3" s="254">
        <f>DATA!J2*10</f>
        <v>1050</v>
      </c>
      <c r="I3" s="255">
        <f>DATA!H2</f>
        <v>97.521172638436468</v>
      </c>
      <c r="J3" s="256">
        <f>DATA!K2</f>
        <v>778.41399999999999</v>
      </c>
      <c r="K3" s="321">
        <f>DATA!L2</f>
        <v>1.000264</v>
      </c>
      <c r="L3" s="256">
        <f>DATA!K2</f>
        <v>778.41399999999999</v>
      </c>
      <c r="M3" s="257">
        <f>DATA!N2</f>
        <v>0.98379315377625043</v>
      </c>
      <c r="N3" s="258">
        <f>DATA!P2</f>
        <v>0.73399999999999999</v>
      </c>
      <c r="O3" s="258">
        <f>DATA!R2</f>
        <v>0.7329</v>
      </c>
      <c r="P3" s="259">
        <f>DATA!O2</f>
        <v>765.99856980000004</v>
      </c>
      <c r="Q3" s="260">
        <f>DATA!Q2</f>
        <v>562.24295023319996</v>
      </c>
      <c r="R3" s="281">
        <f>DATA!S2</f>
        <v>561.40035180642008</v>
      </c>
      <c r="S3" s="334" t="s">
        <v>20</v>
      </c>
      <c r="T3" s="234"/>
      <c r="U3" s="312" t="str">
        <f>DATA_PARCEL!A2</f>
        <v>4</v>
      </c>
      <c r="V3" s="313" t="str">
        <f>DATA_PARCEL!B2</f>
        <v>KBZ</v>
      </c>
      <c r="W3" s="314">
        <f>DATA_PARCEL!D2</f>
        <v>0.73399999999999999</v>
      </c>
      <c r="X3" s="313" t="str">
        <f>DATA_PARCEL!C2</f>
        <v>ANTALYA OPET</v>
      </c>
      <c r="Y3" s="315">
        <f>DATA_PARCEL!G2</f>
        <v>1490.3529714664</v>
      </c>
      <c r="Z3" s="305"/>
      <c r="AA3" s="108"/>
    </row>
    <row r="4" spans="1:27" ht="20.100000000000001" customHeight="1" thickTop="1" thickBot="1">
      <c r="A4" s="301"/>
      <c r="B4" s="285" t="str">
        <f>DATA!B3</f>
        <v>1</v>
      </c>
      <c r="C4" s="291" t="str">
        <f>DATA!C3</f>
        <v>KBZ</v>
      </c>
      <c r="D4" s="292" t="str">
        <f>DATA!D3</f>
        <v>MERSİN TÜPRAŞ</v>
      </c>
      <c r="E4" s="339" t="s">
        <v>24</v>
      </c>
      <c r="F4" s="244">
        <f>DATA!F3*10</f>
        <v>1050</v>
      </c>
      <c r="G4" s="245">
        <f>DATA!G3</f>
        <v>26.5</v>
      </c>
      <c r="H4" s="246">
        <f>DATA!J3*10</f>
        <v>1050</v>
      </c>
      <c r="I4" s="247">
        <f>DATA!H3</f>
        <v>97.57218576476528</v>
      </c>
      <c r="J4" s="248">
        <f>DATA!K3</f>
        <v>773.16200000000003</v>
      </c>
      <c r="K4" s="321">
        <f>DATA!L3</f>
        <v>1.0002145</v>
      </c>
      <c r="L4" s="248">
        <f>DATA!K3</f>
        <v>773.16200000000003</v>
      </c>
      <c r="M4" s="249">
        <f>DATA!N3</f>
        <v>0.98567063222825602</v>
      </c>
      <c r="N4" s="250">
        <f>DATA!P3</f>
        <v>0.73399999999999999</v>
      </c>
      <c r="O4" s="250">
        <f>DATA!R3</f>
        <v>0.7329</v>
      </c>
      <c r="P4" s="251">
        <f>DATA!O3</f>
        <v>762.24620976000006</v>
      </c>
      <c r="Q4" s="252">
        <f>DATA!Q3</f>
        <v>559.48871796384003</v>
      </c>
      <c r="R4" s="284">
        <f>DATA!S3</f>
        <v>558.65024713310402</v>
      </c>
      <c r="S4" s="335" t="s">
        <v>24</v>
      </c>
      <c r="T4" s="234"/>
      <c r="U4" s="316" t="str">
        <f>DATA_PARCEL!A3</f>
        <v>1</v>
      </c>
      <c r="V4" s="227" t="str">
        <f>DATA_PARCEL!B3</f>
        <v>KBZ</v>
      </c>
      <c r="W4" s="228">
        <f>DATA_PARCEL!D3</f>
        <v>0.73399999999999999</v>
      </c>
      <c r="X4" s="227" t="str">
        <f>DATA_PARCEL!C3</f>
        <v>MERSİN TÜPRAŞ</v>
      </c>
      <c r="Y4" s="315">
        <f>DATA_PARCEL!G3</f>
        <v>2520.86818525434</v>
      </c>
      <c r="Z4" s="305"/>
      <c r="AA4" s="108"/>
    </row>
    <row r="5" spans="1:27" ht="20.100000000000001" customHeight="1" thickTop="1" thickBot="1">
      <c r="A5" s="301"/>
      <c r="B5" s="286" t="str">
        <f>DATA!B4</f>
        <v>8</v>
      </c>
      <c r="C5" s="289" t="str">
        <f>DATA!C4</f>
        <v>MOTORİN</v>
      </c>
      <c r="D5" s="290" t="str">
        <f>DATA!D4</f>
        <v>ANTALYA OPET</v>
      </c>
      <c r="E5" s="340" t="s">
        <v>27</v>
      </c>
      <c r="F5" s="235">
        <f>DATA!F4*10</f>
        <v>1030</v>
      </c>
      <c r="G5" s="236">
        <f>DATA!G4</f>
        <v>24</v>
      </c>
      <c r="H5" s="237">
        <f>DATA!J4*10</f>
        <v>1030</v>
      </c>
      <c r="I5" s="238">
        <f>DATA!H4</f>
        <v>98.316622852601327</v>
      </c>
      <c r="J5" s="239">
        <f>DATA!K4</f>
        <v>1608.165</v>
      </c>
      <c r="K5" s="321">
        <f>DATA!L4</f>
        <v>1.000132</v>
      </c>
      <c r="L5" s="239">
        <f>DATA!K4</f>
        <v>1608.165</v>
      </c>
      <c r="M5" s="240">
        <f>DATA!N4</f>
        <v>0.99221492180943383</v>
      </c>
      <c r="N5" s="241">
        <f>DATA!P4</f>
        <v>0.83</v>
      </c>
      <c r="O5" s="241">
        <f>DATA!R4</f>
        <v>0.82889999999999997</v>
      </c>
      <c r="P5" s="242">
        <f>DATA!O4</f>
        <v>1595.8477431700001</v>
      </c>
      <c r="Q5" s="243">
        <f>DATA!Q4</f>
        <v>1324.5536268311</v>
      </c>
      <c r="R5" s="282">
        <f>DATA!S4</f>
        <v>1322.7981943136131</v>
      </c>
      <c r="S5" s="336" t="s">
        <v>27</v>
      </c>
      <c r="T5" s="234"/>
      <c r="U5" s="316" t="str">
        <f>DATA_PARCEL!A4</f>
        <v>8</v>
      </c>
      <c r="V5" s="227" t="str">
        <f>DATA_PARCEL!B4</f>
        <v>MOTORİN</v>
      </c>
      <c r="W5" s="228">
        <f>DATA_PARCEL!D4</f>
        <v>0.83</v>
      </c>
      <c r="X5" s="227" t="str">
        <f>DATA_PARCEL!C4</f>
        <v>ANTALYA OPET</v>
      </c>
      <c r="Y5" s="315">
        <f>DATA_PARCEL!G4</f>
        <v>3560.7621943651002</v>
      </c>
      <c r="Z5" s="305"/>
      <c r="AA5" s="108"/>
    </row>
    <row r="6" spans="1:27" ht="19.5" customHeight="1" thickTop="1" thickBot="1">
      <c r="A6" s="301"/>
      <c r="B6" s="287" t="str">
        <f>DATA!B5</f>
        <v>6</v>
      </c>
      <c r="C6" s="293" t="str">
        <f>DATA!C5</f>
        <v>KBZ</v>
      </c>
      <c r="D6" s="294" t="str">
        <f>DATA!D5</f>
        <v>ANTALYA POAS</v>
      </c>
      <c r="E6" s="341" t="s">
        <v>30</v>
      </c>
      <c r="F6" s="261">
        <f>DATA!F5*10</f>
        <v>1030</v>
      </c>
      <c r="G6" s="262">
        <f>DATA!G5</f>
        <v>26.5</v>
      </c>
      <c r="H6" s="263">
        <f>DATA!J5*10</f>
        <v>1030</v>
      </c>
      <c r="I6" s="264">
        <f>DATA!H5</f>
        <v>98.233013271359553</v>
      </c>
      <c r="J6" s="265">
        <f>DATA!K5</f>
        <v>1606.2080000000001</v>
      </c>
      <c r="K6" s="321">
        <f>DATA!L5</f>
        <v>1.0002145</v>
      </c>
      <c r="L6" s="265">
        <f>DATA!K5</f>
        <v>1606.2080000000001</v>
      </c>
      <c r="M6" s="266">
        <f>DATA!N5</f>
        <v>0.98567063222825602</v>
      </c>
      <c r="N6" s="267">
        <f>DATA!P5</f>
        <v>0.73399999999999999</v>
      </c>
      <c r="O6" s="267">
        <f>DATA!R5</f>
        <v>0.7329</v>
      </c>
      <c r="P6" s="268">
        <f>DATA!O5</f>
        <v>1583.5310955099999</v>
      </c>
      <c r="Q6" s="269">
        <f>DATA!Q5</f>
        <v>1162.3118241043401</v>
      </c>
      <c r="R6" s="283">
        <f>DATA!S5</f>
        <v>1160.569939899279</v>
      </c>
      <c r="S6" s="335" t="s">
        <v>30</v>
      </c>
      <c r="T6" s="234"/>
      <c r="U6" s="316" t="str">
        <f>DATA_PARCEL!A5</f>
        <v>6</v>
      </c>
      <c r="V6" s="227" t="str">
        <f>DATA_PARCEL!B5</f>
        <v>KBZ</v>
      </c>
      <c r="W6" s="228">
        <f>DATA_PARCEL!D5</f>
        <v>0.73399999999999999</v>
      </c>
      <c r="X6" s="227" t="str">
        <f>DATA_PARCEL!C5</f>
        <v>ANTALYA POAS</v>
      </c>
      <c r="Y6" s="315">
        <f>DATA_PARCEL!G5</f>
        <v>1162.3118241043401</v>
      </c>
      <c r="Z6" s="305"/>
      <c r="AA6" s="108"/>
    </row>
    <row r="7" spans="1:27" ht="20.100000000000001" customHeight="1" thickTop="1" thickBot="1">
      <c r="A7" s="301"/>
      <c r="B7" s="286" t="str">
        <f>DATA!B6</f>
        <v>2</v>
      </c>
      <c r="C7" s="289" t="str">
        <f>DATA!C6</f>
        <v>KBZ</v>
      </c>
      <c r="D7" s="290" t="str">
        <f>DATA!D6</f>
        <v>MERSİN SHELL</v>
      </c>
      <c r="E7" s="340" t="s">
        <v>33</v>
      </c>
      <c r="F7" s="235">
        <f>DATA!F6*10</f>
        <v>1030</v>
      </c>
      <c r="G7" s="236">
        <f>DATA!G6</f>
        <v>28</v>
      </c>
      <c r="H7" s="237">
        <f>DATA!J6*10</f>
        <v>1030</v>
      </c>
      <c r="I7" s="238">
        <f>DATA!H6</f>
        <v>98.326818675352882</v>
      </c>
      <c r="J7" s="239">
        <f>DATA!K6</f>
        <v>1358.385</v>
      </c>
      <c r="K7" s="321">
        <f>DATA!L6</f>
        <v>1.000264</v>
      </c>
      <c r="L7" s="239">
        <f>DATA!K6</f>
        <v>1358.385</v>
      </c>
      <c r="M7" s="240">
        <f>DATA!N6</f>
        <v>0.98379315377625043</v>
      </c>
      <c r="N7" s="241">
        <f>DATA!P6</f>
        <v>0.73399999999999999</v>
      </c>
      <c r="O7" s="241">
        <f>DATA!R6</f>
        <v>0.7329</v>
      </c>
      <c r="P7" s="242">
        <f>DATA!O6</f>
        <v>1336.71875976</v>
      </c>
      <c r="Q7" s="243">
        <f>DATA!Q6</f>
        <v>981.15156966383995</v>
      </c>
      <c r="R7" s="282">
        <f>DATA!S6</f>
        <v>979.681179028104</v>
      </c>
      <c r="S7" s="336" t="s">
        <v>33</v>
      </c>
      <c r="T7" s="234"/>
      <c r="U7" s="316" t="str">
        <f>DATA_PARCEL!A6</f>
        <v>2</v>
      </c>
      <c r="V7" s="227" t="str">
        <f>DATA_PARCEL!B6</f>
        <v>KBZ</v>
      </c>
      <c r="W7" s="228">
        <f>DATA_PARCEL!D6</f>
        <v>0.73399999999999999</v>
      </c>
      <c r="X7" s="227" t="str">
        <f>DATA_PARCEL!C6</f>
        <v>MERSİN SHELL</v>
      </c>
      <c r="Y7" s="315">
        <f>DATA_PARCEL!G6</f>
        <v>2949.7711554821399</v>
      </c>
      <c r="Z7" s="305"/>
      <c r="AA7" s="108"/>
    </row>
    <row r="8" spans="1:27" ht="20.100000000000001" customHeight="1" thickTop="1" thickBot="1">
      <c r="A8" s="301"/>
      <c r="B8" s="287" t="str">
        <f>DATA!B7</f>
        <v>2</v>
      </c>
      <c r="C8" s="293" t="str">
        <f>DATA!C7</f>
        <v>KBZ</v>
      </c>
      <c r="D8" s="294" t="str">
        <f>DATA!D7</f>
        <v>MERSİN SHELL</v>
      </c>
      <c r="E8" s="341" t="s">
        <v>36</v>
      </c>
      <c r="F8" s="261">
        <f>DATA!F7*10</f>
        <v>1030</v>
      </c>
      <c r="G8" s="262">
        <f>DATA!G7</f>
        <v>27</v>
      </c>
      <c r="H8" s="263">
        <f>DATA!J7*10</f>
        <v>1030</v>
      </c>
      <c r="I8" s="264">
        <f>DATA!H7</f>
        <v>98.243851273148138</v>
      </c>
      <c r="J8" s="265">
        <f>DATA!K7</f>
        <v>1358.123</v>
      </c>
      <c r="K8" s="321">
        <f>DATA!L7</f>
        <v>1.0002310000000001</v>
      </c>
      <c r="L8" s="265">
        <f>DATA!K7</f>
        <v>1358.123</v>
      </c>
      <c r="M8" s="266">
        <f>DATA!N7</f>
        <v>0.98504501500613217</v>
      </c>
      <c r="N8" s="267">
        <f>DATA!P7</f>
        <v>0.73399999999999999</v>
      </c>
      <c r="O8" s="267">
        <f>DATA!R7</f>
        <v>0.7329</v>
      </c>
      <c r="P8" s="268">
        <f>DATA!O7</f>
        <v>1338.12836685</v>
      </c>
      <c r="Q8" s="269">
        <f>DATA!Q7</f>
        <v>982.18622126789978</v>
      </c>
      <c r="R8" s="283">
        <f>DATA!S7</f>
        <v>980.71428006436486</v>
      </c>
      <c r="S8" s="335" t="s">
        <v>36</v>
      </c>
      <c r="T8" s="234"/>
      <c r="U8" s="316" t="str">
        <f>DATA_PARCEL!A7</f>
        <v>3</v>
      </c>
      <c r="V8" s="227" t="str">
        <f>DATA_PARCEL!B7</f>
        <v>KBZ</v>
      </c>
      <c r="W8" s="228">
        <f>DATA_PARCEL!D7</f>
        <v>0.73399999999999999</v>
      </c>
      <c r="X8" s="227" t="str">
        <f>DATA_PARCEL!C7</f>
        <v>MERSİN POAŞ</v>
      </c>
      <c r="Y8" s="315">
        <f>DATA_PARCEL!G7</f>
        <v>985.03558511930009</v>
      </c>
      <c r="Z8" s="305"/>
      <c r="AA8" s="108"/>
    </row>
    <row r="9" spans="1:27" ht="20.100000000000001" customHeight="1" thickTop="1" thickBot="1">
      <c r="A9" s="301"/>
      <c r="B9" s="286" t="str">
        <f>DATA!B8</f>
        <v>8</v>
      </c>
      <c r="C9" s="289" t="str">
        <f>DATA!C8</f>
        <v>MOTORİN</v>
      </c>
      <c r="D9" s="290" t="str">
        <f>DATA!D8</f>
        <v>ANTALYA OPET</v>
      </c>
      <c r="E9" s="340" t="s">
        <v>37</v>
      </c>
      <c r="F9" s="235">
        <f>DATA!F8*10</f>
        <v>1030</v>
      </c>
      <c r="G9" s="236">
        <f>DATA!G8</f>
        <v>24</v>
      </c>
      <c r="H9" s="237">
        <f>DATA!J8*10</f>
        <v>1030</v>
      </c>
      <c r="I9" s="238">
        <f>DATA!H8</f>
        <v>98.272793053545598</v>
      </c>
      <c r="J9" s="239">
        <f>DATA!K8</f>
        <v>1358.13</v>
      </c>
      <c r="K9" s="321">
        <f>DATA!L8</f>
        <v>1.000132</v>
      </c>
      <c r="L9" s="239">
        <f>DATA!K8</f>
        <v>1358.13</v>
      </c>
      <c r="M9" s="240">
        <f>DATA!N8</f>
        <v>0.99221492180943383</v>
      </c>
      <c r="N9" s="241">
        <f>DATA!P8</f>
        <v>0.83</v>
      </c>
      <c r="O9" s="241">
        <f>DATA!R8</f>
        <v>0.82889999999999997</v>
      </c>
      <c r="P9" s="242">
        <f>DATA!O8</f>
        <v>1347.7277728900001</v>
      </c>
      <c r="Q9" s="243">
        <f>DATA!Q8</f>
        <v>1118.6140514987001</v>
      </c>
      <c r="R9" s="282">
        <f>DATA!S8</f>
        <v>1117.131550948521</v>
      </c>
      <c r="S9" s="336" t="s">
        <v>37</v>
      </c>
      <c r="T9" s="234"/>
      <c r="U9" s="316" t="str">
        <f>DATA_PARCEL!A8</f>
        <v>5</v>
      </c>
      <c r="V9" s="227" t="str">
        <f>DATA_PARCEL!B8</f>
        <v>KBZ</v>
      </c>
      <c r="W9" s="228">
        <f>DATA_PARCEL!D8</f>
        <v>0.73399999999999999</v>
      </c>
      <c r="X9" s="227" t="str">
        <f>DATA_PARCEL!C8</f>
        <v>ANTALYA SHELL</v>
      </c>
      <c r="Y9" s="315">
        <f>DATA_PARCEL!G8</f>
        <v>1969.80777642316</v>
      </c>
      <c r="Z9" s="305"/>
      <c r="AA9" s="108"/>
    </row>
    <row r="10" spans="1:27" ht="20.100000000000001" customHeight="1" thickTop="1" thickBot="1">
      <c r="A10" s="301"/>
      <c r="B10" s="287" t="str">
        <f>DATA!B9</f>
        <v>8</v>
      </c>
      <c r="C10" s="293" t="str">
        <f>DATA!C9</f>
        <v>MOTORİN</v>
      </c>
      <c r="D10" s="294" t="str">
        <f>DATA!D9</f>
        <v>ANTALYA OPET</v>
      </c>
      <c r="E10" s="341" t="s">
        <v>38</v>
      </c>
      <c r="F10" s="261">
        <f>DATA!F9*10</f>
        <v>1030</v>
      </c>
      <c r="G10" s="262">
        <f>DATA!G9</f>
        <v>24</v>
      </c>
      <c r="H10" s="263">
        <f>DATA!J9*10</f>
        <v>1030</v>
      </c>
      <c r="I10" s="264">
        <f>DATA!H9</f>
        <v>98.161904072921942</v>
      </c>
      <c r="J10" s="265">
        <f>DATA!K9</f>
        <v>1356.8920000000001</v>
      </c>
      <c r="K10" s="321">
        <f>DATA!L9</f>
        <v>1.000132</v>
      </c>
      <c r="L10" s="265">
        <f>DATA!K9</f>
        <v>1356.8920000000001</v>
      </c>
      <c r="M10" s="266">
        <f>DATA!N9</f>
        <v>0.99221492180943383</v>
      </c>
      <c r="N10" s="267">
        <f>DATA!P9</f>
        <v>0.83</v>
      </c>
      <c r="O10" s="267">
        <f>DATA!R9</f>
        <v>0.82889999999999997</v>
      </c>
      <c r="P10" s="268">
        <f>DATA!O9</f>
        <v>1346.49941691</v>
      </c>
      <c r="Q10" s="269">
        <f>DATA!Q9</f>
        <v>1117.5945160353001</v>
      </c>
      <c r="R10" s="283">
        <f>DATA!S9</f>
        <v>1116.1133666766989</v>
      </c>
      <c r="S10" s="335" t="s">
        <v>38</v>
      </c>
      <c r="T10" s="234"/>
      <c r="U10" s="316" t="str">
        <f>DATA_PARCEL!A9</f>
        <v>9</v>
      </c>
      <c r="V10" s="227" t="str">
        <f>DATA_PARCEL!B9</f>
        <v>JET</v>
      </c>
      <c r="W10" s="228">
        <f>DATA_PARCEL!D9</f>
        <v>0.79700000000000004</v>
      </c>
      <c r="X10" s="227" t="str">
        <f>DATA_PARCEL!C9</f>
        <v>ANTALYA TUPRAS</v>
      </c>
      <c r="Y10" s="315">
        <f>DATA_PARCEL!G9</f>
        <v>1295.6222874805201</v>
      </c>
      <c r="Z10" s="305"/>
      <c r="AA10" s="108"/>
    </row>
    <row r="11" spans="1:27" ht="20.100000000000001" customHeight="1" thickTop="1" thickBot="1">
      <c r="A11" s="301"/>
      <c r="B11" s="286" t="str">
        <f>DATA!B10</f>
        <v>3</v>
      </c>
      <c r="C11" s="289" t="str">
        <f>DATA!C10</f>
        <v>KBZ</v>
      </c>
      <c r="D11" s="290" t="str">
        <f>DATA!D10</f>
        <v>MERSİN POAŞ</v>
      </c>
      <c r="E11" s="340" t="s">
        <v>39</v>
      </c>
      <c r="F11" s="235">
        <f>DATA!F10*10</f>
        <v>1030</v>
      </c>
      <c r="G11" s="236">
        <f>DATA!G10</f>
        <v>25</v>
      </c>
      <c r="H11" s="237">
        <f>DATA!J10*10</f>
        <v>1030</v>
      </c>
      <c r="I11" s="238">
        <f>DATA!H10</f>
        <v>98.307286014036606</v>
      </c>
      <c r="J11" s="239">
        <f>DATA!K10</f>
        <v>1358.7049999999999</v>
      </c>
      <c r="K11" s="321">
        <f>DATA!L10</f>
        <v>1.000165</v>
      </c>
      <c r="L11" s="239">
        <f>DATA!K10</f>
        <v>1358.7049999999999</v>
      </c>
      <c r="M11" s="240">
        <f>DATA!N10</f>
        <v>0.98754621947743804</v>
      </c>
      <c r="N11" s="241">
        <f>DATA!P10</f>
        <v>0.73399999999999999</v>
      </c>
      <c r="O11" s="241">
        <f>DATA!R10</f>
        <v>0.7329</v>
      </c>
      <c r="P11" s="242">
        <f>DATA!O10</f>
        <v>1342.0103339499999</v>
      </c>
      <c r="Q11" s="243">
        <f>DATA!Q10</f>
        <v>985.03558511930009</v>
      </c>
      <c r="R11" s="282">
        <f>DATA!S10</f>
        <v>983.55937375195504</v>
      </c>
      <c r="S11" s="336" t="s">
        <v>39</v>
      </c>
      <c r="T11" s="234"/>
      <c r="U11" s="316" t="str">
        <f>DATA_PARCEL!A10</f>
        <v>0</v>
      </c>
      <c r="V11" s="227" t="str">
        <f>DATA_PARCEL!B10</f>
        <v>SLOP</v>
      </c>
      <c r="W11" s="228">
        <f>DATA_PARCEL!D10</f>
        <v>0</v>
      </c>
      <c r="X11" s="227">
        <f>DATA_PARCEL!C10</f>
        <v>0</v>
      </c>
      <c r="Y11" s="315">
        <f>DATA_PARCEL!G10</f>
        <v>0.254613384</v>
      </c>
      <c r="Z11" s="305"/>
      <c r="AA11" s="108"/>
    </row>
    <row r="12" spans="1:27" ht="20.100000000000001" customHeight="1" thickTop="1" thickBot="1">
      <c r="A12" s="301"/>
      <c r="B12" s="287" t="str">
        <f>DATA!B11</f>
        <v>2</v>
      </c>
      <c r="C12" s="293" t="str">
        <f>DATA!C11</f>
        <v>KBZ</v>
      </c>
      <c r="D12" s="294" t="str">
        <f>DATA!D11</f>
        <v>MERSİN SHELL</v>
      </c>
      <c r="E12" s="341" t="s">
        <v>42</v>
      </c>
      <c r="F12" s="261">
        <f>DATA!F11*10</f>
        <v>1030</v>
      </c>
      <c r="G12" s="262">
        <f>DATA!G11</f>
        <v>24</v>
      </c>
      <c r="H12" s="263">
        <f>DATA!J11*10</f>
        <v>1030</v>
      </c>
      <c r="I12" s="264">
        <f>DATA!H11</f>
        <v>98.332706222865411</v>
      </c>
      <c r="J12" s="265">
        <f>DATA!K11</f>
        <v>1358.9580000000001</v>
      </c>
      <c r="K12" s="321">
        <f>DATA!L11</f>
        <v>1.000132</v>
      </c>
      <c r="L12" s="265">
        <f>DATA!K11</f>
        <v>1358.9580000000001</v>
      </c>
      <c r="M12" s="266">
        <f>DATA!N11</f>
        <v>0.98879554825396143</v>
      </c>
      <c r="N12" s="267">
        <f>DATA!P11</f>
        <v>0.73399999999999999</v>
      </c>
      <c r="O12" s="267">
        <f>DATA!R11</f>
        <v>0.7329</v>
      </c>
      <c r="P12" s="268">
        <f>DATA!O11</f>
        <v>1343.9146656</v>
      </c>
      <c r="Q12" s="269">
        <f>DATA!Q11</f>
        <v>986.43336455040003</v>
      </c>
      <c r="R12" s="283">
        <f>DATA!S11</f>
        <v>984.95505841824001</v>
      </c>
      <c r="S12" s="335" t="s">
        <v>42</v>
      </c>
      <c r="T12" s="234"/>
      <c r="U12" s="316">
        <f>DATA_PARCEL!A11</f>
        <v>0</v>
      </c>
      <c r="V12" s="227">
        <f>DATA_PARCEL!B11</f>
        <v>0</v>
      </c>
      <c r="W12" s="228">
        <f>DATA_PARCEL!D11</f>
        <v>0</v>
      </c>
      <c r="X12" s="227">
        <f>DATA_PARCEL!C11</f>
        <v>0</v>
      </c>
      <c r="Y12" s="315">
        <f>DATA_PARCEL!G11</f>
        <v>0</v>
      </c>
      <c r="Z12" s="305"/>
      <c r="AA12" s="108"/>
    </row>
    <row r="13" spans="1:27" ht="20.100000000000001" customHeight="1" thickTop="1" thickBot="1">
      <c r="A13" s="301"/>
      <c r="B13" s="286" t="str">
        <f>DATA!B12</f>
        <v>5</v>
      </c>
      <c r="C13" s="279" t="str">
        <f>DATA!C12</f>
        <v>KBZ</v>
      </c>
      <c r="D13" s="290" t="str">
        <f>DATA!D12</f>
        <v>ANTALYA SHELL</v>
      </c>
      <c r="E13" s="340" t="s">
        <v>43</v>
      </c>
      <c r="F13" s="235">
        <f>DATA!F12*10</f>
        <v>1030</v>
      </c>
      <c r="G13" s="236">
        <f>DATA!G12</f>
        <v>23.5</v>
      </c>
      <c r="H13" s="237">
        <f>DATA!J12*10</f>
        <v>1030</v>
      </c>
      <c r="I13" s="238">
        <f>DATA!H12</f>
        <v>98.268589650674016</v>
      </c>
      <c r="J13" s="239">
        <f>DATA!K12</f>
        <v>1355.91</v>
      </c>
      <c r="K13" s="321">
        <f>DATA!L12</f>
        <v>1.0001154999999999</v>
      </c>
      <c r="L13" s="239">
        <f>DATA!K12</f>
        <v>1355.91</v>
      </c>
      <c r="M13" s="240">
        <f>DATA!N12</f>
        <v>0.98941989111181738</v>
      </c>
      <c r="N13" s="241">
        <f>DATA!P12</f>
        <v>0.73399999999999999</v>
      </c>
      <c r="O13" s="241">
        <f>DATA!R12</f>
        <v>0.7329</v>
      </c>
      <c r="P13" s="242">
        <f>DATA!O12</f>
        <v>1341.71981114</v>
      </c>
      <c r="Q13" s="243">
        <f>DATA!Q12</f>
        <v>984.82234137676005</v>
      </c>
      <c r="R13" s="282">
        <f>DATA!S12</f>
        <v>983.34644958450599</v>
      </c>
      <c r="S13" s="336" t="s">
        <v>43</v>
      </c>
      <c r="T13" s="234"/>
      <c r="U13" s="316">
        <f>DATA_PARCEL!A12</f>
        <v>0</v>
      </c>
      <c r="V13" s="227">
        <f>DATA_PARCEL!B12</f>
        <v>0</v>
      </c>
      <c r="W13" s="228">
        <f>DATA_PARCEL!D12</f>
        <v>0</v>
      </c>
      <c r="X13" s="227">
        <f>DATA_PARCEL!C12</f>
        <v>0</v>
      </c>
      <c r="Y13" s="315">
        <f>DATA_PARCEL!G12</f>
        <v>0</v>
      </c>
      <c r="Z13" s="305"/>
      <c r="AA13" s="108"/>
    </row>
    <row r="14" spans="1:27" ht="20.100000000000001" customHeight="1" thickTop="1" thickBot="1">
      <c r="A14" s="301"/>
      <c r="B14" s="287" t="str">
        <f>DATA!B13</f>
        <v>5</v>
      </c>
      <c r="C14" s="293" t="str">
        <f>DATA!C13</f>
        <v>KBZ</v>
      </c>
      <c r="D14" s="295" t="str">
        <f>DATA!D13</f>
        <v>ANTALYA SHELL</v>
      </c>
      <c r="E14" s="341" t="s">
        <v>46</v>
      </c>
      <c r="F14" s="261">
        <f>DATA!F13*10</f>
        <v>1030</v>
      </c>
      <c r="G14" s="262">
        <f>DATA!G13</f>
        <v>24</v>
      </c>
      <c r="H14" s="263">
        <f>DATA!J13*10</f>
        <v>1030</v>
      </c>
      <c r="I14" s="264">
        <f>DATA!H13</f>
        <v>98.295038029699384</v>
      </c>
      <c r="J14" s="265">
        <f>DATA!K13</f>
        <v>1356.963</v>
      </c>
      <c r="K14" s="321">
        <f>DATA!L13</f>
        <v>1.000132</v>
      </c>
      <c r="L14" s="265">
        <f>DATA!K13</f>
        <v>1356.963</v>
      </c>
      <c r="M14" s="266">
        <f>DATA!N13</f>
        <v>0.98879554825396143</v>
      </c>
      <c r="N14" s="267">
        <f>DATA!P13</f>
        <v>0.73399999999999999</v>
      </c>
      <c r="O14" s="267">
        <f>DATA!R13</f>
        <v>0.7329</v>
      </c>
      <c r="P14" s="268">
        <f>DATA!O13</f>
        <v>1341.9420095999999</v>
      </c>
      <c r="Q14" s="269">
        <f>DATA!Q13</f>
        <v>984.98543504640008</v>
      </c>
      <c r="R14" s="283">
        <f>DATA!S13</f>
        <v>983.50929883584013</v>
      </c>
      <c r="S14" s="335" t="s">
        <v>46</v>
      </c>
      <c r="T14" s="234"/>
      <c r="U14" s="316">
        <f>DATA_PARCEL!A13</f>
        <v>0</v>
      </c>
      <c r="V14" s="227">
        <f>DATA_PARCEL!B13</f>
        <v>0</v>
      </c>
      <c r="W14" s="228">
        <f>DATA_PARCEL!D13</f>
        <v>0</v>
      </c>
      <c r="X14" s="227">
        <f>DATA_PARCEL!C13</f>
        <v>0</v>
      </c>
      <c r="Y14" s="315">
        <f>DATA_PARCEL!G13</f>
        <v>0</v>
      </c>
      <c r="Z14" s="305"/>
      <c r="AA14" s="108"/>
    </row>
    <row r="15" spans="1:27" ht="20.100000000000001" customHeight="1" thickTop="1" thickBot="1">
      <c r="A15" s="301"/>
      <c r="B15" s="286" t="str">
        <f>DATA!B14</f>
        <v>1</v>
      </c>
      <c r="C15" s="289" t="str">
        <f>DATA!C14</f>
        <v>KBZ</v>
      </c>
      <c r="D15" s="290" t="str">
        <f>DATA!D14</f>
        <v>MERSİN TÜPRAŞ</v>
      </c>
      <c r="E15" s="340" t="s">
        <v>47</v>
      </c>
      <c r="F15" s="235">
        <f>DATA!F14*10</f>
        <v>1030</v>
      </c>
      <c r="G15" s="236">
        <f>DATA!G14</f>
        <v>27</v>
      </c>
      <c r="H15" s="237">
        <f>DATA!J14*10</f>
        <v>1030</v>
      </c>
      <c r="I15" s="238">
        <f>DATA!H14</f>
        <v>98.337008559408105</v>
      </c>
      <c r="J15" s="239">
        <f>DATA!K14</f>
        <v>1355.674</v>
      </c>
      <c r="K15" s="321">
        <f>DATA!L14</f>
        <v>1.0002310000000001</v>
      </c>
      <c r="L15" s="239">
        <f>DATA!K14</f>
        <v>1355.674</v>
      </c>
      <c r="M15" s="240">
        <f>DATA!N14</f>
        <v>0.98504501500613217</v>
      </c>
      <c r="N15" s="241">
        <f>DATA!P14</f>
        <v>0.73399999999999999</v>
      </c>
      <c r="O15" s="241">
        <f>DATA!R14</f>
        <v>0.7329</v>
      </c>
      <c r="P15" s="242">
        <f>DATA!O14</f>
        <v>1335.7149943500001</v>
      </c>
      <c r="Q15" s="243">
        <f>DATA!Q14</f>
        <v>980.41480585290003</v>
      </c>
      <c r="R15" s="282">
        <f>DATA!S14</f>
        <v>978.94551935911511</v>
      </c>
      <c r="S15" s="336" t="s">
        <v>47</v>
      </c>
      <c r="T15" s="234"/>
      <c r="U15" s="316">
        <f>DATA_PARCEL!A14</f>
        <v>0</v>
      </c>
      <c r="V15" s="227">
        <f>DATA_PARCEL!B14</f>
        <v>0</v>
      </c>
      <c r="W15" s="228">
        <f>DATA_PARCEL!D14</f>
        <v>0</v>
      </c>
      <c r="X15" s="227">
        <f>DATA_PARCEL!C14</f>
        <v>0</v>
      </c>
      <c r="Y15" s="315">
        <f>DATA_PARCEL!G14</f>
        <v>0</v>
      </c>
      <c r="Z15" s="305"/>
      <c r="AA15" s="108"/>
    </row>
    <row r="16" spans="1:27" ht="20.100000000000001" customHeight="1" thickTop="1" thickBot="1">
      <c r="A16" s="301"/>
      <c r="B16" s="287" t="str">
        <f>DATA!B15</f>
        <v>1</v>
      </c>
      <c r="C16" s="293" t="str">
        <f>DATA!C15</f>
        <v>KBZ</v>
      </c>
      <c r="D16" s="294" t="str">
        <f>DATA!D15</f>
        <v>MERSİN TÜPRAŞ</v>
      </c>
      <c r="E16" s="341" t="s">
        <v>48</v>
      </c>
      <c r="F16" s="261">
        <f>DATA!F15*10</f>
        <v>1030</v>
      </c>
      <c r="G16" s="262">
        <f>DATA!G15</f>
        <v>26</v>
      </c>
      <c r="H16" s="263">
        <f>DATA!J15*10</f>
        <v>1030</v>
      </c>
      <c r="I16" s="264">
        <f>DATA!H15</f>
        <v>98.349183303085297</v>
      </c>
      <c r="J16" s="265">
        <f>DATA!K15</f>
        <v>1354.76</v>
      </c>
      <c r="K16" s="321">
        <f>DATA!L15</f>
        <v>1.0001979999999999</v>
      </c>
      <c r="L16" s="265">
        <f>DATA!K15</f>
        <v>1354.76</v>
      </c>
      <c r="M16" s="266">
        <f>DATA!N15</f>
        <v>0.98629603931685628</v>
      </c>
      <c r="N16" s="267">
        <f>DATA!P15</f>
        <v>0.73399999999999999</v>
      </c>
      <c r="O16" s="267">
        <f>DATA!R15</f>
        <v>0.7329</v>
      </c>
      <c r="P16" s="268">
        <f>DATA!O15</f>
        <v>1336.4641164</v>
      </c>
      <c r="Q16" s="269">
        <f>DATA!Q15</f>
        <v>980.96466143759994</v>
      </c>
      <c r="R16" s="283">
        <f>DATA!S15</f>
        <v>979.49455090955996</v>
      </c>
      <c r="S16" s="335" t="s">
        <v>48</v>
      </c>
      <c r="T16" s="234"/>
      <c r="U16" s="316">
        <f>DATA_PARCEL!A15</f>
        <v>0</v>
      </c>
      <c r="V16" s="227">
        <f>DATA_PARCEL!B15</f>
        <v>0</v>
      </c>
      <c r="W16" s="228">
        <f>DATA_PARCEL!D15</f>
        <v>0</v>
      </c>
      <c r="X16" s="227">
        <f>DATA_PARCEL!C15</f>
        <v>0</v>
      </c>
      <c r="Y16" s="315">
        <f>DATA_PARCEL!G15</f>
        <v>0</v>
      </c>
      <c r="Z16" s="305"/>
      <c r="AA16" s="108"/>
    </row>
    <row r="17" spans="1:27" ht="20.100000000000001" customHeight="1" thickTop="1" thickBot="1">
      <c r="A17" s="301"/>
      <c r="B17" s="286" t="str">
        <f>DATA!B16</f>
        <v>9</v>
      </c>
      <c r="C17" s="289" t="str">
        <f>DATA!C16</f>
        <v>JET</v>
      </c>
      <c r="D17" s="290" t="str">
        <f>DATA!D16</f>
        <v>ANTALYA TUPRAS</v>
      </c>
      <c r="E17" s="340" t="s">
        <v>49</v>
      </c>
      <c r="F17" s="235">
        <f>DATA!F16*10</f>
        <v>1030</v>
      </c>
      <c r="G17" s="236">
        <f>DATA!G16</f>
        <v>24</v>
      </c>
      <c r="H17" s="237">
        <f>DATA!J16*10</f>
        <v>1030</v>
      </c>
      <c r="I17" s="238">
        <f>DATA!H16</f>
        <v>98.135805312452035</v>
      </c>
      <c r="J17" s="239">
        <f>DATA!K16</f>
        <v>1278.317</v>
      </c>
      <c r="K17" s="321">
        <f>DATA!L16</f>
        <v>1.000132</v>
      </c>
      <c r="L17" s="239">
        <f>DATA!K16</f>
        <v>1278.317</v>
      </c>
      <c r="M17" s="240">
        <f>DATA!N16</f>
        <v>0.99155528610166754</v>
      </c>
      <c r="N17" s="241">
        <f>DATA!P16</f>
        <v>0.79700000000000004</v>
      </c>
      <c r="O17" s="241">
        <f>DATA!R16</f>
        <v>0.79590000000000005</v>
      </c>
      <c r="P17" s="242">
        <f>DATA!O16</f>
        <v>1267.69557816</v>
      </c>
      <c r="Q17" s="243">
        <f>DATA!Q16</f>
        <v>1010.3533757935199</v>
      </c>
      <c r="R17" s="282">
        <f>DATA!S16</f>
        <v>1008.958910657544</v>
      </c>
      <c r="S17" s="336" t="s">
        <v>49</v>
      </c>
      <c r="T17" s="234"/>
      <c r="U17" s="316">
        <f>DATA_PARCEL!A16</f>
        <v>0</v>
      </c>
      <c r="V17" s="227">
        <f>DATA_PARCEL!B16</f>
        <v>0</v>
      </c>
      <c r="W17" s="228">
        <f>DATA_PARCEL!D16</f>
        <v>0</v>
      </c>
      <c r="X17" s="227">
        <f>DATA_PARCEL!C16</f>
        <v>0</v>
      </c>
      <c r="Y17" s="315">
        <f>DATA_PARCEL!G16</f>
        <v>0</v>
      </c>
      <c r="Z17" s="305"/>
      <c r="AA17" s="108"/>
    </row>
    <row r="18" spans="1:27" ht="20.100000000000001" customHeight="1" thickTop="1" thickBot="1">
      <c r="A18" s="301"/>
      <c r="B18" s="287" t="str">
        <f>DATA!B17</f>
        <v>4</v>
      </c>
      <c r="C18" s="293" t="str">
        <f>DATA!C17</f>
        <v>KBZ</v>
      </c>
      <c r="D18" s="294" t="str">
        <f>DATA!D17</f>
        <v>ANTALYA OPET</v>
      </c>
      <c r="E18" s="341" t="s">
        <v>53</v>
      </c>
      <c r="F18" s="261">
        <f>DATA!F17*10</f>
        <v>1030</v>
      </c>
      <c r="G18" s="262">
        <f>DATA!G17</f>
        <v>25</v>
      </c>
      <c r="H18" s="263">
        <f>DATA!J17*10</f>
        <v>1030</v>
      </c>
      <c r="I18" s="264">
        <f>DATA!H17</f>
        <v>98.286756238003832</v>
      </c>
      <c r="J18" s="265">
        <f>DATA!K17</f>
        <v>1280.1849999999999</v>
      </c>
      <c r="K18" s="321">
        <f>DATA!L17</f>
        <v>1.000165</v>
      </c>
      <c r="L18" s="265">
        <f>DATA!K17</f>
        <v>1280.1849999999999</v>
      </c>
      <c r="M18" s="266">
        <f>DATA!N17</f>
        <v>0.98754621947743804</v>
      </c>
      <c r="N18" s="267">
        <f>DATA!P17</f>
        <v>0.73399999999999999</v>
      </c>
      <c r="O18" s="267">
        <f>DATA!R17</f>
        <v>0.7329</v>
      </c>
      <c r="P18" s="268">
        <f>DATA!O17</f>
        <v>1264.4550698</v>
      </c>
      <c r="Q18" s="269">
        <f>DATA!Q17</f>
        <v>928.11002123319997</v>
      </c>
      <c r="R18" s="283">
        <f>DATA!S17</f>
        <v>926.71912065642005</v>
      </c>
      <c r="S18" s="335" t="s">
        <v>53</v>
      </c>
      <c r="T18" s="234"/>
      <c r="U18" s="316">
        <f>DATA_PARCEL!A17</f>
        <v>0</v>
      </c>
      <c r="V18" s="227">
        <f>DATA_PARCEL!B17</f>
        <v>0</v>
      </c>
      <c r="W18" s="228">
        <f>DATA_PARCEL!D17</f>
        <v>0</v>
      </c>
      <c r="X18" s="227">
        <f>DATA_PARCEL!C17</f>
        <v>0</v>
      </c>
      <c r="Y18" s="315">
        <f>DATA_PARCEL!G17</f>
        <v>0</v>
      </c>
      <c r="Z18" s="305"/>
      <c r="AA18" s="108"/>
    </row>
    <row r="19" spans="1:27" ht="20.100000000000001" customHeight="1" thickTop="1">
      <c r="A19" s="301"/>
      <c r="B19" s="288" t="str">
        <f>DATA!B18</f>
        <v>0</v>
      </c>
      <c r="C19" s="296" t="str">
        <f>DATA!C18</f>
        <v>SLOP</v>
      </c>
      <c r="D19" s="297">
        <f>DATA!D18</f>
        <v>0</v>
      </c>
      <c r="E19" s="338" t="s">
        <v>100</v>
      </c>
      <c r="F19" s="253">
        <f>DATA!F18*10</f>
        <v>12295.4713438166</v>
      </c>
      <c r="G19" s="216">
        <f>DATA!G18</f>
        <v>20</v>
      </c>
      <c r="H19" s="254">
        <f>DATA!J18*10</f>
        <v>12295.4713438166</v>
      </c>
      <c r="I19" s="255">
        <f>DATA!H18</f>
        <v>7.4283060452152133E-2</v>
      </c>
      <c r="J19" s="256">
        <f>DATA!K18</f>
        <v>0.28383557398767328</v>
      </c>
      <c r="K19" s="321">
        <f>DATA!L18</f>
        <v>1</v>
      </c>
      <c r="L19" s="256">
        <f>DATA!K18</f>
        <v>0.28383557398767328</v>
      </c>
      <c r="M19" s="257">
        <f>DATA!N18</f>
        <v>0.99614044432908577</v>
      </c>
      <c r="N19" s="258">
        <f>DATA!P18</f>
        <v>0.9</v>
      </c>
      <c r="O19" s="258">
        <f>DATA!R18</f>
        <v>0.89890000000000003</v>
      </c>
      <c r="P19" s="259">
        <f>DATA!O18</f>
        <v>0.28290376</v>
      </c>
      <c r="Q19" s="260">
        <f>DATA!Q18</f>
        <v>0.254613384</v>
      </c>
      <c r="R19" s="281">
        <f>DATA!S18</f>
        <v>0.25430218986399999</v>
      </c>
      <c r="S19" s="336" t="s">
        <v>100</v>
      </c>
      <c r="T19" s="332"/>
      <c r="U19" s="299"/>
      <c r="V19" s="299"/>
      <c r="W19" s="300"/>
      <c r="X19" s="299"/>
      <c r="Y19" s="299"/>
      <c r="Z19" s="305"/>
      <c r="AA19" s="108"/>
    </row>
    <row r="20" spans="1:27" ht="20.100000000000001" customHeight="1" thickBot="1">
      <c r="A20" s="301"/>
      <c r="B20" s="280" t="str">
        <f>DATA!B19</f>
        <v>9</v>
      </c>
      <c r="C20" s="291" t="str">
        <f>DATA!C19</f>
        <v>JET</v>
      </c>
      <c r="D20" s="306" t="str">
        <f>DATA!D19</f>
        <v>ANTALYA TUPRAS</v>
      </c>
      <c r="E20" s="342" t="s">
        <v>101</v>
      </c>
      <c r="F20" s="244">
        <f>DATA!F19*10</f>
        <v>1780</v>
      </c>
      <c r="G20" s="245">
        <f>DATA!G19</f>
        <v>24</v>
      </c>
      <c r="H20" s="275">
        <f>DATA!J19*10</f>
        <v>1780</v>
      </c>
      <c r="I20" s="232">
        <f>DATA!H19</f>
        <v>90.54867034621175</v>
      </c>
      <c r="J20" s="274">
        <f>DATA!K19</f>
        <v>360.92700000000002</v>
      </c>
      <c r="K20" s="321">
        <f>DATA!L19</f>
        <v>1.000132</v>
      </c>
      <c r="L20" s="248">
        <f>DATA!K19</f>
        <v>360.92700000000002</v>
      </c>
      <c r="M20" s="249">
        <f>DATA!N19</f>
        <v>0.99155528610166754</v>
      </c>
      <c r="N20" s="233">
        <f>DATA!P19</f>
        <v>0.79700000000000004</v>
      </c>
      <c r="O20" s="333">
        <f>DATA!R19</f>
        <v>0.79590000000000005</v>
      </c>
      <c r="P20" s="307">
        <f>DATA!O19</f>
        <v>357.92837100000003</v>
      </c>
      <c r="Q20" s="252">
        <f>DATA!Q19</f>
        <v>285.26891168700001</v>
      </c>
      <c r="R20" s="284">
        <f>DATA!S19</f>
        <v>284.87519047889998</v>
      </c>
      <c r="S20" s="337" t="s">
        <v>101</v>
      </c>
      <c r="T20" s="332"/>
      <c r="U20" s="325"/>
      <c r="V20" s="325"/>
      <c r="W20" s="325"/>
      <c r="X20" s="325"/>
      <c r="Y20" s="325"/>
      <c r="Z20" s="305"/>
      <c r="AA20" s="108"/>
    </row>
    <row r="21" spans="1:27" ht="20.100000000000001" customHeight="1" thickTop="1" thickBot="1">
      <c r="A21" s="301"/>
      <c r="B21" s="344" t="s">
        <v>102</v>
      </c>
      <c r="C21" s="345"/>
      <c r="D21" s="217" t="str">
        <f>DATA_VOYAGE!B1</f>
        <v>ALİAĞA</v>
      </c>
      <c r="E21" s="218" t="s">
        <v>103</v>
      </c>
      <c r="F21" s="219" t="str">
        <f>DATA_VOYAGE!B3</f>
        <v>01-26</v>
      </c>
      <c r="G21" s="346"/>
      <c r="H21" s="347"/>
      <c r="I21" s="220" t="s">
        <v>104</v>
      </c>
      <c r="J21" s="229">
        <f>SUM(J3:J20)</f>
        <v>21258.161835573985</v>
      </c>
      <c r="K21" s="230" t="s">
        <v>12</v>
      </c>
      <c r="L21" s="229">
        <f>SUM(L3:L20)</f>
        <v>21258.161835573985</v>
      </c>
      <c r="M21" s="221"/>
      <c r="N21" s="343"/>
      <c r="O21" s="631" t="s">
        <v>14</v>
      </c>
      <c r="P21" s="276">
        <f>SUM(P3:P20)</f>
        <v>21008.825788409998</v>
      </c>
      <c r="Q21" s="277" t="s">
        <v>105</v>
      </c>
      <c r="R21" s="361">
        <f>SUM(Q3:Q20)</f>
        <v>15934.786593079303</v>
      </c>
      <c r="S21" s="354"/>
      <c r="T21" s="332"/>
      <c r="U21" s="325"/>
      <c r="V21" s="325"/>
      <c r="W21" s="325"/>
      <c r="X21" s="325"/>
      <c r="Y21" s="325"/>
      <c r="Z21" s="305"/>
      <c r="AA21" s="108"/>
    </row>
    <row r="22" spans="1:27" ht="20.100000000000001" customHeight="1" thickTop="1" thickBot="1">
      <c r="A22" s="301"/>
      <c r="B22" s="350" t="s">
        <v>106</v>
      </c>
      <c r="C22" s="345"/>
      <c r="D22" s="222" t="str">
        <f>DATA_VOYAGE!B2</f>
        <v>TÜPRAŞ</v>
      </c>
      <c r="E22" s="223" t="s">
        <v>76</v>
      </c>
      <c r="F22" s="224">
        <f ca="1">TODAY()</f>
        <v>46018</v>
      </c>
      <c r="G22" s="348"/>
      <c r="H22" s="349"/>
      <c r="I22" s="225"/>
      <c r="J22" s="226"/>
      <c r="K22" s="226"/>
      <c r="L22" s="226"/>
      <c r="M22" s="226"/>
      <c r="N22" s="226"/>
      <c r="O22" s="226"/>
      <c r="P22" s="231"/>
      <c r="Q22" s="278" t="s">
        <v>107</v>
      </c>
      <c r="R22" s="362">
        <f>SUM(R3:R20)</f>
        <v>15911.676884712047</v>
      </c>
      <c r="S22" s="345"/>
      <c r="T22" s="332"/>
      <c r="U22" s="325"/>
      <c r="V22" s="325"/>
      <c r="W22" s="325"/>
      <c r="X22" s="325"/>
      <c r="Y22" s="325"/>
      <c r="Z22" s="305"/>
    </row>
    <row r="23" spans="1:27" ht="20.100000000000001" customHeight="1" thickTop="1" thickBot="1">
      <c r="A23" s="301"/>
      <c r="B23" s="272"/>
      <c r="C23" s="353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54"/>
      <c r="T23" s="322"/>
      <c r="U23" s="325"/>
      <c r="V23" s="325"/>
      <c r="W23" s="325"/>
      <c r="X23" s="325"/>
      <c r="Y23" s="323"/>
      <c r="Z23" s="305"/>
    </row>
    <row r="24" spans="1:27" ht="20.100000000000001" customHeight="1" thickTop="1" thickBot="1">
      <c r="A24" s="301"/>
      <c r="B24" s="359">
        <v>1</v>
      </c>
      <c r="C24" s="355"/>
      <c r="D24" s="355"/>
      <c r="E24" s="355"/>
      <c r="F24" s="355"/>
      <c r="G24" s="355"/>
      <c r="H24" s="355"/>
      <c r="I24" s="356"/>
      <c r="J24" s="355"/>
      <c r="K24" s="355"/>
      <c r="L24" s="355"/>
      <c r="M24" s="355"/>
      <c r="N24" s="355"/>
      <c r="O24" s="355"/>
      <c r="P24" s="355"/>
      <c r="Q24" s="355"/>
      <c r="R24" s="355"/>
      <c r="S24" s="357"/>
      <c r="T24" s="322"/>
      <c r="U24" s="325"/>
      <c r="V24" s="326" t="s">
        <v>108</v>
      </c>
      <c r="W24" s="325"/>
      <c r="X24" s="326" t="s">
        <v>109</v>
      </c>
      <c r="Y24" s="323"/>
      <c r="Z24" s="305"/>
    </row>
    <row r="25" spans="1:27" ht="18" customHeight="1" thickBot="1">
      <c r="A25" s="301"/>
      <c r="B25" s="360"/>
      <c r="C25" s="355"/>
      <c r="D25" s="355"/>
      <c r="E25" s="355"/>
      <c r="F25" s="355"/>
      <c r="G25" s="355"/>
      <c r="H25" s="355"/>
      <c r="I25" s="356"/>
      <c r="J25" s="355"/>
      <c r="K25" s="355"/>
      <c r="L25" s="355"/>
      <c r="M25" s="355"/>
      <c r="N25" s="355"/>
      <c r="O25" s="355"/>
      <c r="P25" s="355"/>
      <c r="Q25" s="355"/>
      <c r="R25" s="355"/>
      <c r="S25" s="357"/>
      <c r="T25" s="322"/>
      <c r="U25" s="325"/>
      <c r="V25" s="331">
        <f>DATA!V1</f>
        <v>9</v>
      </c>
      <c r="W25" s="327"/>
      <c r="X25" s="331">
        <f>DATA!W1</f>
        <v>9</v>
      </c>
      <c r="Y25" s="323"/>
      <c r="Z25" s="305"/>
    </row>
    <row r="26" spans="1:27" ht="20.100000000000001" customHeight="1" thickBot="1">
      <c r="A26" s="301"/>
      <c r="B26" s="273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49"/>
      <c r="S26" s="358"/>
      <c r="T26" s="322"/>
      <c r="U26" s="303"/>
      <c r="V26" s="303"/>
      <c r="W26" s="303"/>
      <c r="X26" s="303"/>
      <c r="Y26" s="324"/>
      <c r="Z26" s="305"/>
    </row>
    <row r="27" spans="1:27" ht="6.75" customHeight="1" thickTop="1" thickBot="1">
      <c r="A27" s="302"/>
      <c r="B27" s="363"/>
      <c r="C27" s="352"/>
      <c r="D27" s="352"/>
      <c r="E27" s="352"/>
      <c r="F27" s="352"/>
      <c r="G27" s="35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2"/>
      <c r="Y27" s="345"/>
      <c r="Z27" s="324"/>
    </row>
    <row r="28" spans="1:27" ht="13.9" customHeight="1" thickTop="1"/>
    <row r="32" spans="1:27">
      <c r="O32" s="138"/>
    </row>
  </sheetData>
  <mergeCells count="9">
    <mergeCell ref="B27:Y27"/>
    <mergeCell ref="B21:C21"/>
    <mergeCell ref="G21:H22"/>
    <mergeCell ref="B22:C22"/>
    <mergeCell ref="B1:Y1"/>
    <mergeCell ref="C23:S26"/>
    <mergeCell ref="B24:B25"/>
    <mergeCell ref="R21:S21"/>
    <mergeCell ref="R22:S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13" zoomScaleNormal="100" zoomScaleSheetLayoutView="100" workbookViewId="0">
      <selection activeCell="I41" sqref="I41:O41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7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 thickBot="1">
      <c r="A1" s="616" t="s">
        <v>110</v>
      </c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7"/>
      <c r="Y1" s="617"/>
      <c r="Z1" s="617"/>
      <c r="AA1" s="617"/>
      <c r="AB1" s="617"/>
      <c r="AC1" s="617"/>
      <c r="AD1" s="617"/>
    </row>
    <row r="2" spans="1:31" ht="14.1" customHeight="1">
      <c r="A2" s="618"/>
      <c r="B2" s="370"/>
      <c r="C2" s="370"/>
      <c r="D2" s="370"/>
      <c r="E2" s="370"/>
      <c r="F2" s="370"/>
      <c r="G2" s="619" t="s">
        <v>111</v>
      </c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91"/>
      <c r="Y2" s="620" t="s">
        <v>112</v>
      </c>
      <c r="Z2" s="370"/>
      <c r="AA2" s="370"/>
      <c r="AB2" s="621" t="s">
        <v>113</v>
      </c>
      <c r="AC2" s="622"/>
      <c r="AD2" s="623"/>
    </row>
    <row r="3" spans="1:31" ht="14.1" customHeight="1">
      <c r="A3" s="624"/>
      <c r="B3" s="625"/>
      <c r="C3" s="625"/>
      <c r="D3" s="625"/>
      <c r="E3" s="625"/>
      <c r="F3" s="625"/>
      <c r="G3" s="388" t="s">
        <v>114</v>
      </c>
      <c r="H3" s="625"/>
      <c r="I3" s="625"/>
      <c r="J3" s="625"/>
      <c r="K3" s="625"/>
      <c r="L3" s="625"/>
      <c r="M3" s="625"/>
      <c r="N3" s="625"/>
      <c r="O3" s="625"/>
      <c r="P3" s="625"/>
      <c r="Q3" s="625"/>
      <c r="R3" s="625"/>
      <c r="S3" s="625"/>
      <c r="T3" s="625"/>
      <c r="U3" s="625"/>
      <c r="V3" s="625"/>
      <c r="W3" s="625"/>
      <c r="X3" s="384"/>
      <c r="Y3" s="394" t="s">
        <v>115</v>
      </c>
      <c r="Z3" s="625"/>
      <c r="AA3" s="625"/>
      <c r="AB3" s="559" t="s">
        <v>116</v>
      </c>
      <c r="AC3" s="626"/>
      <c r="AD3" s="627"/>
    </row>
    <row r="4" spans="1:31" ht="14.1" customHeight="1">
      <c r="A4" s="624"/>
      <c r="B4" s="625"/>
      <c r="C4" s="625"/>
      <c r="D4" s="625"/>
      <c r="E4" s="625"/>
      <c r="F4" s="625"/>
      <c r="G4" s="400" t="s">
        <v>117</v>
      </c>
      <c r="H4" s="625"/>
      <c r="I4" s="625"/>
      <c r="J4" s="399" t="s">
        <v>118</v>
      </c>
      <c r="K4" s="625"/>
      <c r="L4" s="625"/>
      <c r="M4" s="625"/>
      <c r="N4" s="625"/>
      <c r="O4" s="625"/>
      <c r="P4" s="625"/>
      <c r="Q4" s="625"/>
      <c r="R4" s="625"/>
      <c r="S4" s="625"/>
      <c r="T4" s="625"/>
      <c r="U4" s="625"/>
      <c r="V4" s="625"/>
      <c r="W4" s="625"/>
      <c r="X4" s="384"/>
      <c r="Y4" s="394" t="s">
        <v>119</v>
      </c>
      <c r="Z4" s="625"/>
      <c r="AA4" s="625"/>
      <c r="AB4" s="560" t="s">
        <v>55</v>
      </c>
      <c r="AC4" s="626"/>
      <c r="AD4" s="627"/>
    </row>
    <row r="5" spans="1:31" ht="14.1" customHeight="1" thickBot="1">
      <c r="A5" s="373"/>
      <c r="B5" s="374"/>
      <c r="C5" s="374"/>
      <c r="D5" s="374"/>
      <c r="E5" s="374"/>
      <c r="F5" s="374"/>
      <c r="G5" s="392"/>
      <c r="H5" s="374"/>
      <c r="I5" s="374"/>
      <c r="J5" s="374"/>
      <c r="K5" s="374"/>
      <c r="L5" s="374"/>
      <c r="M5" s="374"/>
      <c r="N5" s="374"/>
      <c r="O5" s="374"/>
      <c r="P5" s="374"/>
      <c r="Q5" s="374"/>
      <c r="R5" s="374"/>
      <c r="S5" s="374"/>
      <c r="T5" s="374"/>
      <c r="U5" s="374"/>
      <c r="V5" s="374"/>
      <c r="W5" s="374"/>
      <c r="X5" s="381"/>
      <c r="Y5" s="628" t="s">
        <v>120</v>
      </c>
      <c r="Z5" s="374"/>
      <c r="AA5" s="374"/>
      <c r="AB5" s="629" t="s">
        <v>25</v>
      </c>
      <c r="AC5" s="608"/>
      <c r="AD5" s="630"/>
    </row>
    <row r="6" spans="1:31" ht="8.25" customHeight="1">
      <c r="A6" s="35"/>
      <c r="B6" s="35"/>
      <c r="C6" s="35"/>
      <c r="D6" s="35"/>
      <c r="E6" s="35"/>
      <c r="F6" s="35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4"/>
      <c r="AA6" s="36"/>
      <c r="AB6" s="36"/>
      <c r="AC6" s="34"/>
      <c r="AD6" s="36"/>
    </row>
    <row r="7" spans="1:31" ht="18" customHeight="1" thickBot="1">
      <c r="A7" s="597" t="s">
        <v>121</v>
      </c>
      <c r="B7" s="365"/>
      <c r="C7" s="365"/>
      <c r="D7" s="365"/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D7" s="366"/>
    </row>
    <row r="8" spans="1:31" s="30" customFormat="1" ht="13.15" customHeight="1">
      <c r="A8" s="598" t="s">
        <v>122</v>
      </c>
      <c r="B8" s="397"/>
      <c r="C8" s="599" t="s">
        <v>123</v>
      </c>
      <c r="D8" s="397"/>
      <c r="E8" s="397"/>
      <c r="F8" s="398"/>
      <c r="G8" s="600" t="s">
        <v>124</v>
      </c>
      <c r="H8" s="397"/>
      <c r="I8" s="601" t="str">
        <f>DATA_VOYAGE!B3</f>
        <v>01-26</v>
      </c>
      <c r="J8" s="582"/>
      <c r="K8" s="582"/>
      <c r="L8" s="582"/>
      <c r="M8" s="582"/>
      <c r="N8" s="582"/>
      <c r="O8" s="582"/>
      <c r="P8" s="582"/>
      <c r="Q8" s="582"/>
      <c r="R8" s="582"/>
      <c r="S8" s="582"/>
      <c r="T8" s="582"/>
      <c r="U8" s="582"/>
      <c r="V8" s="582"/>
      <c r="W8" s="582"/>
      <c r="X8" s="577"/>
      <c r="Y8" s="602" t="s">
        <v>125</v>
      </c>
      <c r="Z8" s="397"/>
      <c r="AA8" s="603">
        <f ca="1">TODAY()</f>
        <v>46018</v>
      </c>
      <c r="AB8" s="405"/>
      <c r="AC8" s="405"/>
      <c r="AD8" s="604"/>
    </row>
    <row r="9" spans="1:31" s="31" customFormat="1">
      <c r="A9" s="605" t="s">
        <v>126</v>
      </c>
      <c r="B9" s="365"/>
      <c r="C9" s="365"/>
      <c r="D9" s="365"/>
      <c r="E9" s="365"/>
      <c r="F9" s="364" t="s">
        <v>127</v>
      </c>
      <c r="G9" s="365"/>
      <c r="H9" s="365"/>
      <c r="I9" s="365"/>
      <c r="J9" s="366"/>
      <c r="K9" s="364" t="s">
        <v>128</v>
      </c>
      <c r="L9" s="365"/>
      <c r="M9" s="365"/>
      <c r="N9" s="365"/>
      <c r="O9" s="366"/>
      <c r="P9" s="364" t="s">
        <v>129</v>
      </c>
      <c r="Q9" s="365"/>
      <c r="R9" s="365"/>
      <c r="S9" s="365"/>
      <c r="T9" s="366"/>
      <c r="U9" s="364" t="s">
        <v>130</v>
      </c>
      <c r="V9" s="365"/>
      <c r="W9" s="365"/>
      <c r="X9" s="365"/>
      <c r="Y9" s="366"/>
      <c r="Z9" s="364" t="s">
        <v>131</v>
      </c>
      <c r="AA9" s="365"/>
      <c r="AB9" s="365"/>
      <c r="AC9" s="365"/>
      <c r="AD9" s="606"/>
    </row>
    <row r="10" spans="1:31" ht="14.65" thickBot="1">
      <c r="A10" s="607"/>
      <c r="B10" s="608"/>
      <c r="C10" s="608"/>
      <c r="D10" s="608"/>
      <c r="E10" s="609"/>
      <c r="F10" s="610"/>
      <c r="G10" s="608"/>
      <c r="H10" s="608"/>
      <c r="I10" s="608"/>
      <c r="J10" s="609"/>
      <c r="K10" s="611"/>
      <c r="L10" s="608"/>
      <c r="M10" s="608"/>
      <c r="N10" s="608"/>
      <c r="O10" s="609"/>
      <c r="P10" s="610"/>
      <c r="Q10" s="608"/>
      <c r="R10" s="608"/>
      <c r="S10" s="608"/>
      <c r="T10" s="609"/>
      <c r="U10" s="612">
        <f>DATA_VOYAGE!B7</f>
        <v>9</v>
      </c>
      <c r="V10" s="613"/>
      <c r="W10" s="613"/>
      <c r="X10" s="613"/>
      <c r="Y10" s="614"/>
      <c r="Z10" s="612">
        <f>DATA_VOYAGE!B6</f>
        <v>9</v>
      </c>
      <c r="AA10" s="613"/>
      <c r="AB10" s="613"/>
      <c r="AC10" s="613"/>
      <c r="AD10" s="615"/>
    </row>
    <row r="11" spans="1:31" ht="9" customHeight="1" thickBot="1">
      <c r="A11" s="406"/>
      <c r="B11" s="383"/>
      <c r="C11" s="383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1" ht="14.65" thickBot="1">
      <c r="A12" s="393" t="s">
        <v>132</v>
      </c>
      <c r="B12" s="391"/>
      <c r="C12" s="396" t="s">
        <v>133</v>
      </c>
      <c r="D12" s="370"/>
      <c r="E12" s="370"/>
      <c r="F12" s="391"/>
      <c r="G12" s="396" t="s">
        <v>10</v>
      </c>
      <c r="H12" s="391"/>
      <c r="I12" s="396" t="s">
        <v>134</v>
      </c>
      <c r="J12" s="370"/>
      <c r="K12" s="370"/>
      <c r="L12" s="391"/>
      <c r="M12" s="396" t="s">
        <v>12</v>
      </c>
      <c r="N12" s="391"/>
      <c r="O12" s="396" t="s">
        <v>135</v>
      </c>
      <c r="P12" s="391"/>
      <c r="Q12" s="390" t="s">
        <v>13</v>
      </c>
      <c r="R12" s="391"/>
      <c r="S12" s="396" t="s">
        <v>14</v>
      </c>
      <c r="T12" s="370"/>
      <c r="U12" s="370"/>
      <c r="V12" s="391"/>
      <c r="W12" s="396" t="s">
        <v>136</v>
      </c>
      <c r="X12" s="370"/>
      <c r="Y12" s="370"/>
      <c r="Z12" s="391"/>
      <c r="AA12" s="561" t="s">
        <v>273</v>
      </c>
      <c r="AB12" s="573"/>
      <c r="AC12" s="562" t="s">
        <v>274</v>
      </c>
      <c r="AD12" s="565"/>
    </row>
    <row r="13" spans="1:31" ht="14.65" customHeight="1" thickBot="1">
      <c r="A13" s="373"/>
      <c r="B13" s="381"/>
      <c r="C13" s="380" t="s">
        <v>137</v>
      </c>
      <c r="D13" s="381"/>
      <c r="E13" s="380" t="s">
        <v>138</v>
      </c>
      <c r="F13" s="381"/>
      <c r="G13" s="404"/>
      <c r="H13" s="381"/>
      <c r="I13" s="380" t="s">
        <v>137</v>
      </c>
      <c r="J13" s="381"/>
      <c r="K13" s="380" t="s">
        <v>138</v>
      </c>
      <c r="L13" s="381"/>
      <c r="M13" s="380"/>
      <c r="N13" s="381"/>
      <c r="O13" s="380"/>
      <c r="P13" s="381"/>
      <c r="Q13" s="392"/>
      <c r="R13" s="381"/>
      <c r="S13" s="380"/>
      <c r="T13" s="374"/>
      <c r="U13" s="374"/>
      <c r="V13" s="381"/>
      <c r="W13" s="380" t="s">
        <v>139</v>
      </c>
      <c r="X13" s="374"/>
      <c r="Y13" s="374"/>
      <c r="Z13" s="381"/>
      <c r="AA13" s="563"/>
      <c r="AB13" s="574"/>
      <c r="AC13" s="564"/>
      <c r="AD13" s="566"/>
    </row>
    <row r="14" spans="1:31">
      <c r="A14" s="576" t="s">
        <v>140</v>
      </c>
      <c r="B14" s="577"/>
      <c r="C14" s="578">
        <f>DATA!F2*10</f>
        <v>1050</v>
      </c>
      <c r="D14" s="577"/>
      <c r="E14" s="578">
        <f>DATA!J2*10</f>
        <v>1050</v>
      </c>
      <c r="F14" s="577"/>
      <c r="G14" s="579">
        <f>DATA!K2</f>
        <v>778.41399999999999</v>
      </c>
      <c r="H14" s="577"/>
      <c r="I14" s="580">
        <v>0</v>
      </c>
      <c r="J14" s="577"/>
      <c r="K14" s="580">
        <v>0</v>
      </c>
      <c r="L14" s="577"/>
      <c r="M14" s="579">
        <f>DATA!M2</f>
        <v>778.61950129600007</v>
      </c>
      <c r="N14" s="577"/>
      <c r="O14" s="580">
        <f>DATA!G2</f>
        <v>28</v>
      </c>
      <c r="P14" s="577"/>
      <c r="Q14" s="581">
        <f>DATA!N2</f>
        <v>0.98379315377625043</v>
      </c>
      <c r="R14" s="577"/>
      <c r="S14" s="579">
        <f>DATA!O2</f>
        <v>765.99856980000004</v>
      </c>
      <c r="T14" s="582"/>
      <c r="U14" s="582"/>
      <c r="V14" s="577"/>
      <c r="W14" s="581">
        <f>DATA!P2</f>
        <v>0.73399999999999999</v>
      </c>
      <c r="X14" s="582"/>
      <c r="Y14" s="582"/>
      <c r="Z14" s="577"/>
      <c r="AA14" s="569">
        <f>DATA!Q2</f>
        <v>562.24295023319996</v>
      </c>
      <c r="AB14" s="570"/>
      <c r="AC14" s="571">
        <f>DATA!S2</f>
        <v>561.40035180642008</v>
      </c>
      <c r="AD14" s="583"/>
      <c r="AE14" s="558"/>
    </row>
    <row r="15" spans="1:31" s="118" customFormat="1" ht="12.95" customHeight="1">
      <c r="A15" s="584" t="s">
        <v>141</v>
      </c>
      <c r="B15" s="551"/>
      <c r="C15" s="552">
        <f>DATA!F3*10</f>
        <v>1050</v>
      </c>
      <c r="D15" s="553"/>
      <c r="E15" s="552">
        <f>DATA!J3*10</f>
        <v>1050</v>
      </c>
      <c r="F15" s="553"/>
      <c r="G15" s="554">
        <f>DATA!K3</f>
        <v>773.16200000000003</v>
      </c>
      <c r="H15" s="553"/>
      <c r="I15" s="555">
        <v>0</v>
      </c>
      <c r="J15" s="551"/>
      <c r="K15" s="555">
        <v>0</v>
      </c>
      <c r="L15" s="551"/>
      <c r="M15" s="554">
        <f>DATA!M3</f>
        <v>773.32784324900001</v>
      </c>
      <c r="N15" s="553"/>
      <c r="O15" s="555">
        <f>DATA!G3</f>
        <v>26.5</v>
      </c>
      <c r="P15" s="551"/>
      <c r="Q15" s="556">
        <f>DATA!N3</f>
        <v>0.98567063222825602</v>
      </c>
      <c r="R15" s="553"/>
      <c r="S15" s="554">
        <f>DATA!O3</f>
        <v>762.24620976000006</v>
      </c>
      <c r="T15" s="557"/>
      <c r="U15" s="557"/>
      <c r="V15" s="553"/>
      <c r="W15" s="556">
        <f>DATA!P3</f>
        <v>0.73399999999999999</v>
      </c>
      <c r="X15" s="557"/>
      <c r="Y15" s="557"/>
      <c r="Z15" s="553"/>
      <c r="AA15" s="567">
        <f>DATA!Q3</f>
        <v>559.48871796384003</v>
      </c>
      <c r="AB15" s="568"/>
      <c r="AC15" s="572">
        <f>DATA!S3</f>
        <v>558.65024713310402</v>
      </c>
      <c r="AD15" s="585"/>
      <c r="AE15" s="558"/>
    </row>
    <row r="16" spans="1:31" s="118" customFormat="1" ht="12.95" customHeight="1">
      <c r="A16" s="584" t="s">
        <v>142</v>
      </c>
      <c r="B16" s="551"/>
      <c r="C16" s="552">
        <f>DATA!F4*10</f>
        <v>1030</v>
      </c>
      <c r="D16" s="553"/>
      <c r="E16" s="552">
        <f>DATA!J4*10</f>
        <v>1030</v>
      </c>
      <c r="F16" s="553"/>
      <c r="G16" s="554">
        <f>DATA!K4</f>
        <v>1608.165</v>
      </c>
      <c r="H16" s="553"/>
      <c r="I16" s="555">
        <v>0</v>
      </c>
      <c r="J16" s="551"/>
      <c r="K16" s="555">
        <v>0</v>
      </c>
      <c r="L16" s="551"/>
      <c r="M16" s="554">
        <f>DATA!M4</f>
        <v>1608.37727778</v>
      </c>
      <c r="N16" s="553"/>
      <c r="O16" s="555">
        <f>DATA!G4</f>
        <v>24</v>
      </c>
      <c r="P16" s="551"/>
      <c r="Q16" s="556">
        <f>DATA!N4</f>
        <v>0.99221492180943383</v>
      </c>
      <c r="R16" s="553"/>
      <c r="S16" s="554">
        <f>DATA!O4</f>
        <v>1595.8477431700001</v>
      </c>
      <c r="T16" s="557"/>
      <c r="U16" s="557"/>
      <c r="V16" s="553"/>
      <c r="W16" s="556">
        <f>DATA!P4</f>
        <v>0.83</v>
      </c>
      <c r="X16" s="557"/>
      <c r="Y16" s="557"/>
      <c r="Z16" s="553"/>
      <c r="AA16" s="567">
        <f>DATA!Q4</f>
        <v>1324.5536268311</v>
      </c>
      <c r="AB16" s="568"/>
      <c r="AC16" s="572">
        <f>DATA!S4</f>
        <v>1322.7981943136131</v>
      </c>
      <c r="AD16" s="585"/>
      <c r="AE16" s="558"/>
    </row>
    <row r="17" spans="1:31" s="118" customFormat="1" ht="12.95" customHeight="1">
      <c r="A17" s="584" t="s">
        <v>143</v>
      </c>
      <c r="B17" s="551"/>
      <c r="C17" s="552">
        <f>DATA!F5*10</f>
        <v>1030</v>
      </c>
      <c r="D17" s="553"/>
      <c r="E17" s="552">
        <f>DATA!J5*10</f>
        <v>1030</v>
      </c>
      <c r="F17" s="553"/>
      <c r="G17" s="554">
        <f>DATA!K5</f>
        <v>1606.2080000000001</v>
      </c>
      <c r="H17" s="553"/>
      <c r="I17" s="555">
        <v>0</v>
      </c>
      <c r="J17" s="551"/>
      <c r="K17" s="555">
        <v>0</v>
      </c>
      <c r="L17" s="551"/>
      <c r="M17" s="554">
        <f>DATA!M5</f>
        <v>1606.5525316159999</v>
      </c>
      <c r="N17" s="553"/>
      <c r="O17" s="555">
        <f>DATA!G5</f>
        <v>26.5</v>
      </c>
      <c r="P17" s="551"/>
      <c r="Q17" s="556">
        <f>DATA!N5</f>
        <v>0.98567063222825602</v>
      </c>
      <c r="R17" s="553"/>
      <c r="S17" s="554">
        <f>DATA!O5</f>
        <v>1583.5310955099999</v>
      </c>
      <c r="T17" s="557"/>
      <c r="U17" s="557"/>
      <c r="V17" s="553"/>
      <c r="W17" s="556">
        <f>DATA!P5</f>
        <v>0.73399999999999999</v>
      </c>
      <c r="X17" s="557"/>
      <c r="Y17" s="557"/>
      <c r="Z17" s="553"/>
      <c r="AA17" s="567">
        <f>DATA!Q5</f>
        <v>1162.3118241043401</v>
      </c>
      <c r="AB17" s="568"/>
      <c r="AC17" s="572">
        <f>DATA!S5</f>
        <v>1160.569939899279</v>
      </c>
      <c r="AD17" s="585"/>
      <c r="AE17" s="558"/>
    </row>
    <row r="18" spans="1:31" s="118" customFormat="1" ht="12.95" customHeight="1">
      <c r="A18" s="584" t="s">
        <v>144</v>
      </c>
      <c r="B18" s="551"/>
      <c r="C18" s="552">
        <f>DATA!F6*10</f>
        <v>1030</v>
      </c>
      <c r="D18" s="553"/>
      <c r="E18" s="552">
        <f>DATA!J6*10</f>
        <v>1030</v>
      </c>
      <c r="F18" s="553"/>
      <c r="G18" s="554">
        <f>DATA!K6</f>
        <v>1358.385</v>
      </c>
      <c r="H18" s="553"/>
      <c r="I18" s="555">
        <v>0</v>
      </c>
      <c r="J18" s="551"/>
      <c r="K18" s="555">
        <v>0</v>
      </c>
      <c r="L18" s="551"/>
      <c r="M18" s="554">
        <f>DATA!M6</f>
        <v>1358.7436136399999</v>
      </c>
      <c r="N18" s="553"/>
      <c r="O18" s="555">
        <f>DATA!G6</f>
        <v>28</v>
      </c>
      <c r="P18" s="551"/>
      <c r="Q18" s="556">
        <f>DATA!N6</f>
        <v>0.98379315377625043</v>
      </c>
      <c r="R18" s="553"/>
      <c r="S18" s="554">
        <f>DATA!O6</f>
        <v>1336.71875976</v>
      </c>
      <c r="T18" s="557"/>
      <c r="U18" s="557"/>
      <c r="V18" s="553"/>
      <c r="W18" s="556">
        <f>DATA!P6</f>
        <v>0.73399999999999999</v>
      </c>
      <c r="X18" s="557"/>
      <c r="Y18" s="557"/>
      <c r="Z18" s="553"/>
      <c r="AA18" s="567">
        <f>DATA!Q6</f>
        <v>981.15156966383995</v>
      </c>
      <c r="AB18" s="568"/>
      <c r="AC18" s="572">
        <f>DATA!S6</f>
        <v>979.681179028104</v>
      </c>
      <c r="AD18" s="585"/>
      <c r="AE18" s="558"/>
    </row>
    <row r="19" spans="1:31" s="118" customFormat="1" ht="12.95" customHeight="1">
      <c r="A19" s="584" t="s">
        <v>145</v>
      </c>
      <c r="B19" s="551"/>
      <c r="C19" s="552">
        <f>DATA!F7*10</f>
        <v>1030</v>
      </c>
      <c r="D19" s="553"/>
      <c r="E19" s="552">
        <f>DATA!J7*10</f>
        <v>1030</v>
      </c>
      <c r="F19" s="553"/>
      <c r="G19" s="554">
        <f>DATA!K7</f>
        <v>1358.123</v>
      </c>
      <c r="H19" s="553"/>
      <c r="I19" s="555">
        <v>0</v>
      </c>
      <c r="J19" s="551"/>
      <c r="K19" s="555">
        <v>0</v>
      </c>
      <c r="L19" s="551"/>
      <c r="M19" s="554">
        <f>DATA!M7</f>
        <v>1358.4367264130001</v>
      </c>
      <c r="N19" s="553"/>
      <c r="O19" s="555">
        <f>DATA!G7</f>
        <v>27</v>
      </c>
      <c r="P19" s="551"/>
      <c r="Q19" s="556">
        <f>DATA!N7</f>
        <v>0.98504501500613217</v>
      </c>
      <c r="R19" s="553"/>
      <c r="S19" s="554">
        <f>DATA!O7</f>
        <v>1338.12836685</v>
      </c>
      <c r="T19" s="557"/>
      <c r="U19" s="557"/>
      <c r="V19" s="553"/>
      <c r="W19" s="556">
        <f>DATA!P7</f>
        <v>0.73399999999999999</v>
      </c>
      <c r="X19" s="557"/>
      <c r="Y19" s="557"/>
      <c r="Z19" s="553"/>
      <c r="AA19" s="567">
        <f>DATA!Q7</f>
        <v>982.18622126789978</v>
      </c>
      <c r="AB19" s="568"/>
      <c r="AC19" s="572">
        <f>DATA!S7</f>
        <v>980.71428006436486</v>
      </c>
      <c r="AD19" s="585"/>
      <c r="AE19" s="558"/>
    </row>
    <row r="20" spans="1:31" s="118" customFormat="1" ht="12.95" customHeight="1">
      <c r="A20" s="584" t="s">
        <v>146</v>
      </c>
      <c r="B20" s="551"/>
      <c r="C20" s="552">
        <f>DATA!F8*10</f>
        <v>1030</v>
      </c>
      <c r="D20" s="553"/>
      <c r="E20" s="552">
        <f>DATA!J8*10</f>
        <v>1030</v>
      </c>
      <c r="F20" s="553"/>
      <c r="G20" s="554">
        <f>DATA!K8</f>
        <v>1358.13</v>
      </c>
      <c r="H20" s="553"/>
      <c r="I20" s="555">
        <v>0</v>
      </c>
      <c r="J20" s="551"/>
      <c r="K20" s="555">
        <v>0</v>
      </c>
      <c r="L20" s="551"/>
      <c r="M20" s="554">
        <f>DATA!M8</f>
        <v>1358.30927316</v>
      </c>
      <c r="N20" s="553"/>
      <c r="O20" s="555">
        <f>DATA!G8</f>
        <v>24</v>
      </c>
      <c r="P20" s="551"/>
      <c r="Q20" s="556">
        <f>DATA!N8</f>
        <v>0.99221492180943383</v>
      </c>
      <c r="R20" s="553"/>
      <c r="S20" s="554">
        <f>DATA!O8</f>
        <v>1347.7277728900001</v>
      </c>
      <c r="T20" s="557"/>
      <c r="U20" s="557"/>
      <c r="V20" s="553"/>
      <c r="W20" s="556">
        <f>DATA!P8</f>
        <v>0.83</v>
      </c>
      <c r="X20" s="557"/>
      <c r="Y20" s="557"/>
      <c r="Z20" s="553"/>
      <c r="AA20" s="567">
        <f>DATA!Q8</f>
        <v>1118.6140514987001</v>
      </c>
      <c r="AB20" s="568"/>
      <c r="AC20" s="572">
        <f>DATA!S8</f>
        <v>1117.131550948521</v>
      </c>
      <c r="AD20" s="585"/>
      <c r="AE20" s="558"/>
    </row>
    <row r="21" spans="1:31" s="118" customFormat="1" ht="12.95" customHeight="1">
      <c r="A21" s="584" t="s">
        <v>147</v>
      </c>
      <c r="B21" s="551"/>
      <c r="C21" s="552">
        <f>DATA!F9*10</f>
        <v>1030</v>
      </c>
      <c r="D21" s="553"/>
      <c r="E21" s="552">
        <f>DATA!J9*10</f>
        <v>1030</v>
      </c>
      <c r="F21" s="553"/>
      <c r="G21" s="554">
        <f>DATA!K9</f>
        <v>1356.8920000000001</v>
      </c>
      <c r="H21" s="553"/>
      <c r="I21" s="555">
        <v>0</v>
      </c>
      <c r="J21" s="551"/>
      <c r="K21" s="555">
        <v>0</v>
      </c>
      <c r="L21" s="551"/>
      <c r="M21" s="554">
        <f>DATA!M9</f>
        <v>1357.0711097440001</v>
      </c>
      <c r="N21" s="553"/>
      <c r="O21" s="555">
        <f>DATA!G9</f>
        <v>24</v>
      </c>
      <c r="P21" s="551"/>
      <c r="Q21" s="556">
        <f>DATA!N9</f>
        <v>0.99221492180943383</v>
      </c>
      <c r="R21" s="553"/>
      <c r="S21" s="554">
        <f>DATA!O9</f>
        <v>1346.49941691</v>
      </c>
      <c r="T21" s="557"/>
      <c r="U21" s="557"/>
      <c r="V21" s="553"/>
      <c r="W21" s="556">
        <f>DATA!P9</f>
        <v>0.83</v>
      </c>
      <c r="X21" s="557"/>
      <c r="Y21" s="557"/>
      <c r="Z21" s="553"/>
      <c r="AA21" s="567">
        <f>DATA!Q9</f>
        <v>1117.5945160353001</v>
      </c>
      <c r="AB21" s="568"/>
      <c r="AC21" s="572">
        <f>DATA!S9</f>
        <v>1116.1133666766989</v>
      </c>
      <c r="AD21" s="585"/>
      <c r="AE21" s="558"/>
    </row>
    <row r="22" spans="1:31" s="118" customFormat="1" ht="12.95" customHeight="1">
      <c r="A22" s="584" t="s">
        <v>148</v>
      </c>
      <c r="B22" s="551"/>
      <c r="C22" s="552">
        <f>DATA!F10*10</f>
        <v>1030</v>
      </c>
      <c r="D22" s="553"/>
      <c r="E22" s="552">
        <f>DATA!J10*10</f>
        <v>1030</v>
      </c>
      <c r="F22" s="553"/>
      <c r="G22" s="554">
        <f>DATA!K10</f>
        <v>1358.7049999999999</v>
      </c>
      <c r="H22" s="553"/>
      <c r="I22" s="555">
        <v>0</v>
      </c>
      <c r="J22" s="551"/>
      <c r="K22" s="555">
        <v>0</v>
      </c>
      <c r="L22" s="551"/>
      <c r="M22" s="554">
        <f>DATA!M10</f>
        <v>1358.929186325</v>
      </c>
      <c r="N22" s="553"/>
      <c r="O22" s="555">
        <f>DATA!G10</f>
        <v>25</v>
      </c>
      <c r="P22" s="551"/>
      <c r="Q22" s="556">
        <f>DATA!N10</f>
        <v>0.98754621947743804</v>
      </c>
      <c r="R22" s="553"/>
      <c r="S22" s="554">
        <f>DATA!O10</f>
        <v>1342.0103339499999</v>
      </c>
      <c r="T22" s="557"/>
      <c r="U22" s="557"/>
      <c r="V22" s="553"/>
      <c r="W22" s="556">
        <f>DATA!P10</f>
        <v>0.73399999999999999</v>
      </c>
      <c r="X22" s="557"/>
      <c r="Y22" s="557"/>
      <c r="Z22" s="553"/>
      <c r="AA22" s="567">
        <f>DATA!Q10</f>
        <v>985.03558511930009</v>
      </c>
      <c r="AB22" s="568"/>
      <c r="AC22" s="572">
        <f>DATA!S10</f>
        <v>983.55937375195504</v>
      </c>
      <c r="AD22" s="585"/>
      <c r="AE22" s="558"/>
    </row>
    <row r="23" spans="1:31" s="118" customFormat="1" ht="12.95" customHeight="1">
      <c r="A23" s="584" t="s">
        <v>149</v>
      </c>
      <c r="B23" s="551"/>
      <c r="C23" s="552">
        <f>DATA!F11*10</f>
        <v>1030</v>
      </c>
      <c r="D23" s="553"/>
      <c r="E23" s="552">
        <f>DATA!J11*10</f>
        <v>1030</v>
      </c>
      <c r="F23" s="553"/>
      <c r="G23" s="554">
        <f>DATA!K11</f>
        <v>1358.9580000000001</v>
      </c>
      <c r="H23" s="553"/>
      <c r="I23" s="555">
        <v>0</v>
      </c>
      <c r="J23" s="551"/>
      <c r="K23" s="555">
        <v>0</v>
      </c>
      <c r="L23" s="551"/>
      <c r="M23" s="554">
        <f>DATA!M11</f>
        <v>1359.1373824560001</v>
      </c>
      <c r="N23" s="553"/>
      <c r="O23" s="555">
        <f>DATA!G11</f>
        <v>24</v>
      </c>
      <c r="P23" s="551"/>
      <c r="Q23" s="556">
        <f>DATA!N11</f>
        <v>0.98879554825396143</v>
      </c>
      <c r="R23" s="553"/>
      <c r="S23" s="554">
        <f>DATA!O11</f>
        <v>1343.9146656</v>
      </c>
      <c r="T23" s="557"/>
      <c r="U23" s="557"/>
      <c r="V23" s="553"/>
      <c r="W23" s="556">
        <f>DATA!P11</f>
        <v>0.73399999999999999</v>
      </c>
      <c r="X23" s="557"/>
      <c r="Y23" s="557"/>
      <c r="Z23" s="553"/>
      <c r="AA23" s="567">
        <f>DATA!Q11</f>
        <v>986.43336455040003</v>
      </c>
      <c r="AB23" s="568"/>
      <c r="AC23" s="572">
        <f>DATA!S11</f>
        <v>984.95505841824001</v>
      </c>
      <c r="AD23" s="585"/>
      <c r="AE23" s="558"/>
    </row>
    <row r="24" spans="1:31" s="118" customFormat="1" ht="12.95" customHeight="1">
      <c r="A24" s="584" t="s">
        <v>150</v>
      </c>
      <c r="B24" s="551"/>
      <c r="C24" s="552">
        <f>DATA!F12*10</f>
        <v>1030</v>
      </c>
      <c r="D24" s="553"/>
      <c r="E24" s="552">
        <f>DATA!J12*10</f>
        <v>1030</v>
      </c>
      <c r="F24" s="553"/>
      <c r="G24" s="554">
        <f>DATA!K12</f>
        <v>1355.91</v>
      </c>
      <c r="H24" s="553"/>
      <c r="I24" s="555">
        <v>0</v>
      </c>
      <c r="J24" s="551"/>
      <c r="K24" s="555">
        <v>0</v>
      </c>
      <c r="L24" s="551"/>
      <c r="M24" s="554">
        <f>DATA!M12</f>
        <v>1356.0666076049999</v>
      </c>
      <c r="N24" s="553"/>
      <c r="O24" s="555">
        <f>DATA!G12</f>
        <v>23.5</v>
      </c>
      <c r="P24" s="551"/>
      <c r="Q24" s="556">
        <f>DATA!N12</f>
        <v>0.98941989111181738</v>
      </c>
      <c r="R24" s="553"/>
      <c r="S24" s="554">
        <f>DATA!O12</f>
        <v>1341.71981114</v>
      </c>
      <c r="T24" s="557"/>
      <c r="U24" s="557"/>
      <c r="V24" s="553"/>
      <c r="W24" s="556">
        <f>DATA!P12</f>
        <v>0.73399999999999999</v>
      </c>
      <c r="X24" s="557"/>
      <c r="Y24" s="557"/>
      <c r="Z24" s="553"/>
      <c r="AA24" s="567">
        <f>DATA!Q12</f>
        <v>984.82234137676005</v>
      </c>
      <c r="AB24" s="568"/>
      <c r="AC24" s="572">
        <f>DATA!S12</f>
        <v>983.34644958450599</v>
      </c>
      <c r="AD24" s="585"/>
      <c r="AE24" s="558"/>
    </row>
    <row r="25" spans="1:31" s="118" customFormat="1" ht="12.95" customHeight="1">
      <c r="A25" s="584" t="s">
        <v>151</v>
      </c>
      <c r="B25" s="551"/>
      <c r="C25" s="552">
        <f>DATA!F13*10</f>
        <v>1030</v>
      </c>
      <c r="D25" s="553"/>
      <c r="E25" s="552">
        <f>DATA!J13*10</f>
        <v>1030</v>
      </c>
      <c r="F25" s="553"/>
      <c r="G25" s="554">
        <f>DATA!K13</f>
        <v>1356.963</v>
      </c>
      <c r="H25" s="553"/>
      <c r="I25" s="555">
        <v>0</v>
      </c>
      <c r="J25" s="551"/>
      <c r="K25" s="555">
        <v>0</v>
      </c>
      <c r="L25" s="551"/>
      <c r="M25" s="554">
        <f>DATA!M13</f>
        <v>1357.142119116</v>
      </c>
      <c r="N25" s="553"/>
      <c r="O25" s="555">
        <f>DATA!G13</f>
        <v>24</v>
      </c>
      <c r="P25" s="551"/>
      <c r="Q25" s="556">
        <f>DATA!N13</f>
        <v>0.98879554825396143</v>
      </c>
      <c r="R25" s="553"/>
      <c r="S25" s="554">
        <f>DATA!O13</f>
        <v>1341.9420095999999</v>
      </c>
      <c r="T25" s="557"/>
      <c r="U25" s="557"/>
      <c r="V25" s="553"/>
      <c r="W25" s="556">
        <f>DATA!P13</f>
        <v>0.73399999999999999</v>
      </c>
      <c r="X25" s="557"/>
      <c r="Y25" s="557"/>
      <c r="Z25" s="553"/>
      <c r="AA25" s="567">
        <f>DATA!Q13</f>
        <v>984.98543504640008</v>
      </c>
      <c r="AB25" s="568"/>
      <c r="AC25" s="572">
        <f>DATA!S13</f>
        <v>983.50929883584013</v>
      </c>
      <c r="AD25" s="585"/>
      <c r="AE25" s="558"/>
    </row>
    <row r="26" spans="1:31" s="118" customFormat="1" ht="12.95" customHeight="1">
      <c r="A26" s="584" t="s">
        <v>152</v>
      </c>
      <c r="B26" s="551"/>
      <c r="C26" s="552">
        <f>DATA!F14*10</f>
        <v>1030</v>
      </c>
      <c r="D26" s="553"/>
      <c r="E26" s="552">
        <f>DATA!J14*10</f>
        <v>1030</v>
      </c>
      <c r="F26" s="553"/>
      <c r="G26" s="554">
        <f>DATA!K14</f>
        <v>1355.674</v>
      </c>
      <c r="H26" s="553"/>
      <c r="I26" s="555">
        <v>0</v>
      </c>
      <c r="J26" s="551"/>
      <c r="K26" s="555">
        <v>0</v>
      </c>
      <c r="L26" s="551"/>
      <c r="M26" s="554">
        <f>DATA!M14</f>
        <v>1355.9871606940001</v>
      </c>
      <c r="N26" s="553"/>
      <c r="O26" s="555">
        <f>DATA!G14</f>
        <v>27</v>
      </c>
      <c r="P26" s="551"/>
      <c r="Q26" s="556">
        <f>DATA!N14</f>
        <v>0.98504501500613217</v>
      </c>
      <c r="R26" s="553"/>
      <c r="S26" s="554">
        <f>DATA!O14</f>
        <v>1335.7149943500001</v>
      </c>
      <c r="T26" s="557"/>
      <c r="U26" s="557"/>
      <c r="V26" s="553"/>
      <c r="W26" s="556">
        <f>DATA!P14</f>
        <v>0.73399999999999999</v>
      </c>
      <c r="X26" s="557"/>
      <c r="Y26" s="557"/>
      <c r="Z26" s="553"/>
      <c r="AA26" s="567">
        <f>DATA!Q14</f>
        <v>980.41480585290003</v>
      </c>
      <c r="AB26" s="568"/>
      <c r="AC26" s="572">
        <f>DATA!S14</f>
        <v>978.94551935911511</v>
      </c>
      <c r="AD26" s="585"/>
      <c r="AE26" s="558"/>
    </row>
    <row r="27" spans="1:31" s="118" customFormat="1" ht="12.95" customHeight="1">
      <c r="A27" s="584" t="s">
        <v>153</v>
      </c>
      <c r="B27" s="551"/>
      <c r="C27" s="552">
        <f>DATA!F15*10</f>
        <v>1030</v>
      </c>
      <c r="D27" s="553"/>
      <c r="E27" s="552">
        <f>DATA!J15*10</f>
        <v>1030</v>
      </c>
      <c r="F27" s="553"/>
      <c r="G27" s="554">
        <f>DATA!K15</f>
        <v>1354.76</v>
      </c>
      <c r="H27" s="553"/>
      <c r="I27" s="555">
        <v>0</v>
      </c>
      <c r="J27" s="551"/>
      <c r="K27" s="555">
        <v>0</v>
      </c>
      <c r="L27" s="551"/>
      <c r="M27" s="554">
        <f>DATA!M15</f>
        <v>1355.02824248</v>
      </c>
      <c r="N27" s="553"/>
      <c r="O27" s="555">
        <f>DATA!G15</f>
        <v>26</v>
      </c>
      <c r="P27" s="551"/>
      <c r="Q27" s="556">
        <f>DATA!N15</f>
        <v>0.98629603931685628</v>
      </c>
      <c r="R27" s="553"/>
      <c r="S27" s="554">
        <f>DATA!O15</f>
        <v>1336.4641164</v>
      </c>
      <c r="T27" s="557"/>
      <c r="U27" s="557"/>
      <c r="V27" s="553"/>
      <c r="W27" s="556">
        <f>DATA!P15</f>
        <v>0.73399999999999999</v>
      </c>
      <c r="X27" s="557"/>
      <c r="Y27" s="557"/>
      <c r="Z27" s="553"/>
      <c r="AA27" s="567">
        <f>DATA!Q15</f>
        <v>980.96466143759994</v>
      </c>
      <c r="AB27" s="568"/>
      <c r="AC27" s="572">
        <f>DATA!S15</f>
        <v>979.49455090955996</v>
      </c>
      <c r="AD27" s="585"/>
      <c r="AE27" s="558"/>
    </row>
    <row r="28" spans="1:31" s="118" customFormat="1" ht="12.95" customHeight="1">
      <c r="A28" s="584" t="s">
        <v>154</v>
      </c>
      <c r="B28" s="551"/>
      <c r="C28" s="552">
        <f>DATA!F16*10</f>
        <v>1030</v>
      </c>
      <c r="D28" s="553"/>
      <c r="E28" s="552">
        <f>DATA!J16*10</f>
        <v>1030</v>
      </c>
      <c r="F28" s="553"/>
      <c r="G28" s="554">
        <f>DATA!K16</f>
        <v>1278.317</v>
      </c>
      <c r="H28" s="553"/>
      <c r="I28" s="555">
        <v>0</v>
      </c>
      <c r="J28" s="551"/>
      <c r="K28" s="555">
        <v>0</v>
      </c>
      <c r="L28" s="551"/>
      <c r="M28" s="554">
        <f>DATA!M16</f>
        <v>1278.4857378439999</v>
      </c>
      <c r="N28" s="553"/>
      <c r="O28" s="555">
        <f>DATA!G16</f>
        <v>24</v>
      </c>
      <c r="P28" s="551"/>
      <c r="Q28" s="556">
        <f>DATA!N16</f>
        <v>0.99155528610166754</v>
      </c>
      <c r="R28" s="553"/>
      <c r="S28" s="554">
        <f>DATA!O16</f>
        <v>1267.69557816</v>
      </c>
      <c r="T28" s="557"/>
      <c r="U28" s="557"/>
      <c r="V28" s="553"/>
      <c r="W28" s="556">
        <f>DATA!P16</f>
        <v>0.79700000000000004</v>
      </c>
      <c r="X28" s="557"/>
      <c r="Y28" s="557"/>
      <c r="Z28" s="553"/>
      <c r="AA28" s="567">
        <f>DATA!Q16</f>
        <v>1010.3533757935199</v>
      </c>
      <c r="AB28" s="568"/>
      <c r="AC28" s="572">
        <f>DATA!S16</f>
        <v>1008.958910657544</v>
      </c>
      <c r="AD28" s="585"/>
      <c r="AE28" s="558"/>
    </row>
    <row r="29" spans="1:31" s="118" customFormat="1" ht="12.95" customHeight="1">
      <c r="A29" s="584" t="s">
        <v>155</v>
      </c>
      <c r="B29" s="551"/>
      <c r="C29" s="552">
        <f>DATA!F17*10</f>
        <v>1030</v>
      </c>
      <c r="D29" s="553"/>
      <c r="E29" s="552">
        <f>DATA!J17*10</f>
        <v>1030</v>
      </c>
      <c r="F29" s="553"/>
      <c r="G29" s="554">
        <f>DATA!K17</f>
        <v>1280.1849999999999</v>
      </c>
      <c r="H29" s="553"/>
      <c r="I29" s="555">
        <v>0</v>
      </c>
      <c r="J29" s="551"/>
      <c r="K29" s="555">
        <v>0</v>
      </c>
      <c r="L29" s="551"/>
      <c r="M29" s="554">
        <f>DATA!M17</f>
        <v>1280.396230525</v>
      </c>
      <c r="N29" s="553"/>
      <c r="O29" s="555">
        <f>DATA!G17</f>
        <v>25</v>
      </c>
      <c r="P29" s="551"/>
      <c r="Q29" s="556">
        <f>DATA!N17</f>
        <v>0.98754621947743804</v>
      </c>
      <c r="R29" s="553"/>
      <c r="S29" s="554">
        <f>DATA!O17</f>
        <v>1264.4550698</v>
      </c>
      <c r="T29" s="557"/>
      <c r="U29" s="557"/>
      <c r="V29" s="553"/>
      <c r="W29" s="556">
        <f>DATA!P17</f>
        <v>0.73399999999999999</v>
      </c>
      <c r="X29" s="557"/>
      <c r="Y29" s="557"/>
      <c r="Z29" s="553"/>
      <c r="AA29" s="567">
        <f>DATA!Q17</f>
        <v>928.11002123319997</v>
      </c>
      <c r="AB29" s="568"/>
      <c r="AC29" s="572">
        <f>DATA!S17</f>
        <v>926.71912065642005</v>
      </c>
      <c r="AD29" s="585"/>
      <c r="AE29" s="558"/>
    </row>
    <row r="30" spans="1:31" s="118" customFormat="1" ht="12.95" customHeight="1">
      <c r="A30" s="584" t="s">
        <v>156</v>
      </c>
      <c r="B30" s="551"/>
      <c r="C30" s="552">
        <f>DATA!F18*10</f>
        <v>12295.4713438166</v>
      </c>
      <c r="D30" s="553"/>
      <c r="E30" s="552">
        <f>DATA!J18*10</f>
        <v>12295.4713438166</v>
      </c>
      <c r="F30" s="553"/>
      <c r="G30" s="554">
        <f>DATA!K18</f>
        <v>0.28383557398767328</v>
      </c>
      <c r="H30" s="553"/>
      <c r="I30" s="555">
        <v>0</v>
      </c>
      <c r="J30" s="551"/>
      <c r="K30" s="555">
        <v>0</v>
      </c>
      <c r="L30" s="551"/>
      <c r="M30" s="554">
        <f>DATA!M18</f>
        <v>0.28383557398767328</v>
      </c>
      <c r="N30" s="553"/>
      <c r="O30" s="555">
        <f>DATA!G18</f>
        <v>20</v>
      </c>
      <c r="P30" s="551"/>
      <c r="Q30" s="556">
        <f>DATA!N18</f>
        <v>0.99614044432908577</v>
      </c>
      <c r="R30" s="553"/>
      <c r="S30" s="554">
        <f>DATA!O18</f>
        <v>0.28290376</v>
      </c>
      <c r="T30" s="557"/>
      <c r="U30" s="557"/>
      <c r="V30" s="553"/>
      <c r="W30" s="556">
        <f>DATA!P18</f>
        <v>0.9</v>
      </c>
      <c r="X30" s="557"/>
      <c r="Y30" s="557"/>
      <c r="Z30" s="553"/>
      <c r="AA30" s="567">
        <f>DATA!Q18</f>
        <v>0.254613384</v>
      </c>
      <c r="AB30" s="568"/>
      <c r="AC30" s="572">
        <f>DATA!S18</f>
        <v>0.25430218986399999</v>
      </c>
      <c r="AD30" s="585"/>
      <c r="AE30" s="558"/>
    </row>
    <row r="31" spans="1:31" s="118" customFormat="1" ht="12.95" customHeight="1">
      <c r="A31" s="584" t="s">
        <v>157</v>
      </c>
      <c r="B31" s="551"/>
      <c r="C31" s="552">
        <f>DATA!F19*10</f>
        <v>1780</v>
      </c>
      <c r="D31" s="553"/>
      <c r="E31" s="552">
        <f>DATA!J19*10</f>
        <v>1780</v>
      </c>
      <c r="F31" s="553"/>
      <c r="G31" s="554">
        <f>DATA!K19</f>
        <v>360.92700000000002</v>
      </c>
      <c r="H31" s="553"/>
      <c r="I31" s="555">
        <v>0</v>
      </c>
      <c r="J31" s="551"/>
      <c r="K31" s="555">
        <v>0</v>
      </c>
      <c r="L31" s="551"/>
      <c r="M31" s="554">
        <f>DATA!M19</f>
        <v>360.97464236399998</v>
      </c>
      <c r="N31" s="553"/>
      <c r="O31" s="555">
        <f>DATA!G19</f>
        <v>24</v>
      </c>
      <c r="P31" s="551"/>
      <c r="Q31" s="556">
        <f>DATA!N19</f>
        <v>0.99155528610166754</v>
      </c>
      <c r="R31" s="553"/>
      <c r="S31" s="554">
        <f>DATA!O19</f>
        <v>357.92837100000003</v>
      </c>
      <c r="T31" s="557"/>
      <c r="U31" s="557"/>
      <c r="V31" s="553"/>
      <c r="W31" s="556">
        <f>DATA!P19</f>
        <v>0.79700000000000004</v>
      </c>
      <c r="X31" s="557"/>
      <c r="Y31" s="557"/>
      <c r="Z31" s="553"/>
      <c r="AA31" s="567">
        <f>DATA!Q19</f>
        <v>285.26891168700001</v>
      </c>
      <c r="AB31" s="568"/>
      <c r="AC31" s="572">
        <f>DATA!S19</f>
        <v>284.87519047889998</v>
      </c>
      <c r="AD31" s="585"/>
      <c r="AE31" s="558"/>
    </row>
    <row r="32" spans="1:31" ht="21" customHeight="1" thickBot="1">
      <c r="A32" s="586"/>
      <c r="B32" s="381"/>
      <c r="C32" s="587"/>
      <c r="D32" s="381"/>
      <c r="E32" s="587"/>
      <c r="F32" s="381"/>
      <c r="G32" s="588">
        <f>SUM(G14:G31)</f>
        <v>21258.161835573985</v>
      </c>
      <c r="H32" s="381"/>
      <c r="I32" s="587"/>
      <c r="J32" s="381"/>
      <c r="K32" s="587"/>
      <c r="L32" s="381"/>
      <c r="M32" s="588">
        <f>SUM(M14:M31)</f>
        <v>21261.869021880982</v>
      </c>
      <c r="N32" s="381"/>
      <c r="O32" s="589"/>
      <c r="P32" s="590"/>
      <c r="Q32" s="591"/>
      <c r="R32" s="381"/>
      <c r="S32" s="588">
        <f>SUM(S14:S31)</f>
        <v>21008.825788409998</v>
      </c>
      <c r="T32" s="374"/>
      <c r="U32" s="374"/>
      <c r="V32" s="381"/>
      <c r="W32" s="592"/>
      <c r="X32" s="374"/>
      <c r="Y32" s="374"/>
      <c r="Z32" s="381"/>
      <c r="AA32" s="593">
        <f>SUM(AA14:AA31)</f>
        <v>15934.786593079303</v>
      </c>
      <c r="AB32" s="594"/>
      <c r="AC32" s="595">
        <f>SUM(AC14:AD31)</f>
        <v>15911.676884712047</v>
      </c>
      <c r="AD32" s="596"/>
    </row>
    <row r="33" spans="1:30" ht="9.6" customHeight="1" thickBot="1">
      <c r="A33" s="575"/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1:30" ht="14.65" thickBot="1">
      <c r="A34" s="372" t="s">
        <v>158</v>
      </c>
      <c r="B34" s="370"/>
      <c r="C34" s="370"/>
      <c r="D34" s="390" t="s">
        <v>159</v>
      </c>
      <c r="E34" s="370"/>
      <c r="F34" s="391"/>
      <c r="G34" s="396" t="s">
        <v>160</v>
      </c>
      <c r="H34" s="391"/>
      <c r="I34" s="390" t="s">
        <v>10</v>
      </c>
      <c r="J34" s="391"/>
      <c r="K34" s="390" t="s">
        <v>161</v>
      </c>
      <c r="L34" s="370"/>
      <c r="M34" s="370"/>
      <c r="N34" s="391"/>
      <c r="O34" s="390" t="s">
        <v>12</v>
      </c>
      <c r="P34" s="391"/>
      <c r="Q34" s="407" t="s">
        <v>162</v>
      </c>
      <c r="R34" s="391"/>
      <c r="S34" s="390" t="s">
        <v>14</v>
      </c>
      <c r="T34" s="370"/>
      <c r="U34" s="370"/>
      <c r="V34" s="391"/>
      <c r="W34" s="396" t="s">
        <v>163</v>
      </c>
      <c r="X34" s="370"/>
      <c r="Y34" s="370"/>
      <c r="Z34" s="391"/>
      <c r="AA34" s="369" t="s">
        <v>163</v>
      </c>
      <c r="AB34" s="370"/>
      <c r="AC34" s="370"/>
      <c r="AD34" s="371"/>
    </row>
    <row r="35" spans="1:30" ht="14.65" customHeight="1">
      <c r="A35" s="650"/>
      <c r="B35" s="378"/>
      <c r="C35" s="378"/>
      <c r="D35" s="401"/>
      <c r="E35" s="378"/>
      <c r="F35" s="379"/>
      <c r="G35" s="651" t="s">
        <v>164</v>
      </c>
      <c r="H35" s="379"/>
      <c r="I35" s="401"/>
      <c r="J35" s="379"/>
      <c r="K35" s="402"/>
      <c r="L35" s="617"/>
      <c r="M35" s="617"/>
      <c r="N35" s="384"/>
      <c r="O35" s="402"/>
      <c r="P35" s="384"/>
      <c r="Q35" s="401"/>
      <c r="R35" s="379"/>
      <c r="S35" s="401"/>
      <c r="T35" s="378"/>
      <c r="U35" s="378"/>
      <c r="V35" s="379"/>
      <c r="W35" s="655" t="s">
        <v>139</v>
      </c>
      <c r="X35" s="617"/>
      <c r="Y35" s="617"/>
      <c r="Z35" s="384"/>
      <c r="AA35" s="656" t="s">
        <v>165</v>
      </c>
      <c r="AB35" s="378"/>
      <c r="AC35" s="378"/>
      <c r="AD35" s="657"/>
    </row>
    <row r="36" spans="1:30" ht="20.100000000000001" customHeight="1" thickBot="1">
      <c r="A36" s="648" t="s">
        <v>166</v>
      </c>
      <c r="B36" s="608"/>
      <c r="C36" s="608"/>
      <c r="D36" s="649">
        <f>P10</f>
        <v>0</v>
      </c>
      <c r="E36" s="374"/>
      <c r="F36" s="381"/>
      <c r="G36" s="634">
        <f>W14</f>
        <v>0.73399999999999999</v>
      </c>
      <c r="H36" s="609"/>
      <c r="I36" s="635">
        <f>$G$32</f>
        <v>21258.161835573985</v>
      </c>
      <c r="J36" s="381"/>
      <c r="K36" s="652">
        <f>I32</f>
        <v>0</v>
      </c>
      <c r="L36" s="653"/>
      <c r="M36" s="652">
        <f>K32</f>
        <v>0</v>
      </c>
      <c r="N36" s="653"/>
      <c r="O36" s="654">
        <f>$M$32</f>
        <v>21261.869021880982</v>
      </c>
      <c r="P36" s="653"/>
      <c r="Q36" s="591">
        <f>AVERAGE(Q15:R31)</f>
        <v>0.98879527624101304</v>
      </c>
      <c r="R36" s="381"/>
      <c r="S36" s="636">
        <f>$S$32</f>
        <v>21008.825788409998</v>
      </c>
      <c r="T36" s="374"/>
      <c r="U36" s="374"/>
      <c r="V36" s="381"/>
      <c r="W36" s="654">
        <f>AA32</f>
        <v>15934.786593079303</v>
      </c>
      <c r="X36" s="408"/>
      <c r="Y36" s="408"/>
      <c r="Z36" s="653"/>
      <c r="AA36" s="636">
        <f>AC32</f>
        <v>15911.676884712047</v>
      </c>
      <c r="AB36" s="374"/>
      <c r="AC36" s="374"/>
      <c r="AD36" s="382"/>
    </row>
    <row r="37" spans="1:30" ht="7.9" customHeight="1" thickBot="1">
      <c r="A37" s="632"/>
      <c r="B37" s="632"/>
      <c r="C37" s="632"/>
      <c r="D37" s="632"/>
      <c r="E37" s="632"/>
      <c r="F37" s="632"/>
      <c r="G37" s="632"/>
      <c r="H37" s="632"/>
      <c r="I37" s="632"/>
      <c r="J37" s="632"/>
      <c r="K37" s="632"/>
      <c r="L37" s="632"/>
      <c r="M37" s="632"/>
      <c r="N37" s="632"/>
      <c r="O37" s="632"/>
      <c r="P37" s="632"/>
      <c r="Q37" s="632"/>
      <c r="R37" s="632"/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</row>
    <row r="38" spans="1:30" ht="14.45" customHeight="1">
      <c r="A38" s="637" t="s">
        <v>167</v>
      </c>
      <c r="B38" s="397"/>
      <c r="C38" s="638" t="s">
        <v>168</v>
      </c>
      <c r="D38" s="405"/>
      <c r="E38" s="405"/>
      <c r="F38" s="405"/>
      <c r="G38" s="405"/>
      <c r="H38" s="405"/>
      <c r="I38" s="405"/>
      <c r="J38" s="405"/>
      <c r="K38" s="405"/>
      <c r="L38" s="405"/>
      <c r="M38" s="405"/>
      <c r="N38" s="405"/>
      <c r="O38" s="405"/>
      <c r="P38" s="405"/>
      <c r="Q38" s="405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604"/>
    </row>
    <row r="39" spans="1:30" ht="14.45" customHeight="1">
      <c r="A39" s="639" t="s">
        <v>169</v>
      </c>
      <c r="B39" s="376"/>
      <c r="C39" s="403"/>
      <c r="D39" s="376"/>
      <c r="E39" s="376"/>
      <c r="F39" s="376"/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6"/>
      <c r="V39" s="376"/>
      <c r="W39" s="376"/>
      <c r="X39" s="376"/>
      <c r="Y39" s="376"/>
      <c r="Z39" s="376"/>
      <c r="AA39" s="376"/>
      <c r="AB39" s="376"/>
      <c r="AC39" s="376"/>
      <c r="AD39" s="413"/>
    </row>
    <row r="40" spans="1:30">
      <c r="A40" s="640" t="s">
        <v>170</v>
      </c>
      <c r="B40" s="365"/>
      <c r="C40" s="365"/>
      <c r="D40" s="365"/>
      <c r="E40" s="365"/>
      <c r="F40" s="365"/>
      <c r="G40" s="365"/>
      <c r="H40" s="365"/>
      <c r="I40" s="389" t="s">
        <v>171</v>
      </c>
      <c r="J40" s="365"/>
      <c r="K40" s="365"/>
      <c r="L40" s="365"/>
      <c r="M40" s="365"/>
      <c r="N40" s="365"/>
      <c r="O40" s="366"/>
      <c r="P40" s="389" t="s">
        <v>172</v>
      </c>
      <c r="Q40" s="365"/>
      <c r="R40" s="365"/>
      <c r="S40" s="365"/>
      <c r="T40" s="365"/>
      <c r="U40" s="365"/>
      <c r="V40" s="365"/>
      <c r="W40" s="366"/>
      <c r="X40" s="389" t="s">
        <v>171</v>
      </c>
      <c r="Y40" s="365"/>
      <c r="Z40" s="365"/>
      <c r="AA40" s="365"/>
      <c r="AB40" s="365"/>
      <c r="AC40" s="365"/>
      <c r="AD40" s="606"/>
    </row>
    <row r="41" spans="1:30">
      <c r="A41" s="641"/>
      <c r="B41" s="378"/>
      <c r="C41" s="378"/>
      <c r="D41" s="378"/>
      <c r="E41" s="378"/>
      <c r="F41" s="378"/>
      <c r="G41" s="378"/>
      <c r="H41" s="378"/>
      <c r="I41" s="377" t="str">
        <f>DATA_VOYAGE!B8</f>
        <v>Harun Kurtuluş</v>
      </c>
      <c r="J41" s="375"/>
      <c r="K41" s="375"/>
      <c r="L41" s="375"/>
      <c r="M41" s="375"/>
      <c r="N41" s="375"/>
      <c r="O41" s="368"/>
      <c r="P41" s="387"/>
      <c r="Q41" s="378"/>
      <c r="R41" s="378"/>
      <c r="S41" s="378"/>
      <c r="T41" s="378"/>
      <c r="U41" s="378"/>
      <c r="V41" s="378"/>
      <c r="W41" s="378"/>
      <c r="X41" s="395"/>
      <c r="Y41" s="375"/>
      <c r="Z41" s="375"/>
      <c r="AA41" s="375"/>
      <c r="AB41" s="375"/>
      <c r="AC41" s="375"/>
      <c r="AD41" s="642"/>
    </row>
    <row r="42" spans="1:30">
      <c r="A42" s="643" t="s">
        <v>173</v>
      </c>
      <c r="B42" s="365"/>
      <c r="C42" s="365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65"/>
      <c r="Y42" s="365"/>
      <c r="Z42" s="365"/>
      <c r="AA42" s="365"/>
      <c r="AB42" s="365"/>
      <c r="AC42" s="365"/>
      <c r="AD42" s="606"/>
    </row>
    <row r="43" spans="1:30" ht="14.65" thickBot="1">
      <c r="A43" s="644"/>
      <c r="B43" s="608"/>
      <c r="C43" s="608"/>
      <c r="D43" s="608"/>
      <c r="E43" s="608"/>
      <c r="F43" s="608"/>
      <c r="G43" s="608"/>
      <c r="H43" s="608"/>
      <c r="I43" s="608"/>
      <c r="J43" s="608"/>
      <c r="K43" s="608"/>
      <c r="L43" s="608"/>
      <c r="M43" s="608"/>
      <c r="N43" s="608"/>
      <c r="O43" s="608"/>
      <c r="P43" s="608"/>
      <c r="Q43" s="608"/>
      <c r="R43" s="608"/>
      <c r="S43" s="608"/>
      <c r="T43" s="608"/>
      <c r="U43" s="608"/>
      <c r="V43" s="608"/>
      <c r="W43" s="608"/>
      <c r="X43" s="608"/>
      <c r="Y43" s="608"/>
      <c r="Z43" s="608"/>
      <c r="AA43" s="608"/>
      <c r="AB43" s="608"/>
      <c r="AC43" s="608"/>
      <c r="AD43" s="630"/>
    </row>
    <row r="44" spans="1:30" ht="3" customHeight="1" thickBot="1">
      <c r="A44" s="32"/>
    </row>
    <row r="45" spans="1:30" ht="14.65" thickBot="1">
      <c r="A45" s="646" t="s">
        <v>174</v>
      </c>
      <c r="B45" s="633"/>
      <c r="C45" s="633"/>
      <c r="D45" s="633"/>
      <c r="E45" s="633"/>
      <c r="F45" s="633"/>
      <c r="G45" s="645"/>
      <c r="H45" s="645"/>
      <c r="I45" s="645"/>
      <c r="J45" s="645"/>
      <c r="K45" s="645"/>
      <c r="L45" s="645"/>
      <c r="M45" s="645"/>
      <c r="N45" s="645"/>
      <c r="O45" s="645"/>
      <c r="P45" s="645"/>
      <c r="Q45" s="645"/>
      <c r="R45" s="645"/>
      <c r="S45" s="645"/>
      <c r="T45" s="645"/>
      <c r="U45" s="645"/>
      <c r="V45" s="645"/>
      <c r="W45" s="645"/>
      <c r="X45" s="645"/>
      <c r="Y45" s="645"/>
      <c r="Z45" s="645"/>
      <c r="AA45" s="645"/>
      <c r="AB45" s="645"/>
      <c r="AC45" s="647"/>
      <c r="AD45" s="417"/>
    </row>
  </sheetData>
  <mergeCells count="341">
    <mergeCell ref="AC32:AD32"/>
    <mergeCell ref="AC23:AD23"/>
    <mergeCell ref="AC24:AD24"/>
    <mergeCell ref="AC25:AD25"/>
    <mergeCell ref="AC26:AD26"/>
    <mergeCell ref="AC27:AD27"/>
    <mergeCell ref="AC28:AD28"/>
    <mergeCell ref="AC29:AD29"/>
    <mergeCell ref="AC30:AD30"/>
    <mergeCell ref="AC31:AD31"/>
    <mergeCell ref="AC14:AD14"/>
    <mergeCell ref="AC15:AD15"/>
    <mergeCell ref="AC16:AD16"/>
    <mergeCell ref="AC17:AD17"/>
    <mergeCell ref="AC18:AD18"/>
    <mergeCell ref="AC19:AD19"/>
    <mergeCell ref="AC20:AD20"/>
    <mergeCell ref="AC21:AD21"/>
    <mergeCell ref="AC22:AD22"/>
    <mergeCell ref="AA24:AB24"/>
    <mergeCell ref="AA25:AB25"/>
    <mergeCell ref="AA26:AB26"/>
    <mergeCell ref="AA27:AB27"/>
    <mergeCell ref="AA28:AB28"/>
    <mergeCell ref="AA29:AB29"/>
    <mergeCell ref="AA30:AB30"/>
    <mergeCell ref="AA31:AB31"/>
    <mergeCell ref="AA32:AB32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AA12:AB13"/>
    <mergeCell ref="AC12:AD13"/>
    <mergeCell ref="AA14:AB14"/>
    <mergeCell ref="AA15:AB15"/>
    <mergeCell ref="AA16:AB16"/>
    <mergeCell ref="AA17:AB17"/>
    <mergeCell ref="AA18:AB18"/>
    <mergeCell ref="AA19:AB19"/>
    <mergeCell ref="AA20:AB20"/>
    <mergeCell ref="AA21:AB21"/>
    <mergeCell ref="AA22:AB22"/>
    <mergeCell ref="AA23:AB23"/>
    <mergeCell ref="Y5:AA5"/>
    <mergeCell ref="Y2:AA2"/>
    <mergeCell ref="D34:F35"/>
    <mergeCell ref="S12:V12"/>
    <mergeCell ref="M21:N21"/>
    <mergeCell ref="G24:H24"/>
    <mergeCell ref="O21:P21"/>
    <mergeCell ref="I24:J24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0:P30"/>
    <mergeCell ref="S14:V14"/>
    <mergeCell ref="C32:D32"/>
    <mergeCell ref="Y3:AA3"/>
    <mergeCell ref="O12:P12"/>
    <mergeCell ref="A36:C36"/>
    <mergeCell ref="A11:C11"/>
    <mergeCell ref="I12:L12"/>
    <mergeCell ref="M14:N14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S31:V31"/>
    <mergeCell ref="I16:J16"/>
    <mergeCell ref="A27:B27"/>
    <mergeCell ref="G18:H18"/>
    <mergeCell ref="I18:J18"/>
    <mergeCell ref="W24:Z24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P40:W40"/>
    <mergeCell ref="M25:N25"/>
    <mergeCell ref="G34:H34"/>
    <mergeCell ref="O25:P25"/>
    <mergeCell ref="M36:N36"/>
    <mergeCell ref="W26:Z26"/>
    <mergeCell ref="A22:B22"/>
    <mergeCell ref="F9:J9"/>
    <mergeCell ref="K10:O10"/>
    <mergeCell ref="A43:AD43"/>
    <mergeCell ref="O36:P36"/>
    <mergeCell ref="A14:B14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38:B38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O24:P24"/>
    <mergeCell ref="I27:J27"/>
    <mergeCell ref="O18:P18"/>
    <mergeCell ref="AC45:AD45"/>
    <mergeCell ref="Q21:R21"/>
    <mergeCell ref="K24:L24"/>
    <mergeCell ref="I26:J26"/>
    <mergeCell ref="K26:L26"/>
    <mergeCell ref="A17:B17"/>
    <mergeCell ref="C17:D17"/>
    <mergeCell ref="Q30:R30"/>
    <mergeCell ref="A19:B19"/>
    <mergeCell ref="C19:D19"/>
    <mergeCell ref="S19:V19"/>
    <mergeCell ref="A40:H40"/>
    <mergeCell ref="S20:V20"/>
    <mergeCell ref="K21:L21"/>
    <mergeCell ref="O29:P29"/>
    <mergeCell ref="Q29:R29"/>
    <mergeCell ref="S22:V22"/>
    <mergeCell ref="I32:J32"/>
    <mergeCell ref="Q23:R23"/>
    <mergeCell ref="K32:L32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U10:Y10"/>
    <mergeCell ref="G12:H12"/>
    <mergeCell ref="C14:D14"/>
    <mergeCell ref="E14:F14"/>
    <mergeCell ref="W14:Z14"/>
    <mergeCell ref="AB2:AD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O31:P31"/>
    <mergeCell ref="Q31:R31"/>
    <mergeCell ref="K27:L27"/>
    <mergeCell ref="M27:N27"/>
    <mergeCell ref="E25:F25"/>
    <mergeCell ref="G25:H25"/>
    <mergeCell ref="K16:L16"/>
    <mergeCell ref="C20:D20"/>
    <mergeCell ref="E20:F20"/>
    <mergeCell ref="Q24:R24"/>
    <mergeCell ref="Q18:R18"/>
    <mergeCell ref="K20:L20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G22:H22"/>
    <mergeCell ref="I15:J15"/>
    <mergeCell ref="K15:L15"/>
    <mergeCell ref="W28:Z28"/>
    <mergeCell ref="C39:AD39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C24:D24"/>
    <mergeCell ref="E24:F24"/>
    <mergeCell ref="W13:Z13"/>
    <mergeCell ref="I25:J25"/>
    <mergeCell ref="I13:J13"/>
    <mergeCell ref="K13:L13"/>
    <mergeCell ref="I8:X8"/>
    <mergeCell ref="C12:F12"/>
    <mergeCell ref="Y8:Z8"/>
    <mergeCell ref="Z9:AD9"/>
    <mergeCell ref="M20:N20"/>
    <mergeCell ref="I41:O41"/>
    <mergeCell ref="A28:B28"/>
    <mergeCell ref="K28:L28"/>
    <mergeCell ref="C28:D28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U9:Y9"/>
    <mergeCell ref="A15:B15"/>
    <mergeCell ref="C15:D15"/>
    <mergeCell ref="A34:C35"/>
    <mergeCell ref="P10:T10"/>
    <mergeCell ref="S21:V21"/>
    <mergeCell ref="O26:P26"/>
    <mergeCell ref="Q26:R26"/>
    <mergeCell ref="O27:P27"/>
    <mergeCell ref="Q27:R27"/>
    <mergeCell ref="C18:D18"/>
    <mergeCell ref="E18:F18"/>
    <mergeCell ref="S24:V24"/>
    <mergeCell ref="K25:L25"/>
    <mergeCell ref="W18:Z18"/>
    <mergeCell ref="W17:Z17"/>
    <mergeCell ref="K29:L29"/>
    <mergeCell ref="A24:B24"/>
    <mergeCell ref="A12:B13"/>
    <mergeCell ref="A26:B26"/>
    <mergeCell ref="A25:B25"/>
    <mergeCell ref="C13:D13"/>
  </mergeCells>
  <pageMargins left="0.39370078740157483" right="0.39370078740157483" top="0.39370078740157483" bottom="0.19685039370078741" header="0" footer="0"/>
  <pageSetup paperSize="9" scale="85" orientation="landscape" r:id="rId1"/>
  <ignoredErrors>
    <ignoredError sqref="AA8 G36" unlockedFormula="1"/>
    <ignoredError sqref="AB2:AD5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5" width="9" style="1" customWidth="1"/>
    <col min="46" max="16384" width="9" style="1"/>
  </cols>
  <sheetData>
    <row r="1" spans="1:39" ht="50.45" customHeight="1">
      <c r="A1" s="466" t="s">
        <v>175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</row>
    <row r="2" spans="1:39">
      <c r="Y2" s="3"/>
    </row>
    <row r="3" spans="1:39" ht="13.9" customHeight="1">
      <c r="F3" s="502" t="s">
        <v>176</v>
      </c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Y3" s="3"/>
    </row>
    <row r="4" spans="1:39" s="5" customFormat="1" ht="21.75" customHeight="1">
      <c r="A4" s="26"/>
      <c r="B4" s="27"/>
      <c r="C4" s="27"/>
      <c r="D4" s="25"/>
      <c r="E4" s="28"/>
      <c r="F4" s="503"/>
      <c r="G4" s="503"/>
      <c r="H4" s="503"/>
      <c r="I4" s="503"/>
      <c r="J4" s="503"/>
      <c r="K4" s="503"/>
      <c r="L4" s="503"/>
      <c r="M4" s="503"/>
      <c r="N4" s="503"/>
      <c r="O4" s="503"/>
      <c r="P4" s="503"/>
      <c r="Q4" s="503"/>
      <c r="R4" s="503"/>
      <c r="S4" s="26"/>
      <c r="T4" s="26"/>
      <c r="U4" s="26"/>
      <c r="V4" s="26"/>
      <c r="W4" s="26"/>
      <c r="X4" s="26"/>
      <c r="Y4" s="26"/>
    </row>
    <row r="5" spans="1:39" s="65" customFormat="1" ht="10.9" customHeight="1">
      <c r="A5" s="64"/>
      <c r="B5" s="490" t="s">
        <v>177</v>
      </c>
      <c r="C5" s="491"/>
      <c r="D5" s="67" t="str">
        <f ca="1">MASTER!$F$21 &amp; "/" &amp; RIGHT(YEAR(TODAY()),2)</f>
        <v>01-26/25</v>
      </c>
      <c r="E5" s="68"/>
      <c r="F5" s="69"/>
      <c r="G5" s="70"/>
      <c r="H5" s="71"/>
      <c r="I5" s="70"/>
      <c r="J5" s="71"/>
      <c r="K5" s="70"/>
      <c r="L5" s="71"/>
      <c r="M5" s="70"/>
      <c r="N5" s="70"/>
      <c r="O5" s="70"/>
      <c r="P5" s="70"/>
      <c r="Q5" s="70"/>
      <c r="R5" s="70"/>
      <c r="S5" s="70"/>
      <c r="T5" s="498"/>
      <c r="U5" s="491"/>
      <c r="V5" s="500"/>
      <c r="W5" s="491"/>
      <c r="X5" s="64"/>
      <c r="Y5" s="64"/>
    </row>
    <row r="6" spans="1:39" s="66" customFormat="1" ht="10.9" customHeight="1">
      <c r="A6" s="63"/>
      <c r="B6" s="72" t="s">
        <v>178</v>
      </c>
      <c r="C6" s="72"/>
      <c r="D6" s="73" t="s">
        <v>179</v>
      </c>
      <c r="E6" s="73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64"/>
      <c r="Y6" s="6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</row>
    <row r="7" spans="1:39" s="66" customFormat="1" ht="10.9" customHeight="1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</row>
    <row r="8" spans="1:39" s="66" customFormat="1" ht="10.9" customHeight="1" thickBot="1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</row>
    <row r="9" spans="1:39" s="66" customFormat="1" ht="10.9" customHeight="1">
      <c r="A9" s="63"/>
      <c r="B9" s="488" t="s">
        <v>180</v>
      </c>
      <c r="C9" s="398"/>
      <c r="D9" s="469" t="s">
        <v>2</v>
      </c>
      <c r="E9" s="398"/>
      <c r="F9" s="418" t="s">
        <v>181</v>
      </c>
      <c r="G9" s="398"/>
      <c r="H9" s="418" t="s">
        <v>182</v>
      </c>
      <c r="I9" s="398"/>
      <c r="J9" s="493" t="s">
        <v>183</v>
      </c>
      <c r="K9" s="397"/>
      <c r="L9" s="447"/>
      <c r="M9" s="64"/>
      <c r="N9" s="64"/>
      <c r="O9" s="143"/>
      <c r="P9" s="141" t="s">
        <v>184</v>
      </c>
      <c r="Q9" s="141"/>
      <c r="R9" s="142" t="s">
        <v>185</v>
      </c>
      <c r="S9" s="64"/>
      <c r="T9" s="64"/>
      <c r="U9" s="64"/>
      <c r="V9" s="64"/>
      <c r="X9" s="64"/>
      <c r="Y9" s="6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</row>
    <row r="10" spans="1:39" s="66" customFormat="1" ht="10.9" customHeight="1">
      <c r="B10" s="509" t="str">
        <f>IF(MASTER!$X3="","",MASTER!$X3)</f>
        <v>ANTALYA OPET</v>
      </c>
      <c r="C10" s="413"/>
      <c r="D10" s="450" t="str">
        <f>IF(MASTER!$V3="","",MASTER!$V3)</f>
        <v>KBZ</v>
      </c>
      <c r="E10" s="413"/>
      <c r="F10" s="451">
        <f>IF(MASTER!$W3="","",MASTER!$W3)</f>
        <v>0.73399999999999999</v>
      </c>
      <c r="G10" s="413"/>
      <c r="H10" s="415">
        <v>24</v>
      </c>
      <c r="I10" s="413"/>
      <c r="J10" s="450">
        <f>IF(MASTER!$Y3="","",MASTER!$Y3)</f>
        <v>1490.3529714664</v>
      </c>
      <c r="K10" s="376"/>
      <c r="L10" s="413"/>
      <c r="M10" s="65"/>
      <c r="N10" s="65"/>
      <c r="O10" s="65"/>
      <c r="P10" s="438" t="s">
        <v>186</v>
      </c>
      <c r="Q10" s="367"/>
      <c r="R10" s="136">
        <f>MASTER!$X$17</f>
        <v>0</v>
      </c>
      <c r="S10" s="65"/>
      <c r="T10" s="65"/>
      <c r="U10" s="65"/>
      <c r="V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</row>
    <row r="11" spans="1:39" s="66" customFormat="1" ht="10.9" customHeight="1" thickBot="1">
      <c r="B11" s="458" t="str">
        <f>IF(MASTER!$X4="","",MASTER!$X4)</f>
        <v>MERSİN TÜPRAŞ</v>
      </c>
      <c r="C11" s="413"/>
      <c r="D11" s="419" t="str">
        <f>IF(MASTER!$V4="","",MASTER!$V4)</f>
        <v>KBZ</v>
      </c>
      <c r="E11" s="413"/>
      <c r="F11" s="495">
        <f>IF(MASTER!$W4="","",MASTER!$W4)</f>
        <v>0.73399999999999999</v>
      </c>
      <c r="G11" s="413"/>
      <c r="H11" s="462">
        <v>24</v>
      </c>
      <c r="I11" s="413"/>
      <c r="J11" s="419">
        <f>IF(MASTER!$Y4="","",MASTER!$Y4)</f>
        <v>2520.86818525434</v>
      </c>
      <c r="K11" s="376"/>
      <c r="L11" s="413"/>
      <c r="M11" s="65"/>
      <c r="N11" s="65"/>
      <c r="O11" s="65"/>
      <c r="P11" s="139" t="s">
        <v>187</v>
      </c>
      <c r="Q11" s="140"/>
      <c r="R11" s="137">
        <f>MASTER!$V$17</f>
        <v>0</v>
      </c>
      <c r="S11" s="65"/>
      <c r="T11" s="65"/>
      <c r="U11" s="65"/>
      <c r="V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s="66" customFormat="1" ht="10.9" customHeight="1">
      <c r="B12" s="420" t="str">
        <f>IF(MASTER!$X5="","",MASTER!$X5)</f>
        <v>ANTALYA OPET</v>
      </c>
      <c r="C12" s="413"/>
      <c r="D12" s="489" t="str">
        <f>IF(MASTER!$V5="","",MASTER!$V5)</f>
        <v>MOTORİN</v>
      </c>
      <c r="E12" s="413"/>
      <c r="F12" s="505">
        <f>IF(MASTER!$W5="","",MASTER!$W5)</f>
        <v>0.83</v>
      </c>
      <c r="G12" s="413"/>
      <c r="H12" s="470">
        <v>24</v>
      </c>
      <c r="I12" s="413"/>
      <c r="J12" s="489">
        <f>IF(MASTER!$Y5="","",MASTER!$Y5)</f>
        <v>3560.7621943651002</v>
      </c>
      <c r="K12" s="376"/>
      <c r="L12" s="413"/>
      <c r="M12" s="65"/>
      <c r="N12" s="65"/>
      <c r="O12" s="65"/>
      <c r="P12" s="438"/>
      <c r="Q12" s="367"/>
      <c r="R12" s="135"/>
      <c r="S12" s="65"/>
      <c r="T12" s="65"/>
      <c r="U12" s="65"/>
      <c r="V12" s="65"/>
      <c r="X12" s="63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</row>
    <row r="13" spans="1:39" s="66" customFormat="1" ht="10.9" customHeight="1">
      <c r="B13" s="430" t="str">
        <f>IF(MASTER!$X6="","",MASTER!$X6)</f>
        <v>ANTALYA POAS</v>
      </c>
      <c r="C13" s="413"/>
      <c r="D13" s="422" t="str">
        <f>IF(MASTER!$V6="","",MASTER!$V6)</f>
        <v>KBZ</v>
      </c>
      <c r="E13" s="413"/>
      <c r="F13" s="439">
        <f>IF(MASTER!$W6="","",MASTER!$W6)</f>
        <v>0.73399999999999999</v>
      </c>
      <c r="G13" s="413"/>
      <c r="H13" s="441">
        <v>24</v>
      </c>
      <c r="I13" s="413"/>
      <c r="J13" s="422">
        <f>IF(MASTER!$Y6="","",MASTER!$Y6)</f>
        <v>1162.3118241043401</v>
      </c>
      <c r="K13" s="376"/>
      <c r="L13" s="413"/>
      <c r="M13" s="65"/>
      <c r="N13" s="65"/>
      <c r="O13" s="65"/>
      <c r="P13" s="438"/>
      <c r="Q13" s="367"/>
      <c r="R13" s="136"/>
      <c r="S13" s="65"/>
      <c r="T13" s="65"/>
      <c r="U13" s="65"/>
      <c r="V13" s="65"/>
      <c r="X13" s="63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s="66" customFormat="1" ht="10.9" customHeight="1" thickBot="1">
      <c r="B14" s="423" t="str">
        <f>IF(MASTER!$X7="","",MASTER!$X7)</f>
        <v>MERSİN SHELL</v>
      </c>
      <c r="C14" s="413"/>
      <c r="D14" s="471" t="str">
        <f>IF(MASTER!$V7="","",MASTER!$V7)</f>
        <v>KBZ</v>
      </c>
      <c r="E14" s="413"/>
      <c r="F14" s="492">
        <f>IF(MASTER!$W7="","",MASTER!$W7)</f>
        <v>0.73399999999999999</v>
      </c>
      <c r="G14" s="413"/>
      <c r="H14" s="473">
        <v>24</v>
      </c>
      <c r="I14" s="413"/>
      <c r="J14" s="471">
        <f>IF(MASTER!$Y7="","",MASTER!$Y7)</f>
        <v>2949.7711554821399</v>
      </c>
      <c r="K14" s="376"/>
      <c r="L14" s="413"/>
      <c r="M14" s="65"/>
      <c r="N14" s="65"/>
      <c r="O14" s="65"/>
      <c r="P14" s="139"/>
      <c r="Q14" s="140"/>
      <c r="R14" s="137"/>
      <c r="S14" s="65"/>
      <c r="T14" s="65"/>
      <c r="U14" s="65"/>
      <c r="V14" s="65"/>
      <c r="X14" s="63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s="66" customFormat="1" ht="10.9" customHeight="1">
      <c r="B15" s="472" t="str">
        <f>IF(MASTER!$X8="","",MASTER!$X8)</f>
        <v>MERSİN POAŞ</v>
      </c>
      <c r="C15" s="413"/>
      <c r="D15" s="445" t="str">
        <f>IF(MASTER!$V8="","",MASTER!$V8)</f>
        <v>KBZ</v>
      </c>
      <c r="E15" s="413"/>
      <c r="F15" s="421">
        <f>IF(MASTER!$W8="","",MASTER!$W8)</f>
        <v>0.73399999999999999</v>
      </c>
      <c r="G15" s="413"/>
      <c r="H15" s="442">
        <v>24</v>
      </c>
      <c r="I15" s="413"/>
      <c r="J15" s="445">
        <f>IF(MASTER!$Y8="","",MASTER!$Y8)</f>
        <v>985.03558511930009</v>
      </c>
      <c r="K15" s="376"/>
      <c r="L15" s="41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s="66" customFormat="1" ht="10.9" customHeight="1">
      <c r="B16" s="449" t="str">
        <f>IF(MASTER!$X9="","",MASTER!$X9)</f>
        <v>ANTALYA SHELL</v>
      </c>
      <c r="C16" s="413"/>
      <c r="D16" s="457" t="str">
        <f>IF(MASTER!$V9="","",MASTER!$V9)</f>
        <v>KBZ</v>
      </c>
      <c r="E16" s="413"/>
      <c r="F16" s="412">
        <f>IF(MASTER!$W9="","",MASTER!$W9)</f>
        <v>0.73399999999999999</v>
      </c>
      <c r="G16" s="413"/>
      <c r="H16" s="484">
        <v>24</v>
      </c>
      <c r="I16" s="413"/>
      <c r="J16" s="457">
        <f>IF(MASTER!$Y9="","",MASTER!$Y9)</f>
        <v>1969.80777642316</v>
      </c>
      <c r="K16" s="376"/>
      <c r="L16" s="41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s="66" customFormat="1" ht="10.9" customHeight="1">
      <c r="B17" s="481" t="str">
        <f>IF(MASTER!$X10="","",MASTER!$X10)</f>
        <v>ANTALYA TUPRAS</v>
      </c>
      <c r="C17" s="413"/>
      <c r="D17" s="482" t="str">
        <f>IF(MASTER!$V10="","",MASTER!$V10)</f>
        <v>JET</v>
      </c>
      <c r="E17" s="413"/>
      <c r="F17" s="460">
        <f>IF(MASTER!$W10="","",MASTER!$W10)</f>
        <v>0.79700000000000004</v>
      </c>
      <c r="G17" s="413"/>
      <c r="H17" s="461">
        <v>24</v>
      </c>
      <c r="I17" s="413"/>
      <c r="J17" s="482">
        <f>IF(MASTER!$Y10="","",MASTER!$Y10)</f>
        <v>1295.6222874805201</v>
      </c>
      <c r="K17" s="376"/>
      <c r="L17" s="41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s="66" customFormat="1" ht="10.9" hidden="1" customHeight="1">
      <c r="B18" s="452">
        <f>IF(MASTER!$X11="","",MASTER!$X11)</f>
        <v>0</v>
      </c>
      <c r="C18" s="413"/>
      <c r="D18" s="487" t="str">
        <f>IF(MASTER!$V11="","",MASTER!$V11)</f>
        <v>SLOP</v>
      </c>
      <c r="E18" s="413"/>
      <c r="F18" s="459">
        <f>IF(MASTER!$W11="","",MASTER!$W11)</f>
        <v>0</v>
      </c>
      <c r="G18" s="413"/>
      <c r="H18" s="513">
        <v>25</v>
      </c>
      <c r="I18" s="413"/>
      <c r="J18" s="487">
        <f>IF(MASTER!$Y11="","",MASTER!$Y11)</f>
        <v>0.254613384</v>
      </c>
      <c r="K18" s="376"/>
      <c r="L18" s="41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424" t="s">
        <v>188</v>
      </c>
      <c r="D21" s="425"/>
      <c r="E21" s="514" t="s">
        <v>189</v>
      </c>
      <c r="F21" s="410"/>
      <c r="G21" s="409" t="s">
        <v>49</v>
      </c>
      <c r="H21" s="410"/>
      <c r="I21" s="411" t="s">
        <v>47</v>
      </c>
      <c r="J21" s="410"/>
      <c r="K21" s="455" t="s">
        <v>43</v>
      </c>
      <c r="L21" s="410"/>
      <c r="M21" s="463" t="s">
        <v>39</v>
      </c>
      <c r="N21" s="410"/>
      <c r="O21" s="464" t="s">
        <v>37</v>
      </c>
      <c r="P21" s="410"/>
      <c r="Q21" s="411" t="s">
        <v>33</v>
      </c>
      <c r="R21" s="410"/>
      <c r="S21" s="414" t="s">
        <v>27</v>
      </c>
      <c r="T21" s="410"/>
      <c r="U21" s="485" t="s">
        <v>20</v>
      </c>
      <c r="V21" s="486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426"/>
      <c r="D22" s="427"/>
      <c r="E22" s="443" t="s">
        <v>190</v>
      </c>
      <c r="F22" s="417"/>
      <c r="G22" s="444" t="str">
        <f>MASTER!$D$17</f>
        <v>ANTALYA TUPRAS</v>
      </c>
      <c r="H22" s="398"/>
      <c r="I22" s="506" t="str">
        <f>MASTER!$D$15</f>
        <v>MERSİN TÜPRAŞ</v>
      </c>
      <c r="J22" s="398"/>
      <c r="K22" s="507" t="str">
        <f>MASTER!$D$13</f>
        <v>ANTALYA SHELL</v>
      </c>
      <c r="L22" s="447"/>
      <c r="M22" s="475" t="str">
        <f>MASTER!$D$11</f>
        <v>MERSİN POAŞ</v>
      </c>
      <c r="N22" s="417"/>
      <c r="O22" s="483" t="str">
        <f>MASTER!$D$9</f>
        <v>ANTALYA OPET</v>
      </c>
      <c r="P22" s="398"/>
      <c r="Q22" s="506" t="str">
        <f>MASTER!$D$7</f>
        <v>MERSİN SHELL</v>
      </c>
      <c r="R22" s="398"/>
      <c r="S22" s="446" t="str">
        <f>MASTER!$D$5</f>
        <v>ANTALYA OPET</v>
      </c>
      <c r="T22" s="447"/>
      <c r="U22" s="448" t="str">
        <f>MASTER!$D$3</f>
        <v>ANTALYA OPET</v>
      </c>
      <c r="V22" s="435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426"/>
      <c r="D23" s="427"/>
      <c r="E23" s="148" t="s">
        <v>191</v>
      </c>
      <c r="F23" s="149"/>
      <c r="G23" s="203" t="s">
        <v>191</v>
      </c>
      <c r="H23" s="204">
        <f>MASTER!$F$17</f>
        <v>1030</v>
      </c>
      <c r="I23" s="185" t="s">
        <v>191</v>
      </c>
      <c r="J23" s="186">
        <f>MASTER!$F$15</f>
        <v>1030</v>
      </c>
      <c r="K23" s="159" t="s">
        <v>191</v>
      </c>
      <c r="L23" s="160">
        <f>MASTER!$F$13</f>
        <v>1030</v>
      </c>
      <c r="M23" s="167" t="s">
        <v>191</v>
      </c>
      <c r="N23" s="168">
        <f>MASTER!$F$11</f>
        <v>1030</v>
      </c>
      <c r="O23" s="193" t="s">
        <v>191</v>
      </c>
      <c r="P23" s="194">
        <f>MASTER!$F$9</f>
        <v>1030</v>
      </c>
      <c r="Q23" s="185" t="s">
        <v>191</v>
      </c>
      <c r="R23" s="186">
        <f>MASTER!$F$7</f>
        <v>1030</v>
      </c>
      <c r="S23" s="211" t="s">
        <v>191</v>
      </c>
      <c r="T23" s="214">
        <f>MASTER!$F$5</f>
        <v>1030</v>
      </c>
      <c r="U23" s="154" t="s">
        <v>191</v>
      </c>
      <c r="V23" s="155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426"/>
      <c r="D24" s="427"/>
      <c r="E24" s="148" t="s">
        <v>192</v>
      </c>
      <c r="F24" s="150"/>
      <c r="G24" s="203" t="s">
        <v>192</v>
      </c>
      <c r="H24" s="205">
        <f>MASTER!$R$17</f>
        <v>1008.958910657544</v>
      </c>
      <c r="I24" s="185" t="s">
        <v>192</v>
      </c>
      <c r="J24" s="187">
        <f>MASTER!$R$15</f>
        <v>978.94551935911511</v>
      </c>
      <c r="K24" s="159" t="s">
        <v>192</v>
      </c>
      <c r="L24" s="161">
        <f>MASTER!$R$13</f>
        <v>983.34644958450599</v>
      </c>
      <c r="M24" s="167" t="s">
        <v>192</v>
      </c>
      <c r="N24" s="169">
        <f>MASTER!$R$11</f>
        <v>983.55937375195504</v>
      </c>
      <c r="O24" s="193" t="s">
        <v>192</v>
      </c>
      <c r="P24" s="195" t="e">
        <f>MASTER!#REF!</f>
        <v>#REF!</v>
      </c>
      <c r="Q24" s="185" t="s">
        <v>192</v>
      </c>
      <c r="R24" s="187">
        <f>MASTER!$R$7</f>
        <v>979.681179028104</v>
      </c>
      <c r="S24" s="211" t="s">
        <v>192</v>
      </c>
      <c r="T24" s="212">
        <f>MASTER!$R$5</f>
        <v>1322.7981943136131</v>
      </c>
      <c r="U24" s="154" t="s">
        <v>192</v>
      </c>
      <c r="V24" s="156">
        <f>MASTER!$R$3</f>
        <v>561.40035180642008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426"/>
      <c r="D25" s="427"/>
      <c r="E25" s="148" t="s">
        <v>193</v>
      </c>
      <c r="F25" s="151"/>
      <c r="G25" s="203" t="s">
        <v>193</v>
      </c>
      <c r="H25" s="205">
        <f>MASTER!$J$17</f>
        <v>1278.317</v>
      </c>
      <c r="I25" s="185" t="s">
        <v>193</v>
      </c>
      <c r="J25" s="187">
        <f>MASTER!$J$15</f>
        <v>1355.674</v>
      </c>
      <c r="K25" s="159" t="s">
        <v>193</v>
      </c>
      <c r="L25" s="161">
        <f>MASTER!$J$13</f>
        <v>1355.91</v>
      </c>
      <c r="M25" s="167" t="s">
        <v>193</v>
      </c>
      <c r="N25" s="169">
        <f>MASTER!$J$11</f>
        <v>1358.7049999999999</v>
      </c>
      <c r="O25" s="193" t="s">
        <v>193</v>
      </c>
      <c r="P25" s="195">
        <f>MASTER!$J$9</f>
        <v>1358.13</v>
      </c>
      <c r="Q25" s="185" t="s">
        <v>193</v>
      </c>
      <c r="R25" s="187">
        <f>MASTER!$J$7</f>
        <v>1358.385</v>
      </c>
      <c r="S25" s="211" t="s">
        <v>193</v>
      </c>
      <c r="T25" s="212">
        <f>MASTER!$J$5</f>
        <v>1608.165</v>
      </c>
      <c r="U25" s="154" t="s">
        <v>193</v>
      </c>
      <c r="V25" s="156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426"/>
      <c r="D26" s="427"/>
      <c r="E26" s="152" t="s">
        <v>194</v>
      </c>
      <c r="F26" s="153"/>
      <c r="G26" s="207" t="s">
        <v>194</v>
      </c>
      <c r="H26" s="208">
        <v>97.8</v>
      </c>
      <c r="I26" s="188" t="s">
        <v>194</v>
      </c>
      <c r="J26" s="189">
        <v>97.8</v>
      </c>
      <c r="K26" s="162" t="s">
        <v>194</v>
      </c>
      <c r="L26" s="163">
        <v>97.8</v>
      </c>
      <c r="M26" s="170" t="s">
        <v>194</v>
      </c>
      <c r="N26" s="171">
        <v>97.8</v>
      </c>
      <c r="O26" s="196" t="s">
        <v>194</v>
      </c>
      <c r="P26" s="197">
        <v>97.8</v>
      </c>
      <c r="Q26" s="188" t="s">
        <v>194</v>
      </c>
      <c r="R26" s="189">
        <v>97.8</v>
      </c>
      <c r="S26" s="215" t="s">
        <v>194</v>
      </c>
      <c r="T26" s="213">
        <v>97.8</v>
      </c>
      <c r="U26" s="157" t="s">
        <v>194</v>
      </c>
      <c r="V26" s="158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426"/>
      <c r="D27" s="427"/>
      <c r="E27" s="433" t="s">
        <v>189</v>
      </c>
      <c r="F27" s="417"/>
      <c r="G27" s="499" t="str">
        <f>MASTER!$C$17</f>
        <v>JET</v>
      </c>
      <c r="H27" s="417"/>
      <c r="I27" s="440" t="str">
        <f>MASTER!$C$15</f>
        <v>KBZ</v>
      </c>
      <c r="J27" s="417"/>
      <c r="K27" s="416" t="str">
        <f>MASTER!$C$13</f>
        <v>KBZ</v>
      </c>
      <c r="L27" s="417"/>
      <c r="M27" s="436" t="str">
        <f>MASTER!$C$11</f>
        <v>KBZ</v>
      </c>
      <c r="N27" s="417"/>
      <c r="O27" s="437" t="str">
        <f>MASTER!$C$9</f>
        <v>MOTORİN</v>
      </c>
      <c r="P27" s="417"/>
      <c r="Q27" s="440" t="str">
        <f>MASTER!$C$7</f>
        <v>KBZ</v>
      </c>
      <c r="R27" s="417"/>
      <c r="S27" s="501" t="str">
        <f>MASTER!$C$5</f>
        <v>MOTORİN</v>
      </c>
      <c r="T27" s="417"/>
      <c r="U27" s="504" t="str">
        <f>MASTER!$C$3</f>
        <v>KBZ</v>
      </c>
      <c r="V27" s="435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426"/>
      <c r="D28" s="427"/>
      <c r="E28" s="148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5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426"/>
      <c r="D29" s="427"/>
      <c r="E29" s="148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5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426"/>
      <c r="D30" s="427"/>
      <c r="E30" s="148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5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426"/>
      <c r="D31" s="427"/>
      <c r="E31" s="148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5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426"/>
      <c r="D32" s="427"/>
      <c r="E32" s="152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426"/>
      <c r="D33" s="427"/>
      <c r="E33" s="497" t="str">
        <f>MASTER!$C$20</f>
        <v>JET</v>
      </c>
      <c r="F33" s="417"/>
      <c r="G33" s="465" t="str">
        <f>MASTER!$C$18</f>
        <v>KBZ</v>
      </c>
      <c r="H33" s="417"/>
      <c r="I33" s="440" t="str">
        <f>MASTER!$C$16</f>
        <v>KBZ</v>
      </c>
      <c r="J33" s="417"/>
      <c r="K33" s="416" t="str">
        <f>MASTER!$C$14</f>
        <v>KBZ</v>
      </c>
      <c r="L33" s="417"/>
      <c r="M33" s="436" t="str">
        <f>MASTER!$C$12</f>
        <v>KBZ</v>
      </c>
      <c r="N33" s="417"/>
      <c r="O33" s="501" t="str">
        <f>MASTER!$C$10</f>
        <v>MOTORİN</v>
      </c>
      <c r="P33" s="417"/>
      <c r="Q33" s="440" t="str">
        <f>MASTER!$C$8</f>
        <v>KBZ</v>
      </c>
      <c r="R33" s="417"/>
      <c r="S33" s="468" t="str">
        <f>MASTER!$C$6</f>
        <v>KBZ</v>
      </c>
      <c r="T33" s="417"/>
      <c r="U33" s="434" t="str">
        <f>MASTER!$C$4</f>
        <v>KBZ</v>
      </c>
      <c r="V33" s="435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426"/>
      <c r="D34" s="427"/>
      <c r="E34" s="429" t="str">
        <f>MASTER!$D$20</f>
        <v>ANTALYA TUPRAS</v>
      </c>
      <c r="F34" s="417"/>
      <c r="G34" s="431" t="str">
        <f>MASTER!$D$18</f>
        <v>ANTALYA OPET</v>
      </c>
      <c r="H34" s="432"/>
      <c r="I34" s="494" t="str">
        <f>MASTER!$D$16</f>
        <v>MERSİN TÜPRAŞ</v>
      </c>
      <c r="J34" s="432"/>
      <c r="K34" s="496" t="str">
        <f>MASTER!$D$14</f>
        <v>ANTALYA SHELL</v>
      </c>
      <c r="L34" s="417"/>
      <c r="M34" s="475" t="str">
        <f>MASTER!$D$12</f>
        <v>MERSİN SHELL</v>
      </c>
      <c r="N34" s="417"/>
      <c r="O34" s="476" t="str">
        <f>MASTER!$D$10</f>
        <v>ANTALYA OPET</v>
      </c>
      <c r="P34" s="432"/>
      <c r="Q34" s="494" t="str">
        <f>MASTER!$D$8</f>
        <v>MERSİN SHELL</v>
      </c>
      <c r="R34" s="432"/>
      <c r="S34" s="508" t="str">
        <f>MASTER!$D$6</f>
        <v>ANTALYA POAS</v>
      </c>
      <c r="T34" s="417"/>
      <c r="U34" s="474" t="str">
        <f>MASTER!$D$4</f>
        <v>MERSİN TÜPRAŞ</v>
      </c>
      <c r="V34" s="435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426"/>
      <c r="D35" s="427"/>
      <c r="E35" s="203" t="s">
        <v>191</v>
      </c>
      <c r="F35" s="204">
        <f>MASTER!$F$20</f>
        <v>1780</v>
      </c>
      <c r="G35" s="180" t="s">
        <v>191</v>
      </c>
      <c r="H35" s="181">
        <f>MASTER!$F$18</f>
        <v>1030</v>
      </c>
      <c r="I35" s="190" t="s">
        <v>191</v>
      </c>
      <c r="J35" s="191">
        <f>MASTER!$F$16</f>
        <v>1030</v>
      </c>
      <c r="K35" s="164" t="s">
        <v>191</v>
      </c>
      <c r="L35" s="165">
        <f>MASTER!$F$14</f>
        <v>1030</v>
      </c>
      <c r="M35" s="172" t="s">
        <v>191</v>
      </c>
      <c r="N35" s="173">
        <f>MASTER!$F$12</f>
        <v>1030</v>
      </c>
      <c r="O35" s="209" t="s">
        <v>191</v>
      </c>
      <c r="P35" s="210">
        <f>MASTER!$F$10</f>
        <v>1030</v>
      </c>
      <c r="Q35" s="190" t="s">
        <v>191</v>
      </c>
      <c r="R35" s="191">
        <f>MASTER!$F$8</f>
        <v>1030</v>
      </c>
      <c r="S35" s="198" t="s">
        <v>191</v>
      </c>
      <c r="T35" s="199">
        <f>MASTER!$F$6</f>
        <v>1030</v>
      </c>
      <c r="U35" s="175" t="s">
        <v>191</v>
      </c>
      <c r="V35" s="176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426"/>
      <c r="D36" s="427"/>
      <c r="E36" s="203" t="s">
        <v>192</v>
      </c>
      <c r="F36" s="205">
        <f>MASTER!$R$20</f>
        <v>284.87519047889998</v>
      </c>
      <c r="G36" s="182" t="s">
        <v>192</v>
      </c>
      <c r="H36" s="183" t="e">
        <f>MASTER!#REF!</f>
        <v>#REF!</v>
      </c>
      <c r="I36" s="185" t="s">
        <v>192</v>
      </c>
      <c r="J36" s="187">
        <f>MASTER!$R$16</f>
        <v>979.49455090955996</v>
      </c>
      <c r="K36" s="159" t="s">
        <v>192</v>
      </c>
      <c r="L36" s="161">
        <f>MASTER!$R$14</f>
        <v>983.50929883584013</v>
      </c>
      <c r="M36" s="167" t="s">
        <v>192</v>
      </c>
      <c r="N36" s="169">
        <f>MASTER!$R$12</f>
        <v>984.95505841824001</v>
      </c>
      <c r="O36" s="211" t="s">
        <v>192</v>
      </c>
      <c r="P36" s="212">
        <f>MASTER!$R$10</f>
        <v>1116.1133666766989</v>
      </c>
      <c r="Q36" s="185" t="s">
        <v>192</v>
      </c>
      <c r="R36" s="187">
        <f>MASTER!$R$8</f>
        <v>980.71428006436486</v>
      </c>
      <c r="S36" s="200" t="s">
        <v>192</v>
      </c>
      <c r="T36" s="201">
        <f>MASTER!$R$6</f>
        <v>1160.569939899279</v>
      </c>
      <c r="U36" s="177" t="s">
        <v>192</v>
      </c>
      <c r="V36" s="178">
        <f>MASTER!$R$4</f>
        <v>558.65024713310402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426"/>
      <c r="D37" s="427"/>
      <c r="E37" s="203" t="s">
        <v>193</v>
      </c>
      <c r="F37" s="206">
        <f>MASTER!$J$20</f>
        <v>360.92700000000002</v>
      </c>
      <c r="G37" s="182" t="s">
        <v>193</v>
      </c>
      <c r="H37" s="183">
        <f>MASTER!$J$18</f>
        <v>1280.1849999999999</v>
      </c>
      <c r="I37" s="185" t="s">
        <v>193</v>
      </c>
      <c r="J37" s="187">
        <f>MASTER!$J$16</f>
        <v>1354.76</v>
      </c>
      <c r="K37" s="159" t="s">
        <v>193</v>
      </c>
      <c r="L37" s="161">
        <f>MASTER!$J$14</f>
        <v>1356.963</v>
      </c>
      <c r="M37" s="167" t="s">
        <v>193</v>
      </c>
      <c r="N37" s="169">
        <f>MASTER!$J$12</f>
        <v>1358.9580000000001</v>
      </c>
      <c r="O37" s="211" t="s">
        <v>193</v>
      </c>
      <c r="P37" s="212">
        <f>MASTER!$J$10</f>
        <v>1356.8920000000001</v>
      </c>
      <c r="Q37" s="185" t="s">
        <v>193</v>
      </c>
      <c r="R37" s="187">
        <f>MASTER!$J$8</f>
        <v>1358.123</v>
      </c>
      <c r="S37" s="200" t="s">
        <v>193</v>
      </c>
      <c r="T37" s="201">
        <f>MASTER!$J$6</f>
        <v>1606.2080000000001</v>
      </c>
      <c r="U37" s="177" t="s">
        <v>193</v>
      </c>
      <c r="V37" s="178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426"/>
      <c r="D38" s="427"/>
      <c r="E38" s="203" t="s">
        <v>194</v>
      </c>
      <c r="F38" s="206">
        <f>MASTER!I20</f>
        <v>90.54867034621175</v>
      </c>
      <c r="G38" s="182" t="s">
        <v>194</v>
      </c>
      <c r="H38" s="184">
        <v>97.8</v>
      </c>
      <c r="I38" s="185" t="s">
        <v>194</v>
      </c>
      <c r="J38" s="192">
        <v>97.8</v>
      </c>
      <c r="K38" s="159" t="s">
        <v>194</v>
      </c>
      <c r="L38" s="166">
        <v>97.8</v>
      </c>
      <c r="M38" s="167" t="s">
        <v>194</v>
      </c>
      <c r="N38" s="174">
        <v>97.8</v>
      </c>
      <c r="O38" s="211" t="s">
        <v>194</v>
      </c>
      <c r="P38" s="213">
        <v>97.8</v>
      </c>
      <c r="Q38" s="185" t="s">
        <v>194</v>
      </c>
      <c r="R38" s="192">
        <v>97.8</v>
      </c>
      <c r="S38" s="200" t="s">
        <v>194</v>
      </c>
      <c r="T38" s="202">
        <v>97.8</v>
      </c>
      <c r="U38" s="177" t="s">
        <v>194</v>
      </c>
      <c r="V38" s="179">
        <v>97.8</v>
      </c>
      <c r="W38" s="16"/>
      <c r="X38" s="16"/>
    </row>
    <row r="39" spans="1:39" s="20" customFormat="1" ht="13.15" customHeight="1" thickBot="1">
      <c r="A39" s="19"/>
      <c r="B39" s="19"/>
      <c r="C39" s="348"/>
      <c r="D39" s="428"/>
      <c r="E39" s="479" t="s">
        <v>195</v>
      </c>
      <c r="F39" s="454"/>
      <c r="G39" s="480" t="s">
        <v>53</v>
      </c>
      <c r="H39" s="454"/>
      <c r="I39" s="453" t="s">
        <v>48</v>
      </c>
      <c r="J39" s="454"/>
      <c r="K39" s="510" t="s">
        <v>46</v>
      </c>
      <c r="L39" s="454"/>
      <c r="M39" s="477" t="s">
        <v>42</v>
      </c>
      <c r="N39" s="454"/>
      <c r="O39" s="478" t="s">
        <v>38</v>
      </c>
      <c r="P39" s="454"/>
      <c r="Q39" s="453" t="s">
        <v>36</v>
      </c>
      <c r="R39" s="454"/>
      <c r="S39" s="456" t="s">
        <v>30</v>
      </c>
      <c r="T39" s="454"/>
      <c r="U39" s="511" t="s">
        <v>24</v>
      </c>
      <c r="V39" s="512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K21:L21"/>
    <mergeCell ref="J16:L16"/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15" t="str">
        <f>MASTER!X3 &amp; " " &amp; MASTER!V3</f>
        <v>ANTALYA OPET KBZ</v>
      </c>
      <c r="B1" s="386"/>
      <c r="D1" s="515" t="str">
        <f>MASTER!X4 &amp; " " &amp; MASTER!V4</f>
        <v>MERSİN TÜPRAŞ KBZ</v>
      </c>
      <c r="E1" s="386"/>
      <c r="G1" s="515" t="str">
        <f>MASTER!X5 &amp; " " &amp; MASTER!V5</f>
        <v>ANTALYA OPET MOTORİN</v>
      </c>
      <c r="H1" s="386"/>
      <c r="J1" s="515" t="str">
        <f>MASTER!X6 &amp; " " &amp; MASTER!V6</f>
        <v>ANTALYA POAS KBZ</v>
      </c>
      <c r="K1" s="386"/>
    </row>
    <row r="2" spans="1:11">
      <c r="A2" s="112" t="s">
        <v>196</v>
      </c>
      <c r="B2" s="113" t="s">
        <v>197</v>
      </c>
      <c r="D2" s="112" t="s">
        <v>196</v>
      </c>
      <c r="E2" s="113" t="s">
        <v>197</v>
      </c>
      <c r="G2" s="112" t="s">
        <v>196</v>
      </c>
      <c r="H2" s="113" t="s">
        <v>197</v>
      </c>
      <c r="J2" s="112" t="s">
        <v>196</v>
      </c>
      <c r="K2" s="113" t="s">
        <v>197</v>
      </c>
    </row>
    <row r="3" spans="1:11" ht="13.9" customHeight="1">
      <c r="A3" s="114" t="s">
        <v>198</v>
      </c>
      <c r="B3" s="120"/>
      <c r="D3" s="114" t="s">
        <v>198</v>
      </c>
      <c r="E3" s="120"/>
      <c r="G3" s="114" t="s">
        <v>198</v>
      </c>
      <c r="H3" s="120"/>
      <c r="J3" s="114" t="s">
        <v>198</v>
      </c>
      <c r="K3" s="120"/>
    </row>
    <row r="4" spans="1:11" ht="13.9" customHeight="1">
      <c r="A4" s="114" t="s">
        <v>199</v>
      </c>
      <c r="B4" s="111">
        <f>MASTER!$Y$3</f>
        <v>1490.3529714664</v>
      </c>
      <c r="D4" s="114" t="s">
        <v>199</v>
      </c>
      <c r="E4" s="111">
        <f>MASTER!Y4</f>
        <v>2520.86818525434</v>
      </c>
      <c r="G4" s="114" t="s">
        <v>199</v>
      </c>
      <c r="H4" s="111">
        <f>MASTER!Y5</f>
        <v>3560.7621943651002</v>
      </c>
      <c r="J4" s="114" t="s">
        <v>199</v>
      </c>
      <c r="K4" s="111">
        <f>MASTER!Y6</f>
        <v>1162.3118241043401</v>
      </c>
    </row>
    <row r="5" spans="1:11" ht="13.9" customHeight="1">
      <c r="A5" s="114" t="s">
        <v>200</v>
      </c>
      <c r="B5" s="115">
        <f>B4-B3</f>
        <v>1490.3529714664</v>
      </c>
      <c r="D5" s="114" t="s">
        <v>200</v>
      </c>
      <c r="E5" s="115">
        <f>E4-E3</f>
        <v>2520.86818525434</v>
      </c>
      <c r="G5" s="114" t="s">
        <v>200</v>
      </c>
      <c r="H5" s="115">
        <f>H4-H3</f>
        <v>3560.7621943651002</v>
      </c>
      <c r="J5" s="114" t="s">
        <v>200</v>
      </c>
      <c r="K5" s="115">
        <f>K4-K3</f>
        <v>1162.3118241043401</v>
      </c>
    </row>
    <row r="6" spans="1:11">
      <c r="A6" s="116" t="s">
        <v>201</v>
      </c>
      <c r="B6" s="111" t="e">
        <f>B5/B3*1000</f>
        <v>#DIV/0!</v>
      </c>
      <c r="D6" s="116" t="s">
        <v>201</v>
      </c>
      <c r="E6" s="111" t="e">
        <f>E5/E3*1000</f>
        <v>#DIV/0!</v>
      </c>
      <c r="G6" s="116" t="s">
        <v>201</v>
      </c>
      <c r="H6" s="111" t="e">
        <f>H5/H3*1000</f>
        <v>#DIV/0!</v>
      </c>
      <c r="J6" s="116" t="s">
        <v>201</v>
      </c>
      <c r="K6" s="111" t="e">
        <f>K5/K3*1000</f>
        <v>#DIV/0!</v>
      </c>
    </row>
    <row r="7" spans="1:11" ht="14.25" customHeight="1">
      <c r="A7" s="114" t="s">
        <v>202</v>
      </c>
      <c r="B7" s="117" t="e">
        <f>B4/MASTER!#REF!</f>
        <v>#REF!</v>
      </c>
      <c r="D7" s="114" t="s">
        <v>202</v>
      </c>
      <c r="E7" s="117" t="e">
        <f>E4/MASTER!#REF!</f>
        <v>#REF!</v>
      </c>
      <c r="G7" s="114" t="s">
        <v>202</v>
      </c>
      <c r="H7" s="117" t="e">
        <f>H4/MASTER!#REF!</f>
        <v>#REF!</v>
      </c>
      <c r="J7" s="114" t="s">
        <v>202</v>
      </c>
      <c r="K7" s="117" t="e">
        <f>K4/MASTER!#REF!</f>
        <v>#REF!</v>
      </c>
    </row>
    <row r="8" spans="1:11" ht="13.9" customHeight="1">
      <c r="A8" s="114" t="s">
        <v>203</v>
      </c>
      <c r="B8" s="115" t="e">
        <f>B7-B3</f>
        <v>#REF!</v>
      </c>
      <c r="D8" s="114" t="s">
        <v>203</v>
      </c>
      <c r="E8" s="115" t="e">
        <f>E7-E3</f>
        <v>#REF!</v>
      </c>
      <c r="G8" s="114" t="s">
        <v>203</v>
      </c>
      <c r="H8" s="115" t="e">
        <f>H7-H3</f>
        <v>#REF!</v>
      </c>
      <c r="J8" s="114" t="s">
        <v>203</v>
      </c>
      <c r="K8" s="115" t="e">
        <f>K7-K3</f>
        <v>#REF!</v>
      </c>
    </row>
    <row r="9" spans="1:11">
      <c r="A9" s="116" t="s">
        <v>204</v>
      </c>
      <c r="B9" s="111" t="e">
        <f>B8/B3*1000</f>
        <v>#REF!</v>
      </c>
      <c r="D9" s="116" t="s">
        <v>204</v>
      </c>
      <c r="E9" s="111" t="e">
        <f>E8/E3*1000</f>
        <v>#REF!</v>
      </c>
      <c r="G9" s="116" t="s">
        <v>204</v>
      </c>
      <c r="H9" s="111" t="e">
        <f>H8/H3*1000</f>
        <v>#REF!</v>
      </c>
      <c r="J9" s="116" t="s">
        <v>204</v>
      </c>
      <c r="K9" s="111" t="e">
        <f>K8/K3*1000</f>
        <v>#REF!</v>
      </c>
    </row>
    <row r="12" spans="1:11">
      <c r="A12" s="515" t="str">
        <f>MASTER!X7 &amp; " " &amp; MASTER!V7</f>
        <v>MERSİN SHELL KBZ</v>
      </c>
      <c r="B12" s="386"/>
      <c r="D12" s="515" t="str">
        <f>MASTER!X8 &amp; " " &amp; MASTER!V8</f>
        <v>MERSİN POAŞ KBZ</v>
      </c>
      <c r="E12" s="386"/>
      <c r="G12" s="515" t="str">
        <f>MASTER!X9 &amp; " " &amp; MASTER!V9</f>
        <v>ANTALYA SHELL KBZ</v>
      </c>
      <c r="H12" s="386"/>
    </row>
    <row r="13" spans="1:11">
      <c r="A13" s="112" t="s">
        <v>196</v>
      </c>
      <c r="B13" s="113" t="s">
        <v>197</v>
      </c>
      <c r="D13" s="112" t="s">
        <v>196</v>
      </c>
      <c r="E13" s="113" t="s">
        <v>197</v>
      </c>
      <c r="G13" s="112" t="s">
        <v>196</v>
      </c>
      <c r="H13" s="113" t="s">
        <v>197</v>
      </c>
    </row>
    <row r="14" spans="1:11" ht="13.9" customHeight="1">
      <c r="A14" s="114" t="s">
        <v>198</v>
      </c>
      <c r="B14" s="120"/>
      <c r="D14" s="114" t="s">
        <v>198</v>
      </c>
      <c r="E14" s="120">
        <v>1096.271</v>
      </c>
      <c r="G14" s="114" t="s">
        <v>198</v>
      </c>
      <c r="H14" s="120">
        <v>3209.527</v>
      </c>
    </row>
    <row r="15" spans="1:11" ht="13.9" customHeight="1">
      <c r="A15" s="114" t="s">
        <v>199</v>
      </c>
      <c r="B15" s="111">
        <f>MASTER!Y7</f>
        <v>2949.7711554821399</v>
      </c>
      <c r="D15" s="114" t="s">
        <v>199</v>
      </c>
      <c r="E15" s="111">
        <f>MASTER!Y8</f>
        <v>985.03558511930009</v>
      </c>
      <c r="G15" s="114" t="s">
        <v>199</v>
      </c>
      <c r="H15" s="111">
        <f>MASTER!Y9</f>
        <v>1969.80777642316</v>
      </c>
    </row>
    <row r="16" spans="1:11" ht="13.9" customHeight="1">
      <c r="A16" s="114" t="s">
        <v>200</v>
      </c>
      <c r="B16" s="115">
        <f>B15-B14</f>
        <v>2949.7711554821399</v>
      </c>
      <c r="D16" s="114" t="s">
        <v>200</v>
      </c>
      <c r="E16" s="115">
        <f>E15-E14</f>
        <v>-111.23541488069986</v>
      </c>
      <c r="G16" s="114" t="s">
        <v>200</v>
      </c>
      <c r="H16" s="115">
        <f>H15-H14</f>
        <v>-1239.71922357684</v>
      </c>
    </row>
    <row r="17" spans="1:11">
      <c r="A17" s="116" t="s">
        <v>201</v>
      </c>
      <c r="B17" s="111" t="e">
        <f>B16/B14*1000</f>
        <v>#DIV/0!</v>
      </c>
      <c r="D17" s="116" t="s">
        <v>201</v>
      </c>
      <c r="E17" s="111">
        <f>E16/E14*1000</f>
        <v>-101.46707783084645</v>
      </c>
      <c r="G17" s="116" t="s">
        <v>201</v>
      </c>
      <c r="H17" s="111">
        <f>H16/H14*1000</f>
        <v>-386.26228212968454</v>
      </c>
    </row>
    <row r="18" spans="1:11" ht="14.25" customHeight="1">
      <c r="A18" s="114" t="s">
        <v>202</v>
      </c>
      <c r="B18" s="117" t="e">
        <f>B15/MASTER!#REF!</f>
        <v>#REF!</v>
      </c>
      <c r="D18" s="114" t="s">
        <v>202</v>
      </c>
      <c r="E18" s="117" t="e">
        <f>E15/MASTER!#REF!</f>
        <v>#REF!</v>
      </c>
      <c r="G18" s="114" t="s">
        <v>202</v>
      </c>
      <c r="H18" s="117" t="e">
        <f>H15/MASTER!#REF!</f>
        <v>#REF!</v>
      </c>
    </row>
    <row r="19" spans="1:11" ht="13.9" customHeight="1">
      <c r="A19" s="114" t="s">
        <v>203</v>
      </c>
      <c r="B19" s="115" t="e">
        <f>B18-B14</f>
        <v>#REF!</v>
      </c>
      <c r="D19" s="114" t="s">
        <v>203</v>
      </c>
      <c r="E19" s="115" t="e">
        <f>E18-E14</f>
        <v>#REF!</v>
      </c>
      <c r="G19" s="114" t="s">
        <v>203</v>
      </c>
      <c r="H19" s="115" t="e">
        <f>H18-H14</f>
        <v>#REF!</v>
      </c>
    </row>
    <row r="20" spans="1:11">
      <c r="A20" s="116" t="s">
        <v>204</v>
      </c>
      <c r="B20" s="111" t="e">
        <f>B19/B14*1000</f>
        <v>#REF!</v>
      </c>
      <c r="D20" s="116" t="s">
        <v>204</v>
      </c>
      <c r="E20" s="111" t="e">
        <f>E19/E14*1000</f>
        <v>#REF!</v>
      </c>
      <c r="G20" s="116" t="s">
        <v>204</v>
      </c>
      <c r="H20" s="111" t="e">
        <f>H19/H14*1000</f>
        <v>#REF!</v>
      </c>
    </row>
    <row r="23" spans="1:11">
      <c r="A23" s="516" t="s">
        <v>205</v>
      </c>
      <c r="B23" s="355"/>
      <c r="C23" s="355"/>
      <c r="D23" s="355"/>
      <c r="E23" s="355"/>
      <c r="F23" s="355"/>
      <c r="G23" s="355"/>
      <c r="H23" s="355"/>
      <c r="I23" s="355"/>
      <c r="J23" s="355"/>
      <c r="K23" s="355"/>
    </row>
    <row r="24" spans="1:11">
      <c r="A24" s="355"/>
      <c r="B24" s="355"/>
      <c r="C24" s="355"/>
      <c r="D24" s="355"/>
      <c r="E24" s="355"/>
      <c r="F24" s="355"/>
      <c r="G24" s="355"/>
      <c r="H24" s="355"/>
      <c r="I24" s="355"/>
      <c r="J24" s="355"/>
      <c r="K24" s="355"/>
    </row>
    <row r="25" spans="1:11">
      <c r="A25" s="355"/>
      <c r="B25" s="355"/>
      <c r="C25" s="355"/>
      <c r="D25" s="355"/>
      <c r="E25" s="355"/>
      <c r="F25" s="355"/>
      <c r="G25" s="355"/>
      <c r="H25" s="355"/>
      <c r="I25" s="355"/>
      <c r="J25" s="355"/>
      <c r="K25" s="355"/>
    </row>
    <row r="26" spans="1:11">
      <c r="A26" s="355"/>
      <c r="B26" s="355"/>
      <c r="C26" s="355"/>
      <c r="D26" s="355"/>
      <c r="E26" s="355"/>
      <c r="F26" s="355"/>
      <c r="G26" s="355"/>
      <c r="H26" s="355"/>
      <c r="I26" s="355"/>
      <c r="J26" s="355"/>
      <c r="K26" s="35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0" customWidth="1"/>
    <col min="2" max="2" width="3.25" style="110" customWidth="1"/>
    <col min="3" max="3" width="5.25" style="110" customWidth="1"/>
    <col min="4" max="4" width="5" style="110" customWidth="1"/>
    <col min="5" max="5" width="6.25" style="110" customWidth="1"/>
    <col min="6" max="6" width="9" style="110" customWidth="1"/>
    <col min="7" max="7" width="3.125" style="110" customWidth="1"/>
    <col min="8" max="8" width="5.375" style="110" customWidth="1"/>
    <col min="9" max="9" width="5" style="110" customWidth="1"/>
    <col min="10" max="10" width="6" style="110" customWidth="1"/>
    <col min="11" max="11" width="9" style="110" customWidth="1"/>
    <col min="12" max="12" width="2.75" style="110" customWidth="1"/>
    <col min="13" max="13" width="5" style="110" customWidth="1"/>
    <col min="14" max="14" width="5.875" style="110" customWidth="1"/>
    <col min="15" max="15" width="3.625" style="110" customWidth="1"/>
    <col min="16" max="16" width="8" style="110" customWidth="1"/>
    <col min="17" max="17" width="2.875" style="110" hidden="1" customWidth="1"/>
    <col min="18" max="23" width="9" style="110" customWidth="1"/>
    <col min="24" max="16384" width="9" style="110"/>
  </cols>
  <sheetData>
    <row r="1" spans="1:17">
      <c r="Q1" s="133"/>
    </row>
    <row r="2" spans="1:17">
      <c r="B2" s="518" t="s">
        <v>1</v>
      </c>
      <c r="C2" s="385"/>
      <c r="D2" s="386"/>
      <c r="E2" s="132" t="s">
        <v>2</v>
      </c>
      <c r="G2" s="518" t="s">
        <v>1</v>
      </c>
      <c r="H2" s="385"/>
      <c r="I2" s="386"/>
      <c r="J2" s="132" t="s">
        <v>2</v>
      </c>
      <c r="L2" s="523"/>
      <c r="M2" s="524"/>
      <c r="N2" s="524"/>
      <c r="O2" s="131"/>
      <c r="Q2" s="133" t="s">
        <v>206</v>
      </c>
    </row>
    <row r="3" spans="1:17">
      <c r="B3" s="517" t="s">
        <v>207</v>
      </c>
      <c r="C3" s="376"/>
      <c r="D3" s="367"/>
      <c r="E3" s="130" t="str">
        <f>IF(Q4=1,"ULSD","JET-A1")</f>
        <v>JET-A1</v>
      </c>
      <c r="G3" s="517" t="s">
        <v>208</v>
      </c>
      <c r="H3" s="376"/>
      <c r="I3" s="367"/>
      <c r="J3" s="130" t="str">
        <f>IF(Q5=1,"ULSD","JET-A1")</f>
        <v>JET-A1</v>
      </c>
      <c r="L3" s="518" t="s">
        <v>209</v>
      </c>
      <c r="M3" s="385"/>
      <c r="N3" s="385"/>
      <c r="O3" s="386"/>
      <c r="Q3" s="133" t="s">
        <v>210</v>
      </c>
    </row>
    <row r="4" spans="1:17">
      <c r="A4" s="134"/>
      <c r="B4" s="129" t="s">
        <v>211</v>
      </c>
      <c r="C4" s="522">
        <v>5214.7820000000002</v>
      </c>
      <c r="D4" s="376"/>
      <c r="E4" s="126" t="s">
        <v>192</v>
      </c>
      <c r="G4" s="129" t="s">
        <v>211</v>
      </c>
      <c r="H4" s="522">
        <v>6781</v>
      </c>
      <c r="I4" s="376"/>
      <c r="J4" s="126" t="s">
        <v>192</v>
      </c>
      <c r="L4" s="127" t="s">
        <v>211</v>
      </c>
      <c r="M4" s="525">
        <f>IF(E3="JET-A1",C4,"0")+IF(J3="JET-A1",H4,"0")+IF(E11="JET-A1",C12,"0")+IF(J11="JET-A1",H12,"0")</f>
        <v>21224.792999999998</v>
      </c>
      <c r="N4" s="385"/>
      <c r="O4" s="126" t="s">
        <v>192</v>
      </c>
      <c r="Q4" s="133">
        <v>2</v>
      </c>
    </row>
    <row r="5" spans="1:17">
      <c r="A5" s="134"/>
      <c r="B5" s="128" t="s">
        <v>212</v>
      </c>
      <c r="C5" s="520">
        <v>5201.3370000000004</v>
      </c>
      <c r="D5" s="375"/>
      <c r="E5" s="122" t="s">
        <v>192</v>
      </c>
      <c r="G5" s="128" t="s">
        <v>212</v>
      </c>
      <c r="H5" s="520">
        <v>6800</v>
      </c>
      <c r="I5" s="375"/>
      <c r="J5" s="122" t="s">
        <v>192</v>
      </c>
      <c r="L5" s="125" t="s">
        <v>212</v>
      </c>
      <c r="M5" s="521">
        <f>IF(E3="JET-A1",C5,"0")+IF(J3="JET-A1",H5,"0")+IF(E11="JET-A1",C13,"0")+IF(J11="JET-A1",H13,"0")</f>
        <v>21206.074000000001</v>
      </c>
      <c r="N5" s="378"/>
      <c r="O5" s="122" t="s">
        <v>192</v>
      </c>
      <c r="Q5" s="133">
        <v>2</v>
      </c>
    </row>
    <row r="6" spans="1:17">
      <c r="A6" s="134"/>
      <c r="B6" s="125" t="s">
        <v>213</v>
      </c>
      <c r="C6" s="519">
        <f>(C5-C4)</f>
        <v>-13.444999999999709</v>
      </c>
      <c r="D6" s="378"/>
      <c r="E6" s="122" t="s">
        <v>192</v>
      </c>
      <c r="G6" s="125" t="s">
        <v>213</v>
      </c>
      <c r="H6" s="519">
        <f>(H5-H4)</f>
        <v>19</v>
      </c>
      <c r="I6" s="378"/>
      <c r="J6" s="122" t="s">
        <v>192</v>
      </c>
      <c r="L6" s="125" t="s">
        <v>213</v>
      </c>
      <c r="M6" s="519">
        <f>(M5-M4)</f>
        <v>-18.718999999997322</v>
      </c>
      <c r="N6" s="378"/>
      <c r="O6" s="122" t="s">
        <v>192</v>
      </c>
      <c r="Q6" s="133">
        <v>2</v>
      </c>
    </row>
    <row r="7" spans="1:17">
      <c r="A7" s="134"/>
      <c r="B7" s="125" t="s">
        <v>214</v>
      </c>
      <c r="C7" s="124" t="s">
        <v>215</v>
      </c>
      <c r="D7" s="123">
        <f>(C6/C4)*1000</f>
        <v>-2.5782477580078531</v>
      </c>
      <c r="E7" s="122" t="s">
        <v>192</v>
      </c>
      <c r="G7" s="125" t="s">
        <v>214</v>
      </c>
      <c r="H7" s="124" t="s">
        <v>215</v>
      </c>
      <c r="I7" s="123">
        <f>(H6/H4)*1000</f>
        <v>2.8019466155434301</v>
      </c>
      <c r="J7" s="122" t="s">
        <v>192</v>
      </c>
      <c r="L7" s="125" t="s">
        <v>214</v>
      </c>
      <c r="M7" s="124" t="s">
        <v>215</v>
      </c>
      <c r="N7" s="123">
        <f>(M6/M4)*1000</f>
        <v>-0.88194028558946724</v>
      </c>
      <c r="O7" s="122" t="s">
        <v>192</v>
      </c>
      <c r="Q7" s="133">
        <v>1</v>
      </c>
    </row>
    <row r="10" spans="1:17">
      <c r="B10" s="518" t="s">
        <v>1</v>
      </c>
      <c r="C10" s="385"/>
      <c r="D10" s="386"/>
      <c r="E10" s="132" t="s">
        <v>2</v>
      </c>
      <c r="G10" s="518" t="s">
        <v>1</v>
      </c>
      <c r="H10" s="385"/>
      <c r="I10" s="386"/>
      <c r="J10" s="132" t="s">
        <v>2</v>
      </c>
      <c r="L10" s="523"/>
      <c r="M10" s="524"/>
      <c r="N10" s="524"/>
      <c r="O10" s="131"/>
    </row>
    <row r="11" spans="1:17">
      <c r="B11" s="517" t="s">
        <v>216</v>
      </c>
      <c r="C11" s="376"/>
      <c r="D11" s="367"/>
      <c r="E11" s="130" t="str">
        <f>IF(Q6=1,"ULSD","JET-A1")</f>
        <v>JET-A1</v>
      </c>
      <c r="G11" s="517" t="s">
        <v>217</v>
      </c>
      <c r="H11" s="376"/>
      <c r="I11" s="367"/>
      <c r="J11" s="130" t="str">
        <f>IF(Q7=1,"ULSD","JET-A1")</f>
        <v>ULSD</v>
      </c>
      <c r="L11" s="518" t="s">
        <v>218</v>
      </c>
      <c r="M11" s="385"/>
      <c r="N11" s="385"/>
      <c r="O11" s="386"/>
    </row>
    <row r="12" spans="1:17">
      <c r="B12" s="129" t="s">
        <v>211</v>
      </c>
      <c r="C12" s="522">
        <v>9229.0110000000004</v>
      </c>
      <c r="D12" s="376"/>
      <c r="E12" s="126" t="s">
        <v>192</v>
      </c>
      <c r="G12" s="129" t="s">
        <v>211</v>
      </c>
      <c r="H12" s="522">
        <v>4492.6350000000002</v>
      </c>
      <c r="I12" s="376"/>
      <c r="J12" s="126" t="s">
        <v>192</v>
      </c>
      <c r="L12" s="127" t="s">
        <v>211</v>
      </c>
      <c r="M12" s="525">
        <f>IF(E3="ULSD",C4,"0")+IF(J3="ULSD",H4,"0")+IF(E11="ULSD",C12,"0")+IF(J11="ULSD",H12,"0")</f>
        <v>4492.6350000000002</v>
      </c>
      <c r="N12" s="385"/>
      <c r="O12" s="126" t="s">
        <v>192</v>
      </c>
    </row>
    <row r="13" spans="1:17">
      <c r="B13" s="128" t="s">
        <v>212</v>
      </c>
      <c r="C13" s="520">
        <v>9204.7369999999992</v>
      </c>
      <c r="D13" s="375"/>
      <c r="E13" s="122" t="s">
        <v>192</v>
      </c>
      <c r="G13" s="128" t="s">
        <v>212</v>
      </c>
      <c r="H13" s="520">
        <v>4484.701</v>
      </c>
      <c r="I13" s="375"/>
      <c r="J13" s="122" t="s">
        <v>192</v>
      </c>
      <c r="L13" s="125" t="s">
        <v>212</v>
      </c>
      <c r="M13" s="521">
        <f>IF(E3="ULSD",C5,"0")+IF(J3="ULSD",H5,"0")+IF(E11="ULSD",C13,"0")+IF(J11="ULSD",H13,"0")</f>
        <v>4484.701</v>
      </c>
      <c r="N13" s="378"/>
      <c r="O13" s="122" t="s">
        <v>192</v>
      </c>
    </row>
    <row r="14" spans="1:17">
      <c r="B14" s="125" t="s">
        <v>213</v>
      </c>
      <c r="C14" s="519">
        <f>(C13-C12)</f>
        <v>-24.274000000001251</v>
      </c>
      <c r="D14" s="378"/>
      <c r="E14" s="122" t="s">
        <v>192</v>
      </c>
      <c r="G14" s="125" t="s">
        <v>213</v>
      </c>
      <c r="H14" s="519">
        <f>(H13-H12)</f>
        <v>-7.9340000000001965</v>
      </c>
      <c r="I14" s="378"/>
      <c r="J14" s="122" t="s">
        <v>192</v>
      </c>
      <c r="L14" s="125" t="s">
        <v>213</v>
      </c>
      <c r="M14" s="519">
        <f>(M13-M12)</f>
        <v>-7.9340000000001965</v>
      </c>
      <c r="N14" s="378"/>
      <c r="O14" s="122" t="s">
        <v>192</v>
      </c>
    </row>
    <row r="15" spans="1:17">
      <c r="B15" s="125" t="s">
        <v>214</v>
      </c>
      <c r="C15" s="124" t="s">
        <v>215</v>
      </c>
      <c r="D15" s="123">
        <f>(C14/C12)*1000</f>
        <v>-2.6301843176913811</v>
      </c>
      <c r="E15" s="122" t="s">
        <v>192</v>
      </c>
      <c r="G15" s="125" t="s">
        <v>214</v>
      </c>
      <c r="H15" s="124" t="s">
        <v>215</v>
      </c>
      <c r="I15" s="123">
        <f>(H14/H12)*1000</f>
        <v>-1.7660014668452246</v>
      </c>
      <c r="J15" s="122" t="s">
        <v>192</v>
      </c>
      <c r="L15" s="125" t="s">
        <v>214</v>
      </c>
      <c r="M15" s="124" t="s">
        <v>215</v>
      </c>
      <c r="N15" s="123">
        <f>(M14/M12)*1000</f>
        <v>-1.7660014668452246</v>
      </c>
      <c r="O15" s="122" t="s">
        <v>192</v>
      </c>
    </row>
    <row r="17" spans="12:15">
      <c r="L17" s="518" t="s">
        <v>219</v>
      </c>
      <c r="M17" s="385"/>
      <c r="N17" s="385"/>
      <c r="O17" s="386"/>
    </row>
    <row r="18" spans="12:15">
      <c r="L18" s="127" t="s">
        <v>211</v>
      </c>
      <c r="M18" s="525">
        <f>C4+H4+C12+H12</f>
        <v>25717.428</v>
      </c>
      <c r="N18" s="385"/>
      <c r="O18" s="126" t="s">
        <v>192</v>
      </c>
    </row>
    <row r="19" spans="12:15">
      <c r="L19" s="125" t="s">
        <v>212</v>
      </c>
      <c r="M19" s="521">
        <f>C5+H5+C13+H13</f>
        <v>25690.775000000001</v>
      </c>
      <c r="N19" s="378"/>
      <c r="O19" s="122" t="s">
        <v>192</v>
      </c>
    </row>
    <row r="20" spans="12:15">
      <c r="L20" s="125" t="s">
        <v>213</v>
      </c>
      <c r="M20" s="519">
        <f>(M19-M18)</f>
        <v>-26.652999999998428</v>
      </c>
      <c r="N20" s="378"/>
      <c r="O20" s="122" t="s">
        <v>192</v>
      </c>
    </row>
    <row r="21" spans="12:15">
      <c r="L21" s="125" t="s">
        <v>214</v>
      </c>
      <c r="M21" s="124" t="s">
        <v>215</v>
      </c>
      <c r="N21" s="123">
        <f>(M20/M18)*1000</f>
        <v>-1.0363789100526859</v>
      </c>
      <c r="O21" s="122" t="s">
        <v>192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M5:N5"/>
    <mergeCell ref="G3:I3"/>
    <mergeCell ref="H4:I4"/>
    <mergeCell ref="L11:O11"/>
    <mergeCell ref="C4:D4"/>
    <mergeCell ref="B10:D10"/>
    <mergeCell ref="L10:N10"/>
    <mergeCell ref="H6:I6"/>
    <mergeCell ref="L3:O3"/>
    <mergeCell ref="B11:D11"/>
    <mergeCell ref="G10:I10"/>
    <mergeCell ref="C6:D6"/>
    <mergeCell ref="C5:D5"/>
    <mergeCell ref="C14:D14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06" t="s">
        <v>6</v>
      </c>
      <c r="C3" s="527" t="s">
        <v>220</v>
      </c>
      <c r="D3" s="386"/>
    </row>
    <row r="4" spans="2:4">
      <c r="B4" s="107">
        <v>0</v>
      </c>
      <c r="C4" s="526">
        <v>0.99934000000000001</v>
      </c>
      <c r="D4" s="386"/>
    </row>
    <row r="5" spans="2:4">
      <c r="B5" s="107">
        <v>1</v>
      </c>
      <c r="C5" s="526">
        <v>0.99937299999999996</v>
      </c>
      <c r="D5" s="386"/>
    </row>
    <row r="6" spans="2:4">
      <c r="B6" s="107">
        <v>2</v>
      </c>
      <c r="C6" s="526">
        <v>0.99940600000000002</v>
      </c>
      <c r="D6" s="386"/>
    </row>
    <row r="7" spans="2:4">
      <c r="B7" s="107">
        <v>3</v>
      </c>
      <c r="C7" s="526">
        <v>0.99943899999999997</v>
      </c>
      <c r="D7" s="386"/>
    </row>
    <row r="8" spans="2:4">
      <c r="B8" s="107">
        <v>4</v>
      </c>
      <c r="C8" s="526">
        <v>0.99947200000000003</v>
      </c>
      <c r="D8" s="386"/>
    </row>
    <row r="9" spans="2:4">
      <c r="B9" s="107">
        <v>5</v>
      </c>
      <c r="C9" s="526">
        <v>0.99950499999999998</v>
      </c>
      <c r="D9" s="386"/>
    </row>
    <row r="10" spans="2:4">
      <c r="B10" s="107">
        <v>6</v>
      </c>
      <c r="C10" s="526">
        <v>0.99953800000000004</v>
      </c>
      <c r="D10" s="386"/>
    </row>
    <row r="11" spans="2:4">
      <c r="B11" s="107">
        <v>7</v>
      </c>
      <c r="C11" s="526">
        <v>0.99957099999999999</v>
      </c>
      <c r="D11" s="386"/>
    </row>
    <row r="12" spans="2:4">
      <c r="B12" s="107">
        <v>8</v>
      </c>
      <c r="C12" s="526">
        <v>0.99960400000000005</v>
      </c>
      <c r="D12" s="386"/>
    </row>
    <row r="13" spans="2:4">
      <c r="B13" s="107">
        <v>9</v>
      </c>
      <c r="C13" s="526">
        <v>0.999637</v>
      </c>
      <c r="D13" s="386"/>
    </row>
    <row r="14" spans="2:4">
      <c r="B14" s="107">
        <v>10</v>
      </c>
      <c r="C14" s="526">
        <v>0.99966999999999995</v>
      </c>
      <c r="D14" s="386"/>
    </row>
    <row r="15" spans="2:4">
      <c r="B15" s="107">
        <v>11</v>
      </c>
      <c r="C15" s="526">
        <v>0.99970300000000001</v>
      </c>
      <c r="D15" s="386"/>
    </row>
    <row r="16" spans="2:4">
      <c r="B16" s="107">
        <v>12</v>
      </c>
      <c r="C16" s="526">
        <v>0.99973599999999996</v>
      </c>
      <c r="D16" s="386"/>
    </row>
    <row r="17" spans="2:4">
      <c r="B17" s="107">
        <v>13</v>
      </c>
      <c r="C17" s="526">
        <v>0.99976900000000002</v>
      </c>
      <c r="D17" s="386"/>
    </row>
    <row r="18" spans="2:4">
      <c r="B18" s="107">
        <v>14</v>
      </c>
      <c r="C18" s="526" t="s">
        <v>221</v>
      </c>
      <c r="D18" s="386"/>
    </row>
    <row r="19" spans="2:4">
      <c r="B19" s="107">
        <v>15</v>
      </c>
      <c r="C19" s="526">
        <v>0.99983500000000003</v>
      </c>
      <c r="D19" s="386"/>
    </row>
    <row r="20" spans="2:4">
      <c r="B20" s="107">
        <v>16</v>
      </c>
      <c r="C20" s="526">
        <v>0.99986799999999998</v>
      </c>
      <c r="D20" s="386"/>
    </row>
    <row r="21" spans="2:4">
      <c r="B21" s="107">
        <v>17</v>
      </c>
      <c r="C21" s="526">
        <v>0.99990100000000004</v>
      </c>
      <c r="D21" s="386"/>
    </row>
    <row r="22" spans="2:4">
      <c r="B22" s="107">
        <v>18</v>
      </c>
      <c r="C22" s="526">
        <v>0.99993399999999999</v>
      </c>
      <c r="D22" s="386"/>
    </row>
    <row r="23" spans="2:4">
      <c r="B23" s="107">
        <v>19</v>
      </c>
      <c r="C23" s="526">
        <v>0.99996700000000005</v>
      </c>
      <c r="D23" s="386"/>
    </row>
    <row r="24" spans="2:4">
      <c r="B24" s="107">
        <v>20</v>
      </c>
      <c r="C24" s="526">
        <v>1</v>
      </c>
      <c r="D24" s="386"/>
    </row>
    <row r="25" spans="2:4">
      <c r="B25" s="107">
        <v>21</v>
      </c>
      <c r="C25" s="526">
        <v>1.0000329999999999</v>
      </c>
      <c r="D25" s="386"/>
    </row>
    <row r="26" spans="2:4">
      <c r="B26" s="107">
        <v>22</v>
      </c>
      <c r="C26" s="526">
        <v>1.0000659999999999</v>
      </c>
      <c r="D26" s="386"/>
    </row>
    <row r="27" spans="2:4">
      <c r="B27" s="107">
        <v>23</v>
      </c>
      <c r="C27" s="526">
        <v>1.0000990000000001</v>
      </c>
      <c r="D27" s="386"/>
    </row>
    <row r="28" spans="2:4">
      <c r="B28" s="107">
        <v>24</v>
      </c>
      <c r="C28" s="526">
        <v>1.000132</v>
      </c>
      <c r="D28" s="386"/>
    </row>
    <row r="29" spans="2:4">
      <c r="B29" s="107">
        <v>25</v>
      </c>
      <c r="C29" s="526">
        <v>1.000165</v>
      </c>
      <c r="D29" s="386"/>
    </row>
    <row r="30" spans="2:4">
      <c r="B30" s="107">
        <v>26</v>
      </c>
      <c r="C30" s="526">
        <v>1.0001979999999999</v>
      </c>
      <c r="D30" s="386"/>
    </row>
    <row r="31" spans="2:4">
      <c r="B31" s="107">
        <v>27</v>
      </c>
      <c r="C31" s="526">
        <v>1.0002310000000001</v>
      </c>
      <c r="D31" s="386"/>
    </row>
    <row r="32" spans="2:4">
      <c r="B32" s="107">
        <v>28</v>
      </c>
      <c r="C32" s="526">
        <v>1.000264</v>
      </c>
      <c r="D32" s="386"/>
    </row>
    <row r="33" spans="2:4">
      <c r="B33" s="107">
        <v>29</v>
      </c>
      <c r="C33" s="526">
        <v>1.000297</v>
      </c>
      <c r="D33" s="386"/>
    </row>
    <row r="34" spans="2:4">
      <c r="B34" s="107">
        <v>30</v>
      </c>
      <c r="C34" s="526">
        <v>1.0003299999999999</v>
      </c>
      <c r="D34" s="386"/>
    </row>
    <row r="35" spans="2:4">
      <c r="B35" s="107">
        <v>31</v>
      </c>
      <c r="C35" s="526">
        <v>1.0003629999999999</v>
      </c>
      <c r="D35" s="386"/>
    </row>
    <row r="36" spans="2:4">
      <c r="B36" s="107">
        <v>32</v>
      </c>
      <c r="C36" s="526">
        <v>1.0003960000000001</v>
      </c>
      <c r="D36" s="386"/>
    </row>
    <row r="37" spans="2:4">
      <c r="B37" s="107">
        <v>33</v>
      </c>
      <c r="C37" s="526">
        <v>1.000429</v>
      </c>
      <c r="D37" s="386"/>
    </row>
    <row r="38" spans="2:4">
      <c r="B38" s="107">
        <v>34</v>
      </c>
      <c r="C38" s="526">
        <v>1.000462</v>
      </c>
      <c r="D38" s="386"/>
    </row>
    <row r="39" spans="2:4">
      <c r="B39" s="107">
        <v>35</v>
      </c>
      <c r="C39" s="526">
        <v>1.0004949999999999</v>
      </c>
      <c r="D39" s="386"/>
    </row>
    <row r="40" spans="2:4">
      <c r="B40" s="107">
        <v>36</v>
      </c>
      <c r="C40" s="526">
        <v>1.0005280000000001</v>
      </c>
      <c r="D40" s="386"/>
    </row>
    <row r="41" spans="2:4">
      <c r="B41" s="107">
        <v>37</v>
      </c>
      <c r="C41" s="526">
        <v>1.000561</v>
      </c>
      <c r="D41" s="386"/>
    </row>
    <row r="42" spans="2:4">
      <c r="B42" s="107">
        <v>38</v>
      </c>
      <c r="C42" s="526">
        <v>1.000594</v>
      </c>
      <c r="D42" s="386"/>
    </row>
    <row r="43" spans="2:4">
      <c r="B43" s="107">
        <v>39</v>
      </c>
      <c r="C43" s="526">
        <v>1.0006269999999999</v>
      </c>
      <c r="D43" s="386"/>
    </row>
    <row r="44" spans="2:4">
      <c r="B44" s="107">
        <v>40</v>
      </c>
      <c r="C44" s="526">
        <v>1.0006600000000001</v>
      </c>
      <c r="D44" s="386"/>
    </row>
    <row r="45" spans="2:4">
      <c r="B45" s="107">
        <v>41</v>
      </c>
      <c r="C45" s="526">
        <v>1.0006930000000001</v>
      </c>
      <c r="D45" s="386"/>
    </row>
    <row r="46" spans="2:4">
      <c r="B46" s="107">
        <v>42</v>
      </c>
      <c r="C46" s="526">
        <v>1.000726</v>
      </c>
      <c r="D46" s="386"/>
    </row>
    <row r="47" spans="2:4">
      <c r="B47" s="107">
        <v>43</v>
      </c>
      <c r="C47" s="526">
        <v>1.000759</v>
      </c>
      <c r="D47" s="386"/>
    </row>
    <row r="48" spans="2:4">
      <c r="B48" s="107">
        <v>44</v>
      </c>
      <c r="C48" s="526">
        <v>1.0007919999999999</v>
      </c>
      <c r="D48" s="386"/>
    </row>
    <row r="49" spans="2:4">
      <c r="B49" s="107">
        <v>45</v>
      </c>
      <c r="C49" s="526">
        <v>1.0008250000000001</v>
      </c>
      <c r="D49" s="386"/>
    </row>
    <row r="50" spans="2:4">
      <c r="B50" s="107">
        <v>46</v>
      </c>
      <c r="C50" s="526">
        <v>1.000858</v>
      </c>
      <c r="D50" s="386"/>
    </row>
    <row r="51" spans="2:4">
      <c r="B51" s="107">
        <v>47</v>
      </c>
      <c r="C51" s="526">
        <v>1.000891</v>
      </c>
      <c r="D51" s="386"/>
    </row>
    <row r="52" spans="2:4">
      <c r="B52" s="107">
        <v>48</v>
      </c>
      <c r="C52" s="526">
        <v>1.0009239999999999</v>
      </c>
      <c r="D52" s="386"/>
    </row>
    <row r="53" spans="2:4">
      <c r="B53" s="107">
        <v>49</v>
      </c>
      <c r="C53" s="526">
        <v>1.0009570000000001</v>
      </c>
      <c r="D53" s="386"/>
    </row>
    <row r="54" spans="2:4">
      <c r="B54" s="107">
        <v>50</v>
      </c>
      <c r="C54" s="526">
        <v>1.00099</v>
      </c>
      <c r="D54" s="386"/>
    </row>
    <row r="55" spans="2:4">
      <c r="B55" s="107">
        <v>51</v>
      </c>
      <c r="C55" s="526">
        <v>1.001023</v>
      </c>
      <c r="D55" s="386"/>
    </row>
    <row r="56" spans="2:4">
      <c r="B56" s="107">
        <v>52</v>
      </c>
      <c r="C56" s="526">
        <v>1.0010559999999999</v>
      </c>
      <c r="D56" s="386"/>
    </row>
    <row r="57" spans="2:4">
      <c r="B57" s="107">
        <v>53</v>
      </c>
      <c r="C57" s="526">
        <v>1.0010889999999999</v>
      </c>
      <c r="D57" s="386"/>
    </row>
    <row r="58" spans="2:4">
      <c r="B58" s="107">
        <v>54</v>
      </c>
      <c r="C58" s="526">
        <v>1.0011220000000001</v>
      </c>
      <c r="D58" s="386"/>
    </row>
    <row r="59" spans="2:4">
      <c r="B59" s="107">
        <v>55</v>
      </c>
      <c r="C59" s="526">
        <v>1.001155</v>
      </c>
      <c r="D59" s="386"/>
    </row>
    <row r="60" spans="2:4">
      <c r="B60" s="107">
        <v>56</v>
      </c>
      <c r="C60" s="526">
        <v>1.001188</v>
      </c>
      <c r="D60" s="386"/>
    </row>
    <row r="61" spans="2:4">
      <c r="B61" s="107">
        <v>57</v>
      </c>
      <c r="C61" s="526">
        <v>1.0012209999999999</v>
      </c>
      <c r="D61" s="386"/>
    </row>
    <row r="62" spans="2:4">
      <c r="B62" s="107">
        <v>58</v>
      </c>
      <c r="C62" s="526">
        <v>1.001255</v>
      </c>
      <c r="D62" s="386"/>
    </row>
    <row r="63" spans="2:4">
      <c r="B63" s="107">
        <v>59</v>
      </c>
      <c r="C63" s="526">
        <v>1.001288</v>
      </c>
      <c r="D63" s="386"/>
    </row>
    <row r="64" spans="2:4">
      <c r="B64" s="107">
        <v>60</v>
      </c>
      <c r="C64" s="526">
        <v>1.0013209999999999</v>
      </c>
      <c r="D64" s="386"/>
    </row>
    <row r="65" spans="2:4">
      <c r="B65" s="107">
        <v>61</v>
      </c>
      <c r="C65" s="526">
        <v>1.0013540000000001</v>
      </c>
      <c r="D65" s="386"/>
    </row>
    <row r="66" spans="2:4">
      <c r="B66" s="107">
        <v>62</v>
      </c>
      <c r="C66" s="526">
        <v>1.001387</v>
      </c>
      <c r="D66" s="386"/>
    </row>
    <row r="67" spans="2:4">
      <c r="B67" s="107">
        <v>63</v>
      </c>
      <c r="C67" s="526">
        <v>1.00142</v>
      </c>
      <c r="D67" s="386"/>
    </row>
    <row r="68" spans="2:4">
      <c r="B68" s="107">
        <v>64</v>
      </c>
      <c r="C68" s="526">
        <v>1.0014529999999999</v>
      </c>
      <c r="D68" s="386"/>
    </row>
    <row r="69" spans="2:4">
      <c r="B69" s="107">
        <v>65</v>
      </c>
      <c r="C69" s="526">
        <v>1.0014860000000001</v>
      </c>
      <c r="D69" s="386"/>
    </row>
    <row r="70" spans="2:4">
      <c r="B70" s="107">
        <v>66</v>
      </c>
      <c r="C70" s="526">
        <v>1.001519</v>
      </c>
      <c r="D70" s="386"/>
    </row>
    <row r="71" spans="2:4">
      <c r="B71" s="107">
        <v>67</v>
      </c>
      <c r="C71" s="526">
        <v>1.001552</v>
      </c>
      <c r="D71" s="386"/>
    </row>
    <row r="72" spans="2:4">
      <c r="B72" s="107">
        <v>68</v>
      </c>
      <c r="C72" s="526">
        <v>1.0015849999999999</v>
      </c>
      <c r="D72" s="386"/>
    </row>
    <row r="73" spans="2:4">
      <c r="B73" s="107">
        <v>69</v>
      </c>
      <c r="C73" s="526">
        <v>1.0016179999999999</v>
      </c>
      <c r="D73" s="386"/>
    </row>
    <row r="74" spans="2:4">
      <c r="B74" s="107">
        <v>70</v>
      </c>
      <c r="C74" s="526">
        <v>1.0016510000000001</v>
      </c>
      <c r="D74" s="386"/>
    </row>
    <row r="75" spans="2:4">
      <c r="B75" s="107">
        <v>71</v>
      </c>
      <c r="C75" s="526">
        <v>1.001684</v>
      </c>
      <c r="D75" s="386"/>
    </row>
    <row r="76" spans="2:4">
      <c r="B76" s="107">
        <v>72</v>
      </c>
      <c r="C76" s="526">
        <v>1.001717</v>
      </c>
      <c r="D76" s="386"/>
    </row>
    <row r="77" spans="2:4">
      <c r="B77" s="107">
        <v>73</v>
      </c>
      <c r="C77" s="526">
        <v>1.0017499999999999</v>
      </c>
      <c r="D77" s="386"/>
    </row>
    <row r="78" spans="2:4">
      <c r="B78" s="107">
        <v>74</v>
      </c>
      <c r="C78" s="526">
        <v>1.0017830000000001</v>
      </c>
      <c r="D78" s="386"/>
    </row>
    <row r="79" spans="2:4">
      <c r="B79" s="107">
        <v>75</v>
      </c>
      <c r="C79" s="526">
        <v>1.001816</v>
      </c>
      <c r="D79" s="386"/>
    </row>
    <row r="80" spans="2:4">
      <c r="B80" s="107">
        <v>76</v>
      </c>
      <c r="C80" s="526">
        <v>1.001849</v>
      </c>
      <c r="D80" s="386"/>
    </row>
    <row r="81" spans="2:4">
      <c r="B81" s="107">
        <v>77</v>
      </c>
      <c r="C81" s="526">
        <v>1.0018819999999999</v>
      </c>
      <c r="D81" s="386"/>
    </row>
    <row r="82" spans="2:4">
      <c r="B82" s="107">
        <v>78</v>
      </c>
      <c r="C82" s="526">
        <v>1.0019149999999999</v>
      </c>
      <c r="D82" s="386"/>
    </row>
    <row r="83" spans="2:4">
      <c r="B83" s="107">
        <v>79</v>
      </c>
      <c r="C83" s="526">
        <v>1.0019480000000001</v>
      </c>
      <c r="D83" s="386"/>
    </row>
    <row r="84" spans="2:4">
      <c r="B84" s="107">
        <v>80</v>
      </c>
      <c r="C84" s="526">
        <v>1.001981</v>
      </c>
      <c r="D84" s="386"/>
    </row>
    <row r="85" spans="2:4">
      <c r="B85" s="107">
        <v>81</v>
      </c>
      <c r="C85" s="526">
        <v>1.002014</v>
      </c>
      <c r="D85" s="386"/>
    </row>
    <row r="86" spans="2:4">
      <c r="B86" s="107">
        <v>82</v>
      </c>
      <c r="C86" s="526">
        <v>1.0020469999999999</v>
      </c>
      <c r="D86" s="386"/>
    </row>
    <row r="87" spans="2:4">
      <c r="B87" s="107">
        <v>83</v>
      </c>
      <c r="C87" s="526">
        <v>1.0020800000000001</v>
      </c>
      <c r="D87" s="386"/>
    </row>
    <row r="88" spans="2:4">
      <c r="B88" s="107">
        <v>84</v>
      </c>
      <c r="C88" s="526">
        <v>1.002113</v>
      </c>
      <c r="D88" s="386"/>
    </row>
    <row r="89" spans="2:4">
      <c r="B89" s="107">
        <v>85</v>
      </c>
      <c r="C89" s="526">
        <v>1.0021469999999999</v>
      </c>
      <c r="D89" s="386"/>
    </row>
    <row r="90" spans="2:4">
      <c r="B90" s="107">
        <v>86</v>
      </c>
      <c r="C90" s="526">
        <v>1.0021800000000001</v>
      </c>
      <c r="D90" s="386"/>
    </row>
    <row r="91" spans="2:4">
      <c r="B91" s="107">
        <v>87</v>
      </c>
      <c r="C91" s="526">
        <v>1.002213</v>
      </c>
      <c r="D91" s="386"/>
    </row>
    <row r="92" spans="2:4">
      <c r="B92" s="107">
        <v>88</v>
      </c>
      <c r="C92" s="526">
        <v>1.002246</v>
      </c>
      <c r="D92" s="386"/>
    </row>
    <row r="93" spans="2:4">
      <c r="B93" s="107">
        <v>89</v>
      </c>
      <c r="C93" s="526">
        <v>1.0022789999999999</v>
      </c>
      <c r="D93" s="386"/>
    </row>
    <row r="94" spans="2:4">
      <c r="B94" s="107">
        <v>90</v>
      </c>
      <c r="C94" s="526">
        <v>1.0023120000000001</v>
      </c>
      <c r="D94" s="386"/>
    </row>
    <row r="95" spans="2:4">
      <c r="B95" s="107">
        <v>91</v>
      </c>
      <c r="C95" s="526">
        <v>1.002345</v>
      </c>
      <c r="D95" s="386"/>
    </row>
    <row r="96" spans="2:4">
      <c r="B96" s="107">
        <v>92</v>
      </c>
      <c r="C96" s="526">
        <v>1.002378</v>
      </c>
      <c r="D96" s="386"/>
    </row>
    <row r="97" spans="2:4">
      <c r="B97" s="107">
        <v>93</v>
      </c>
      <c r="C97" s="526">
        <v>1.0024109999999999</v>
      </c>
      <c r="D97" s="386"/>
    </row>
    <row r="98" spans="2:4">
      <c r="B98" s="107">
        <v>94</v>
      </c>
      <c r="C98" s="526">
        <v>1.0024439999999999</v>
      </c>
      <c r="D98" s="386"/>
    </row>
    <row r="99" spans="2:4">
      <c r="B99" s="107">
        <v>95</v>
      </c>
      <c r="C99" s="526">
        <v>1.0024770000000001</v>
      </c>
      <c r="D99" s="386"/>
    </row>
    <row r="100" spans="2:4">
      <c r="B100" s="107">
        <v>96</v>
      </c>
      <c r="C100" s="526">
        <v>1.00251</v>
      </c>
      <c r="D100" s="386"/>
    </row>
    <row r="101" spans="2:4">
      <c r="B101" s="107">
        <v>97</v>
      </c>
      <c r="C101" s="526">
        <v>1.002543</v>
      </c>
      <c r="D101" s="386"/>
    </row>
    <row r="102" spans="2:4">
      <c r="B102" s="107">
        <v>98</v>
      </c>
      <c r="C102" s="526">
        <v>1.0025759999999999</v>
      </c>
      <c r="D102" s="386"/>
    </row>
    <row r="103" spans="2:4">
      <c r="B103" s="107">
        <v>99</v>
      </c>
      <c r="C103" s="526">
        <v>1.0026090000000001</v>
      </c>
      <c r="D103" s="386"/>
    </row>
    <row r="104" spans="2:4">
      <c r="B104" s="107">
        <v>100</v>
      </c>
      <c r="C104" s="526">
        <v>1.002642</v>
      </c>
      <c r="D104" s="386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21:D21"/>
    <mergeCell ref="C95:D95"/>
    <mergeCell ref="C51:D51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2:D12"/>
    <mergeCell ref="C61:D61"/>
    <mergeCell ref="C70:D70"/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4" t="s">
        <v>222</v>
      </c>
      <c r="B1" s="75" t="s">
        <v>223</v>
      </c>
      <c r="C1" s="74" t="s">
        <v>222</v>
      </c>
      <c r="D1" s="76" t="s">
        <v>223</v>
      </c>
      <c r="E1" s="77" t="s">
        <v>222</v>
      </c>
      <c r="F1" s="74" t="s">
        <v>223</v>
      </c>
      <c r="G1" s="74" t="s">
        <v>222</v>
      </c>
      <c r="H1" s="74" t="s">
        <v>223</v>
      </c>
      <c r="I1" s="74" t="s">
        <v>222</v>
      </c>
      <c r="J1" s="74" t="s">
        <v>223</v>
      </c>
      <c r="K1" s="74" t="s">
        <v>222</v>
      </c>
      <c r="L1" s="74" t="s">
        <v>223</v>
      </c>
      <c r="M1" s="76" t="s">
        <v>222</v>
      </c>
      <c r="N1" s="76" t="s">
        <v>223</v>
      </c>
      <c r="O1" s="74" t="s">
        <v>222</v>
      </c>
      <c r="P1" s="74" t="s">
        <v>223</v>
      </c>
      <c r="Q1" s="74" t="s">
        <v>222</v>
      </c>
      <c r="R1" s="74" t="s">
        <v>223</v>
      </c>
      <c r="S1" s="74" t="s">
        <v>222</v>
      </c>
      <c r="T1" s="75" t="s">
        <v>223</v>
      </c>
      <c r="U1" s="74" t="s">
        <v>222</v>
      </c>
      <c r="V1" s="74" t="s">
        <v>223</v>
      </c>
      <c r="W1" s="74" t="s">
        <v>222</v>
      </c>
      <c r="X1" s="74" t="s">
        <v>223</v>
      </c>
      <c r="Y1" s="74" t="s">
        <v>222</v>
      </c>
      <c r="Z1" s="74" t="s">
        <v>223</v>
      </c>
      <c r="AA1" s="74" t="s">
        <v>222</v>
      </c>
      <c r="AB1" s="74" t="s">
        <v>223</v>
      </c>
      <c r="AC1" s="74" t="s">
        <v>222</v>
      </c>
      <c r="AD1" s="74" t="s">
        <v>223</v>
      </c>
      <c r="AE1" s="74" t="s">
        <v>222</v>
      </c>
      <c r="AF1" s="74" t="s">
        <v>223</v>
      </c>
      <c r="AG1" s="74" t="s">
        <v>222</v>
      </c>
      <c r="AH1" s="74" t="s">
        <v>223</v>
      </c>
      <c r="AI1" s="74" t="s">
        <v>222</v>
      </c>
      <c r="AJ1" s="74" t="s">
        <v>223</v>
      </c>
    </row>
    <row r="2" spans="1:36" ht="14.65" customHeight="1">
      <c r="A2" s="78" t="s">
        <v>224</v>
      </c>
      <c r="B2" s="79" t="s">
        <v>225</v>
      </c>
      <c r="C2" s="78" t="s">
        <v>224</v>
      </c>
      <c r="D2" s="80" t="s">
        <v>225</v>
      </c>
      <c r="E2" s="81" t="s">
        <v>224</v>
      </c>
      <c r="F2" s="78" t="s">
        <v>225</v>
      </c>
      <c r="G2" s="78" t="s">
        <v>224</v>
      </c>
      <c r="H2" s="78" t="s">
        <v>225</v>
      </c>
      <c r="I2" s="78" t="s">
        <v>224</v>
      </c>
      <c r="J2" s="78" t="s">
        <v>225</v>
      </c>
      <c r="K2" s="78" t="s">
        <v>224</v>
      </c>
      <c r="L2" s="78" t="s">
        <v>225</v>
      </c>
      <c r="M2" s="80" t="s">
        <v>224</v>
      </c>
      <c r="N2" s="80" t="s">
        <v>225</v>
      </c>
      <c r="O2" s="78" t="s">
        <v>224</v>
      </c>
      <c r="P2" s="78" t="s">
        <v>225</v>
      </c>
      <c r="Q2" s="78" t="s">
        <v>224</v>
      </c>
      <c r="R2" s="78" t="s">
        <v>225</v>
      </c>
      <c r="S2" s="78" t="s">
        <v>224</v>
      </c>
      <c r="T2" s="79" t="s">
        <v>225</v>
      </c>
      <c r="U2" s="78" t="s">
        <v>224</v>
      </c>
      <c r="V2" s="78" t="s">
        <v>225</v>
      </c>
      <c r="W2" s="78" t="s">
        <v>224</v>
      </c>
      <c r="X2" s="78" t="s">
        <v>225</v>
      </c>
      <c r="Y2" s="78" t="s">
        <v>224</v>
      </c>
      <c r="Z2" s="78" t="s">
        <v>225</v>
      </c>
      <c r="AA2" s="78" t="s">
        <v>224</v>
      </c>
      <c r="AB2" s="78" t="s">
        <v>225</v>
      </c>
      <c r="AC2" s="78" t="s">
        <v>224</v>
      </c>
      <c r="AD2" s="78" t="s">
        <v>225</v>
      </c>
      <c r="AE2" s="78" t="s">
        <v>224</v>
      </c>
      <c r="AF2" s="78" t="s">
        <v>225</v>
      </c>
      <c r="AG2" s="78" t="s">
        <v>224</v>
      </c>
      <c r="AH2" s="78" t="s">
        <v>225</v>
      </c>
      <c r="AI2" s="78" t="s">
        <v>224</v>
      </c>
      <c r="AJ2" s="78" t="s">
        <v>225</v>
      </c>
    </row>
    <row r="3" spans="1:36" ht="14.65" customHeight="1">
      <c r="A3" s="528" t="s">
        <v>226</v>
      </c>
      <c r="B3" s="529"/>
      <c r="C3" s="528" t="s">
        <v>227</v>
      </c>
      <c r="D3" s="529"/>
      <c r="E3" s="528" t="s">
        <v>228</v>
      </c>
      <c r="F3" s="529"/>
      <c r="G3" s="528" t="s">
        <v>229</v>
      </c>
      <c r="H3" s="529"/>
      <c r="I3" s="528" t="s">
        <v>230</v>
      </c>
      <c r="J3" s="529"/>
      <c r="K3" s="528" t="s">
        <v>231</v>
      </c>
      <c r="L3" s="529"/>
      <c r="M3" s="532" t="s">
        <v>232</v>
      </c>
      <c r="N3" s="529"/>
      <c r="O3" s="528" t="s">
        <v>233</v>
      </c>
      <c r="P3" s="529"/>
      <c r="Q3" s="528" t="s">
        <v>234</v>
      </c>
      <c r="R3" s="529"/>
      <c r="S3" s="528" t="s">
        <v>235</v>
      </c>
      <c r="T3" s="529"/>
      <c r="U3" s="528" t="s">
        <v>236</v>
      </c>
      <c r="V3" s="529"/>
      <c r="W3" s="528" t="s">
        <v>237</v>
      </c>
      <c r="X3" s="529"/>
      <c r="Y3" s="528" t="s">
        <v>238</v>
      </c>
      <c r="Z3" s="529"/>
      <c r="AA3" s="528" t="s">
        <v>239</v>
      </c>
      <c r="AB3" s="529"/>
      <c r="AC3" s="528" t="s">
        <v>240</v>
      </c>
      <c r="AD3" s="529"/>
      <c r="AE3" s="528" t="s">
        <v>241</v>
      </c>
      <c r="AF3" s="529"/>
      <c r="AG3" s="530" t="s">
        <v>242</v>
      </c>
      <c r="AH3" s="531"/>
      <c r="AI3" s="530" t="s">
        <v>243</v>
      </c>
      <c r="AJ3" s="531"/>
    </row>
    <row r="4" spans="1:36" ht="14.25" customHeight="1">
      <c r="A4" s="82">
        <v>0</v>
      </c>
      <c r="B4" s="84">
        <v>0</v>
      </c>
      <c r="C4" s="82">
        <v>0</v>
      </c>
      <c r="D4" s="84">
        <v>0</v>
      </c>
      <c r="E4" s="82">
        <v>0</v>
      </c>
      <c r="F4" s="84">
        <v>0</v>
      </c>
      <c r="G4" s="82">
        <v>0</v>
      </c>
      <c r="H4" s="84">
        <v>0</v>
      </c>
      <c r="I4" s="82">
        <v>0</v>
      </c>
      <c r="J4" s="84">
        <v>0</v>
      </c>
      <c r="K4" s="82">
        <v>0</v>
      </c>
      <c r="L4" s="84">
        <v>0</v>
      </c>
      <c r="M4" s="82">
        <v>0</v>
      </c>
      <c r="N4" s="84">
        <v>0</v>
      </c>
      <c r="O4" s="82">
        <v>0</v>
      </c>
      <c r="P4" s="84">
        <v>0</v>
      </c>
      <c r="Q4" s="82">
        <v>0</v>
      </c>
      <c r="R4" s="84">
        <v>0</v>
      </c>
      <c r="S4" s="82">
        <v>0</v>
      </c>
      <c r="T4" s="84">
        <v>0</v>
      </c>
      <c r="U4" s="82">
        <v>0</v>
      </c>
      <c r="V4" s="84">
        <v>0</v>
      </c>
      <c r="W4" s="82">
        <v>0</v>
      </c>
      <c r="X4" s="84">
        <v>0</v>
      </c>
      <c r="Y4" s="82">
        <v>0</v>
      </c>
      <c r="Z4" s="84">
        <v>0</v>
      </c>
      <c r="AA4" s="82">
        <v>0</v>
      </c>
      <c r="AB4" s="84">
        <v>0</v>
      </c>
      <c r="AC4" s="82">
        <v>0</v>
      </c>
      <c r="AD4" s="84">
        <v>0</v>
      </c>
      <c r="AE4" s="82">
        <v>0</v>
      </c>
      <c r="AF4" s="84">
        <v>0</v>
      </c>
      <c r="AG4" s="82">
        <v>0</v>
      </c>
      <c r="AH4" s="84">
        <v>0</v>
      </c>
      <c r="AI4" s="82">
        <v>0</v>
      </c>
      <c r="AJ4" s="84">
        <v>0</v>
      </c>
    </row>
    <row r="5" spans="1:36" ht="14.25" customHeight="1">
      <c r="A5" s="83">
        <v>669</v>
      </c>
      <c r="B5" s="84">
        <v>798.25</v>
      </c>
      <c r="C5" s="83">
        <v>674</v>
      </c>
      <c r="D5" s="85">
        <v>792.41600000000005</v>
      </c>
      <c r="E5" s="86">
        <v>663</v>
      </c>
      <c r="F5" s="85">
        <v>1635.7249999999999</v>
      </c>
      <c r="G5" s="87">
        <v>665</v>
      </c>
      <c r="H5" s="85">
        <v>1635.1179999999999</v>
      </c>
      <c r="I5" s="87">
        <v>667</v>
      </c>
      <c r="J5" s="85">
        <v>1381.511</v>
      </c>
      <c r="K5" s="87">
        <v>665</v>
      </c>
      <c r="L5" s="85">
        <v>1382.3910000000001</v>
      </c>
      <c r="M5" s="87">
        <v>664</v>
      </c>
      <c r="N5" s="85">
        <v>1382.008</v>
      </c>
      <c r="O5" s="87">
        <v>643</v>
      </c>
      <c r="P5" s="85">
        <v>1382.3109999999999</v>
      </c>
      <c r="Q5" s="87">
        <v>661</v>
      </c>
      <c r="R5" s="85">
        <v>1382.123</v>
      </c>
      <c r="S5" s="87">
        <v>665</v>
      </c>
      <c r="T5" s="85">
        <v>1382.028</v>
      </c>
      <c r="U5" s="87">
        <v>657</v>
      </c>
      <c r="V5" s="85">
        <v>1379.8209999999999</v>
      </c>
      <c r="W5" s="87">
        <v>660</v>
      </c>
      <c r="X5" s="85">
        <v>1380.4939999999999</v>
      </c>
      <c r="Y5" s="87">
        <v>660</v>
      </c>
      <c r="Z5" s="85">
        <v>1378.598</v>
      </c>
      <c r="AA5" s="87">
        <v>667</v>
      </c>
      <c r="AB5" s="85">
        <v>1377.4590000000001</v>
      </c>
      <c r="AC5" s="87">
        <v>653</v>
      </c>
      <c r="AD5" s="85">
        <v>1302.566</v>
      </c>
      <c r="AE5" s="87">
        <v>668</v>
      </c>
      <c r="AF5" s="85">
        <v>1302.5160000000001</v>
      </c>
      <c r="AG5" s="87">
        <v>641</v>
      </c>
      <c r="AH5" s="85">
        <v>382.14299999999997</v>
      </c>
      <c r="AI5" s="87">
        <v>641</v>
      </c>
      <c r="AJ5" s="85">
        <v>398.59199999999998</v>
      </c>
    </row>
    <row r="6" spans="1:36" ht="14.25" customHeight="1">
      <c r="A6" s="88">
        <v>670</v>
      </c>
      <c r="B6" s="84">
        <v>798.23500000000001</v>
      </c>
      <c r="C6" s="88">
        <v>680</v>
      </c>
      <c r="D6" s="85">
        <v>792.34799999999996</v>
      </c>
      <c r="E6" s="86">
        <v>670</v>
      </c>
      <c r="F6" s="85">
        <v>1635.6969999999999</v>
      </c>
      <c r="G6" s="87">
        <v>670</v>
      </c>
      <c r="H6" s="85">
        <v>1635.0930000000001</v>
      </c>
      <c r="I6" s="87">
        <v>670</v>
      </c>
      <c r="J6" s="85">
        <v>1381.498</v>
      </c>
      <c r="K6" s="87">
        <v>670</v>
      </c>
      <c r="L6" s="85">
        <v>1382.2929999999999</v>
      </c>
      <c r="M6" s="87">
        <v>670</v>
      </c>
      <c r="N6" s="85">
        <v>1381.8969999999999</v>
      </c>
      <c r="O6" s="87">
        <v>650</v>
      </c>
      <c r="P6" s="85">
        <v>1382.3050000000001</v>
      </c>
      <c r="Q6" s="87">
        <v>670</v>
      </c>
      <c r="R6" s="85">
        <v>1382.056</v>
      </c>
      <c r="S6" s="87">
        <v>670</v>
      </c>
      <c r="T6" s="85">
        <v>1382.018</v>
      </c>
      <c r="U6" s="87">
        <v>660</v>
      </c>
      <c r="V6" s="85">
        <v>1379.8130000000001</v>
      </c>
      <c r="W6" s="87">
        <v>670</v>
      </c>
      <c r="X6" s="85">
        <v>1380.443</v>
      </c>
      <c r="Y6" s="87">
        <v>670</v>
      </c>
      <c r="Z6" s="85">
        <v>1378.5319999999999</v>
      </c>
      <c r="AA6" s="87">
        <v>670</v>
      </c>
      <c r="AB6" s="85">
        <v>1377.4459999999999</v>
      </c>
      <c r="AC6" s="87">
        <v>660</v>
      </c>
      <c r="AD6" s="85">
        <v>1302.4580000000001</v>
      </c>
      <c r="AE6" s="87">
        <v>670</v>
      </c>
      <c r="AF6" s="85">
        <v>1302.5050000000001</v>
      </c>
      <c r="AG6" s="87">
        <v>650</v>
      </c>
      <c r="AH6" s="85">
        <v>382.13</v>
      </c>
      <c r="AI6" s="87">
        <v>650</v>
      </c>
      <c r="AJ6" s="85">
        <v>398.56099999999998</v>
      </c>
    </row>
    <row r="7" spans="1:36" ht="14.25" customHeight="1">
      <c r="A7" s="88">
        <v>680</v>
      </c>
      <c r="B7" s="84">
        <v>798.08799999999997</v>
      </c>
      <c r="C7" s="88">
        <v>690</v>
      </c>
      <c r="D7" s="85">
        <v>792.19200000000001</v>
      </c>
      <c r="E7" s="86">
        <v>680</v>
      </c>
      <c r="F7" s="85">
        <v>1635.4880000000001</v>
      </c>
      <c r="G7" s="87">
        <v>680</v>
      </c>
      <c r="H7" s="85">
        <v>1634.9159999999999</v>
      </c>
      <c r="I7" s="87">
        <v>680</v>
      </c>
      <c r="J7" s="85">
        <v>1381.393</v>
      </c>
      <c r="K7" s="87">
        <v>680</v>
      </c>
      <c r="L7" s="85">
        <v>1382.0709999999999</v>
      </c>
      <c r="M7" s="87">
        <v>680</v>
      </c>
      <c r="N7" s="85">
        <v>1381.6769999999999</v>
      </c>
      <c r="O7" s="87">
        <v>660</v>
      </c>
      <c r="P7" s="85">
        <v>1382.1130000000001</v>
      </c>
      <c r="Q7" s="87">
        <v>680</v>
      </c>
      <c r="R7" s="85">
        <v>1381.84</v>
      </c>
      <c r="S7" s="87">
        <v>680</v>
      </c>
      <c r="T7" s="85">
        <v>1381.8879999999999</v>
      </c>
      <c r="U7" s="87">
        <v>670</v>
      </c>
      <c r="V7" s="85">
        <v>1379.72</v>
      </c>
      <c r="W7" s="87">
        <v>680</v>
      </c>
      <c r="X7" s="85">
        <v>1380.2159999999999</v>
      </c>
      <c r="Y7" s="87">
        <v>680</v>
      </c>
      <c r="Z7" s="85">
        <v>1378.3019999999999</v>
      </c>
      <c r="AA7" s="87">
        <v>680</v>
      </c>
      <c r="AB7" s="85">
        <v>1377.3389999999999</v>
      </c>
      <c r="AC7" s="87">
        <v>670</v>
      </c>
      <c r="AD7" s="85">
        <v>1302.249</v>
      </c>
      <c r="AE7" s="87">
        <v>680</v>
      </c>
      <c r="AF7" s="85">
        <v>1302.4169999999999</v>
      </c>
      <c r="AG7" s="87">
        <v>660</v>
      </c>
      <c r="AH7" s="85">
        <v>382.05399999999997</v>
      </c>
      <c r="AI7" s="87">
        <v>660</v>
      </c>
      <c r="AJ7" s="85">
        <v>398.47500000000002</v>
      </c>
    </row>
    <row r="8" spans="1:36" ht="14.25" customHeight="1">
      <c r="A8" s="88">
        <v>690</v>
      </c>
      <c r="B8" s="84">
        <v>797.89</v>
      </c>
      <c r="C8" s="88">
        <v>700</v>
      </c>
      <c r="D8" s="85">
        <v>791.99699999999996</v>
      </c>
      <c r="E8" s="86">
        <v>690</v>
      </c>
      <c r="F8" s="85">
        <v>1635.211</v>
      </c>
      <c r="G8" s="87">
        <v>690</v>
      </c>
      <c r="H8" s="85">
        <v>1634.63</v>
      </c>
      <c r="I8" s="87">
        <v>690</v>
      </c>
      <c r="J8" s="85">
        <v>1381.146</v>
      </c>
      <c r="K8" s="87">
        <v>690</v>
      </c>
      <c r="L8" s="85">
        <v>1381.8150000000001</v>
      </c>
      <c r="M8" s="87">
        <v>690</v>
      </c>
      <c r="N8" s="85">
        <v>1381.42</v>
      </c>
      <c r="O8" s="87">
        <v>670</v>
      </c>
      <c r="P8" s="85">
        <v>1381.856</v>
      </c>
      <c r="Q8" s="87">
        <v>690</v>
      </c>
      <c r="R8" s="85">
        <v>1381.588</v>
      </c>
      <c r="S8" s="87">
        <v>690</v>
      </c>
      <c r="T8" s="85">
        <v>1381.6410000000001</v>
      </c>
      <c r="U8" s="87">
        <v>680</v>
      </c>
      <c r="V8" s="85">
        <v>1379.491</v>
      </c>
      <c r="W8" s="87">
        <v>690</v>
      </c>
      <c r="X8" s="85">
        <v>1379.9649999999999</v>
      </c>
      <c r="Y8" s="87">
        <v>690</v>
      </c>
      <c r="Z8" s="85">
        <v>1378.05</v>
      </c>
      <c r="AA8" s="87">
        <v>690</v>
      </c>
      <c r="AB8" s="85">
        <v>1377.1</v>
      </c>
      <c r="AC8" s="87">
        <v>680</v>
      </c>
      <c r="AD8" s="85">
        <v>1302.002</v>
      </c>
      <c r="AE8" s="87">
        <v>690</v>
      </c>
      <c r="AF8" s="85">
        <v>1302.1959999999999</v>
      </c>
      <c r="AG8" s="87">
        <v>670</v>
      </c>
      <c r="AH8" s="85">
        <v>381.97199999999998</v>
      </c>
      <c r="AI8" s="87">
        <v>670</v>
      </c>
      <c r="AJ8" s="85">
        <v>398.37799999999999</v>
      </c>
    </row>
    <row r="9" spans="1:36" ht="14.25" customHeight="1">
      <c r="A9" s="88">
        <v>700</v>
      </c>
      <c r="B9" s="84">
        <v>797.67</v>
      </c>
      <c r="C9" s="88">
        <v>710</v>
      </c>
      <c r="D9" s="85">
        <v>791.78</v>
      </c>
      <c r="E9" s="86">
        <v>700</v>
      </c>
      <c r="F9" s="85">
        <v>1634.904</v>
      </c>
      <c r="G9" s="87">
        <v>700</v>
      </c>
      <c r="H9" s="85">
        <v>1634.3130000000001</v>
      </c>
      <c r="I9" s="87">
        <v>700</v>
      </c>
      <c r="J9" s="85">
        <v>1380.876</v>
      </c>
      <c r="K9" s="87">
        <v>700</v>
      </c>
      <c r="L9" s="85">
        <v>1381.5340000000001</v>
      </c>
      <c r="M9" s="87">
        <v>700</v>
      </c>
      <c r="N9" s="85">
        <v>1381.1379999999999</v>
      </c>
      <c r="O9" s="87">
        <v>680</v>
      </c>
      <c r="P9" s="85">
        <v>1381.576</v>
      </c>
      <c r="Q9" s="87">
        <v>700</v>
      </c>
      <c r="R9" s="85">
        <v>1381.3130000000001</v>
      </c>
      <c r="S9" s="87">
        <v>700</v>
      </c>
      <c r="T9" s="85">
        <v>1381.3689999999999</v>
      </c>
      <c r="U9" s="87">
        <v>690</v>
      </c>
      <c r="V9" s="85">
        <v>1379.2370000000001</v>
      </c>
      <c r="W9" s="87">
        <v>700</v>
      </c>
      <c r="X9" s="85">
        <v>1379.69</v>
      </c>
      <c r="Y9" s="87">
        <v>700</v>
      </c>
      <c r="Z9" s="85">
        <v>1377.7739999999999</v>
      </c>
      <c r="AA9" s="87">
        <v>700</v>
      </c>
      <c r="AB9" s="85">
        <v>1376.837</v>
      </c>
      <c r="AC9" s="87">
        <v>690</v>
      </c>
      <c r="AD9" s="85">
        <v>1301.732</v>
      </c>
      <c r="AE9" s="87">
        <v>700</v>
      </c>
      <c r="AF9" s="85">
        <v>1301.951</v>
      </c>
      <c r="AG9" s="87">
        <v>680</v>
      </c>
      <c r="AH9" s="85">
        <v>381.88400000000001</v>
      </c>
      <c r="AI9" s="87">
        <v>680</v>
      </c>
      <c r="AJ9" s="85">
        <v>398.27499999999998</v>
      </c>
    </row>
    <row r="10" spans="1:36" ht="14.25" customHeight="1">
      <c r="A10" s="88">
        <v>710</v>
      </c>
      <c r="B10" s="84">
        <v>797.428</v>
      </c>
      <c r="C10" s="88">
        <v>720</v>
      </c>
      <c r="D10" s="85">
        <v>791.54</v>
      </c>
      <c r="E10" s="86">
        <v>710</v>
      </c>
      <c r="F10" s="85">
        <v>1634.567</v>
      </c>
      <c r="G10" s="87">
        <v>710</v>
      </c>
      <c r="H10" s="85">
        <v>1633.9649999999999</v>
      </c>
      <c r="I10" s="87">
        <v>710</v>
      </c>
      <c r="J10" s="85">
        <v>1380.5820000000001</v>
      </c>
      <c r="K10" s="87">
        <v>710</v>
      </c>
      <c r="L10" s="85">
        <v>1381.2280000000001</v>
      </c>
      <c r="M10" s="87">
        <v>710</v>
      </c>
      <c r="N10" s="85">
        <v>1380.8320000000001</v>
      </c>
      <c r="O10" s="87">
        <v>690</v>
      </c>
      <c r="P10" s="85">
        <v>1381.2719999999999</v>
      </c>
      <c r="Q10" s="87">
        <v>710</v>
      </c>
      <c r="R10" s="85">
        <v>1381.0129999999999</v>
      </c>
      <c r="S10" s="87">
        <v>710</v>
      </c>
      <c r="T10" s="85">
        <v>1381.0740000000001</v>
      </c>
      <c r="U10" s="87">
        <v>700</v>
      </c>
      <c r="V10" s="85">
        <v>1378.9580000000001</v>
      </c>
      <c r="W10" s="87">
        <v>710</v>
      </c>
      <c r="X10" s="85">
        <v>1379.39</v>
      </c>
      <c r="Y10" s="87">
        <v>710</v>
      </c>
      <c r="Z10" s="85">
        <v>1377.4760000000001</v>
      </c>
      <c r="AA10" s="87">
        <v>710</v>
      </c>
      <c r="AB10" s="85">
        <v>1376.55</v>
      </c>
      <c r="AC10" s="87">
        <v>700</v>
      </c>
      <c r="AD10" s="85">
        <v>1301.4380000000001</v>
      </c>
      <c r="AE10" s="87">
        <v>710</v>
      </c>
      <c r="AF10" s="85">
        <v>1301.682</v>
      </c>
      <c r="AG10" s="87">
        <v>690</v>
      </c>
      <c r="AH10" s="85">
        <v>381.78899999999999</v>
      </c>
      <c r="AI10" s="87">
        <v>690</v>
      </c>
      <c r="AJ10" s="85">
        <v>398.166</v>
      </c>
    </row>
    <row r="11" spans="1:36" ht="14.25" customHeight="1">
      <c r="A11" s="88">
        <v>720</v>
      </c>
      <c r="B11" s="84">
        <v>797.16499999999996</v>
      </c>
      <c r="C11" s="88">
        <v>730</v>
      </c>
      <c r="D11" s="85">
        <v>791.27800000000002</v>
      </c>
      <c r="E11" s="86">
        <v>720</v>
      </c>
      <c r="F11" s="85">
        <v>1634.201</v>
      </c>
      <c r="G11" s="87">
        <v>720</v>
      </c>
      <c r="H11" s="85">
        <v>1633.585</v>
      </c>
      <c r="I11" s="87">
        <v>720</v>
      </c>
      <c r="J11" s="85">
        <v>1380.2629999999999</v>
      </c>
      <c r="K11" s="87">
        <v>720</v>
      </c>
      <c r="L11" s="85">
        <v>1380.8969999999999</v>
      </c>
      <c r="M11" s="87">
        <v>720</v>
      </c>
      <c r="N11" s="85">
        <v>1380.502</v>
      </c>
      <c r="O11" s="87">
        <v>700</v>
      </c>
      <c r="P11" s="85">
        <v>1380.944</v>
      </c>
      <c r="Q11" s="87">
        <v>720</v>
      </c>
      <c r="R11" s="85">
        <v>1380.6890000000001</v>
      </c>
      <c r="S11" s="87">
        <v>720</v>
      </c>
      <c r="T11" s="85">
        <v>1380.7539999999999</v>
      </c>
      <c r="U11" s="87">
        <v>710</v>
      </c>
      <c r="V11" s="85">
        <v>1378.655</v>
      </c>
      <c r="W11" s="87">
        <v>720</v>
      </c>
      <c r="X11" s="85">
        <v>1379.066</v>
      </c>
      <c r="Y11" s="87">
        <v>720</v>
      </c>
      <c r="Z11" s="85">
        <v>1377.154</v>
      </c>
      <c r="AA11" s="87">
        <v>720</v>
      </c>
      <c r="AB11" s="85">
        <v>1376.239</v>
      </c>
      <c r="AC11" s="87">
        <v>710</v>
      </c>
      <c r="AD11" s="85">
        <v>1301.1189999999999</v>
      </c>
      <c r="AE11" s="87">
        <v>720</v>
      </c>
      <c r="AF11" s="85">
        <v>1301.3879999999999</v>
      </c>
      <c r="AG11" s="87">
        <v>700</v>
      </c>
      <c r="AH11" s="85">
        <v>381.68700000000001</v>
      </c>
      <c r="AI11" s="87">
        <v>700</v>
      </c>
      <c r="AJ11" s="85">
        <v>398.04899999999998</v>
      </c>
    </row>
    <row r="12" spans="1:36" ht="14.25" customHeight="1">
      <c r="A12" s="88">
        <v>730</v>
      </c>
      <c r="B12" s="84">
        <v>796.88099999999997</v>
      </c>
      <c r="C12" s="88">
        <v>740</v>
      </c>
      <c r="D12" s="85">
        <v>790.99300000000005</v>
      </c>
      <c r="E12" s="86">
        <v>730</v>
      </c>
      <c r="F12" s="85">
        <v>1633.8050000000001</v>
      </c>
      <c r="G12" s="87">
        <v>730</v>
      </c>
      <c r="H12" s="85">
        <v>1633.173</v>
      </c>
      <c r="I12" s="87">
        <v>730</v>
      </c>
      <c r="J12" s="85">
        <v>1379.92</v>
      </c>
      <c r="K12" s="87">
        <v>730</v>
      </c>
      <c r="L12" s="85">
        <v>1380.54</v>
      </c>
      <c r="M12" s="87">
        <v>730</v>
      </c>
      <c r="N12" s="85">
        <v>1380.1469999999999</v>
      </c>
      <c r="O12" s="87">
        <v>710</v>
      </c>
      <c r="P12" s="85">
        <v>1380.5930000000001</v>
      </c>
      <c r="Q12" s="87">
        <v>730</v>
      </c>
      <c r="R12" s="85">
        <v>1380.3409999999999</v>
      </c>
      <c r="S12" s="87">
        <v>730</v>
      </c>
      <c r="T12" s="85">
        <v>1380.4110000000001</v>
      </c>
      <c r="U12" s="87">
        <v>720</v>
      </c>
      <c r="V12" s="85">
        <v>1378.327</v>
      </c>
      <c r="W12" s="87">
        <v>730</v>
      </c>
      <c r="X12" s="85">
        <v>1378.7180000000001</v>
      </c>
      <c r="Y12" s="87">
        <v>730</v>
      </c>
      <c r="Z12" s="85">
        <v>1376.809</v>
      </c>
      <c r="AA12" s="87">
        <v>730</v>
      </c>
      <c r="AB12" s="85">
        <v>1375.905</v>
      </c>
      <c r="AC12" s="87">
        <v>720</v>
      </c>
      <c r="AD12" s="85">
        <v>1300.777</v>
      </c>
      <c r="AE12" s="87">
        <v>730</v>
      </c>
      <c r="AF12" s="85">
        <v>1301.07</v>
      </c>
      <c r="AG12" s="87">
        <v>710</v>
      </c>
      <c r="AH12" s="85">
        <v>381.57799999999997</v>
      </c>
      <c r="AI12" s="87">
        <v>710</v>
      </c>
      <c r="AJ12" s="85">
        <v>397.92599999999999</v>
      </c>
    </row>
    <row r="13" spans="1:36" ht="14.25" customHeight="1">
      <c r="A13" s="88">
        <v>740</v>
      </c>
      <c r="B13" s="84">
        <v>796.57500000000005</v>
      </c>
      <c r="C13" s="88">
        <v>750</v>
      </c>
      <c r="D13" s="85">
        <v>790.68499999999995</v>
      </c>
      <c r="E13" s="86">
        <v>740</v>
      </c>
      <c r="F13" s="85">
        <v>1633.3789999999999</v>
      </c>
      <c r="G13" s="87">
        <v>740</v>
      </c>
      <c r="H13" s="85">
        <v>1632.731</v>
      </c>
      <c r="I13" s="87">
        <v>740</v>
      </c>
      <c r="J13" s="85">
        <v>1379.5530000000001</v>
      </c>
      <c r="K13" s="87">
        <v>740</v>
      </c>
      <c r="L13" s="85">
        <v>1380.1579999999999</v>
      </c>
      <c r="M13" s="87">
        <v>740</v>
      </c>
      <c r="N13" s="85">
        <v>1379.7670000000001</v>
      </c>
      <c r="O13" s="87">
        <v>720</v>
      </c>
      <c r="P13" s="85">
        <v>1380.2190000000001</v>
      </c>
      <c r="Q13" s="87">
        <v>740</v>
      </c>
      <c r="R13" s="85">
        <v>1379.97</v>
      </c>
      <c r="S13" s="87">
        <v>740</v>
      </c>
      <c r="T13" s="85">
        <v>1380.0440000000001</v>
      </c>
      <c r="U13" s="87">
        <v>730</v>
      </c>
      <c r="V13" s="85">
        <v>1377.9739999999999</v>
      </c>
      <c r="W13" s="87">
        <v>740</v>
      </c>
      <c r="X13" s="85">
        <v>1378.346</v>
      </c>
      <c r="Y13" s="87">
        <v>740</v>
      </c>
      <c r="Z13" s="85">
        <v>1376.44</v>
      </c>
      <c r="AA13" s="87">
        <v>740</v>
      </c>
      <c r="AB13" s="85">
        <v>1375.546</v>
      </c>
      <c r="AC13" s="87">
        <v>730</v>
      </c>
      <c r="AD13" s="85">
        <v>1300.4110000000001</v>
      </c>
      <c r="AE13" s="87">
        <v>740</v>
      </c>
      <c r="AF13" s="85">
        <v>1300.7270000000001</v>
      </c>
      <c r="AG13" s="87">
        <v>720</v>
      </c>
      <c r="AH13" s="85">
        <v>381.46199999999999</v>
      </c>
      <c r="AI13" s="87">
        <v>720</v>
      </c>
      <c r="AJ13" s="85">
        <v>397.79500000000002</v>
      </c>
    </row>
    <row r="14" spans="1:36" ht="14.25" customHeight="1">
      <c r="A14" s="88">
        <v>750</v>
      </c>
      <c r="B14" s="84">
        <v>796.24800000000005</v>
      </c>
      <c r="C14" s="88">
        <v>760</v>
      </c>
      <c r="D14" s="85">
        <v>790.35699999999997</v>
      </c>
      <c r="E14" s="86">
        <v>750</v>
      </c>
      <c r="F14" s="85">
        <v>1632.925</v>
      </c>
      <c r="G14" s="87">
        <v>750</v>
      </c>
      <c r="H14" s="85">
        <v>1632.2570000000001</v>
      </c>
      <c r="I14" s="87">
        <v>750</v>
      </c>
      <c r="J14" s="85">
        <v>1379.162</v>
      </c>
      <c r="K14" s="87">
        <v>750</v>
      </c>
      <c r="L14" s="85">
        <v>1379.751</v>
      </c>
      <c r="M14" s="87">
        <v>750</v>
      </c>
      <c r="N14" s="85">
        <v>1379.3630000000001</v>
      </c>
      <c r="O14" s="87">
        <v>730</v>
      </c>
      <c r="P14" s="85">
        <v>1379.82</v>
      </c>
      <c r="Q14" s="87">
        <v>750</v>
      </c>
      <c r="R14" s="85">
        <v>1379.5740000000001</v>
      </c>
      <c r="S14" s="87">
        <v>750</v>
      </c>
      <c r="T14" s="85">
        <v>1379.653</v>
      </c>
      <c r="U14" s="87">
        <v>740</v>
      </c>
      <c r="V14" s="85">
        <v>1377.597</v>
      </c>
      <c r="W14" s="87">
        <v>750</v>
      </c>
      <c r="X14" s="85">
        <v>1377.9490000000001</v>
      </c>
      <c r="Y14" s="87">
        <v>750</v>
      </c>
      <c r="Z14" s="85">
        <v>1376.049</v>
      </c>
      <c r="AA14" s="87">
        <v>750</v>
      </c>
      <c r="AB14" s="85">
        <v>1375.164</v>
      </c>
      <c r="AC14" s="87">
        <v>740</v>
      </c>
      <c r="AD14" s="85">
        <v>1300.021</v>
      </c>
      <c r="AE14" s="87">
        <v>750</v>
      </c>
      <c r="AF14" s="85">
        <v>1300.3610000000001</v>
      </c>
      <c r="AG14" s="87">
        <v>730</v>
      </c>
      <c r="AH14" s="85">
        <v>381.33699999999999</v>
      </c>
      <c r="AI14" s="87">
        <v>730</v>
      </c>
      <c r="AJ14" s="85">
        <v>397.65600000000001</v>
      </c>
    </row>
    <row r="15" spans="1:36" ht="14.25" customHeight="1">
      <c r="A15" s="88">
        <v>760</v>
      </c>
      <c r="B15" s="84">
        <v>795.90099999999995</v>
      </c>
      <c r="C15" s="88">
        <v>770</v>
      </c>
      <c r="D15" s="85">
        <v>790.00800000000004</v>
      </c>
      <c r="E15" s="86">
        <v>760</v>
      </c>
      <c r="F15" s="85">
        <v>1632.44</v>
      </c>
      <c r="G15" s="87">
        <v>760</v>
      </c>
      <c r="H15" s="85">
        <v>1631.752</v>
      </c>
      <c r="I15" s="87">
        <v>760</v>
      </c>
      <c r="J15" s="85">
        <v>1378.7470000000001</v>
      </c>
      <c r="K15" s="87">
        <v>760</v>
      </c>
      <c r="L15" s="85">
        <v>1379.319</v>
      </c>
      <c r="M15" s="87">
        <v>760</v>
      </c>
      <c r="N15" s="85">
        <v>1378.9349999999999</v>
      </c>
      <c r="O15" s="87">
        <v>740</v>
      </c>
      <c r="P15" s="85">
        <v>1379.3989999999999</v>
      </c>
      <c r="Q15" s="87">
        <v>760</v>
      </c>
      <c r="R15" s="85">
        <v>1379.153</v>
      </c>
      <c r="S15" s="87">
        <v>760</v>
      </c>
      <c r="T15" s="85">
        <v>1379.2370000000001</v>
      </c>
      <c r="U15" s="87">
        <v>750</v>
      </c>
      <c r="V15" s="85">
        <v>1377.1949999999999</v>
      </c>
      <c r="W15" s="87">
        <v>760</v>
      </c>
      <c r="X15" s="85">
        <v>1377.528</v>
      </c>
      <c r="Y15" s="87">
        <v>760</v>
      </c>
      <c r="Z15" s="85">
        <v>1375.634</v>
      </c>
      <c r="AA15" s="87">
        <v>760</v>
      </c>
      <c r="AB15" s="85">
        <v>1374.758</v>
      </c>
      <c r="AC15" s="87">
        <v>750</v>
      </c>
      <c r="AD15" s="85">
        <v>1299.607</v>
      </c>
      <c r="AE15" s="87">
        <v>760</v>
      </c>
      <c r="AF15" s="85">
        <v>1299.97</v>
      </c>
      <c r="AG15" s="87">
        <v>740</v>
      </c>
      <c r="AH15" s="85">
        <v>381.20299999999997</v>
      </c>
      <c r="AI15" s="87">
        <v>740</v>
      </c>
      <c r="AJ15" s="85">
        <v>397.50799999999998</v>
      </c>
    </row>
    <row r="16" spans="1:36" ht="14.25" customHeight="1">
      <c r="A16" s="88">
        <v>770</v>
      </c>
      <c r="B16" s="84">
        <v>795.53499999999997</v>
      </c>
      <c r="C16" s="88">
        <v>780</v>
      </c>
      <c r="D16" s="85">
        <v>789.63800000000003</v>
      </c>
      <c r="E16" s="86">
        <v>770</v>
      </c>
      <c r="F16" s="85">
        <v>1631.9259999999999</v>
      </c>
      <c r="G16" s="87">
        <v>770</v>
      </c>
      <c r="H16" s="85">
        <v>1631.2149999999999</v>
      </c>
      <c r="I16" s="87">
        <v>770</v>
      </c>
      <c r="J16" s="85">
        <v>1378.307</v>
      </c>
      <c r="K16" s="87">
        <v>770</v>
      </c>
      <c r="L16" s="85">
        <v>1378.8620000000001</v>
      </c>
      <c r="M16" s="87">
        <v>770</v>
      </c>
      <c r="N16" s="85">
        <v>1378.482</v>
      </c>
      <c r="O16" s="87">
        <v>750</v>
      </c>
      <c r="P16" s="85">
        <v>1378.953</v>
      </c>
      <c r="Q16" s="87">
        <v>770</v>
      </c>
      <c r="R16" s="85">
        <v>1378.7090000000001</v>
      </c>
      <c r="S16" s="87">
        <v>770</v>
      </c>
      <c r="T16" s="85">
        <v>1378.798</v>
      </c>
      <c r="U16" s="87">
        <v>760</v>
      </c>
      <c r="V16" s="85">
        <v>1376.768</v>
      </c>
      <c r="W16" s="87">
        <v>770</v>
      </c>
      <c r="X16" s="85">
        <v>1377.0830000000001</v>
      </c>
      <c r="Y16" s="87">
        <v>770</v>
      </c>
      <c r="Z16" s="85">
        <v>1375.1969999999999</v>
      </c>
      <c r="AA16" s="87">
        <v>770</v>
      </c>
      <c r="AB16" s="85">
        <v>1374.328</v>
      </c>
      <c r="AC16" s="87">
        <v>760</v>
      </c>
      <c r="AD16" s="85">
        <v>1299.1690000000001</v>
      </c>
      <c r="AE16" s="87">
        <v>770</v>
      </c>
      <c r="AF16" s="85">
        <v>1299.5540000000001</v>
      </c>
      <c r="AG16" s="87">
        <v>750</v>
      </c>
      <c r="AH16" s="85">
        <v>381.06</v>
      </c>
      <c r="AI16" s="87">
        <v>750</v>
      </c>
      <c r="AJ16" s="85">
        <v>397.35199999999998</v>
      </c>
    </row>
    <row r="17" spans="1:36" ht="14.25" customHeight="1">
      <c r="A17" s="88">
        <v>780</v>
      </c>
      <c r="B17" s="84">
        <v>795.15</v>
      </c>
      <c r="C17" s="88">
        <v>790</v>
      </c>
      <c r="D17" s="85">
        <v>789.24800000000005</v>
      </c>
      <c r="E17" s="86">
        <v>780</v>
      </c>
      <c r="F17" s="85">
        <v>1631.3820000000001</v>
      </c>
      <c r="G17" s="87">
        <v>780</v>
      </c>
      <c r="H17" s="85">
        <v>1630.6469999999999</v>
      </c>
      <c r="I17" s="87">
        <v>780</v>
      </c>
      <c r="J17" s="85">
        <v>1377.8430000000001</v>
      </c>
      <c r="K17" s="87">
        <v>780</v>
      </c>
      <c r="L17" s="85">
        <v>1378.3789999999999</v>
      </c>
      <c r="M17" s="87">
        <v>780</v>
      </c>
      <c r="N17" s="85">
        <v>1378.0039999999999</v>
      </c>
      <c r="O17" s="87">
        <v>760</v>
      </c>
      <c r="P17" s="85">
        <v>1378.4839999999999</v>
      </c>
      <c r="Q17" s="87">
        <v>780</v>
      </c>
      <c r="R17" s="85">
        <v>1378.241</v>
      </c>
      <c r="S17" s="87">
        <v>780</v>
      </c>
      <c r="T17" s="85">
        <v>1378.335</v>
      </c>
      <c r="U17" s="87">
        <v>770</v>
      </c>
      <c r="V17" s="85">
        <v>1376.317</v>
      </c>
      <c r="W17" s="87">
        <v>780</v>
      </c>
      <c r="X17" s="85">
        <v>1376.614</v>
      </c>
      <c r="Y17" s="87">
        <v>780</v>
      </c>
      <c r="Z17" s="85">
        <v>1374.7360000000001</v>
      </c>
      <c r="AA17" s="87">
        <v>780</v>
      </c>
      <c r="AB17" s="85">
        <v>1373.874</v>
      </c>
      <c r="AC17" s="87">
        <v>770</v>
      </c>
      <c r="AD17" s="85">
        <v>1298.7070000000001</v>
      </c>
      <c r="AE17" s="87">
        <v>780</v>
      </c>
      <c r="AF17" s="85">
        <v>1299.114</v>
      </c>
      <c r="AG17" s="87">
        <v>760</v>
      </c>
      <c r="AH17" s="85">
        <v>380.90800000000002</v>
      </c>
      <c r="AI17" s="87">
        <v>760</v>
      </c>
      <c r="AJ17" s="85">
        <v>397.18700000000001</v>
      </c>
    </row>
    <row r="18" spans="1:36" ht="14.25" customHeight="1">
      <c r="A18" s="88">
        <v>790</v>
      </c>
      <c r="B18" s="84">
        <v>794.745</v>
      </c>
      <c r="C18" s="88">
        <v>800</v>
      </c>
      <c r="D18" s="85">
        <v>788.83799999999997</v>
      </c>
      <c r="E18" s="86">
        <v>790</v>
      </c>
      <c r="F18" s="85">
        <v>1630.809</v>
      </c>
      <c r="G18" s="87">
        <v>790</v>
      </c>
      <c r="H18" s="85">
        <v>1630.047</v>
      </c>
      <c r="I18" s="87">
        <v>790</v>
      </c>
      <c r="J18" s="85">
        <v>1377.355</v>
      </c>
      <c r="K18" s="87">
        <v>790</v>
      </c>
      <c r="L18" s="85">
        <v>1377.8710000000001</v>
      </c>
      <c r="M18" s="87">
        <v>790</v>
      </c>
      <c r="N18" s="85">
        <v>1377.502</v>
      </c>
      <c r="O18" s="87">
        <v>770</v>
      </c>
      <c r="P18" s="85">
        <v>1377.992</v>
      </c>
      <c r="Q18" s="87">
        <v>790</v>
      </c>
      <c r="R18" s="85">
        <v>1377.748</v>
      </c>
      <c r="S18" s="87">
        <v>790</v>
      </c>
      <c r="T18" s="85">
        <v>1377.848</v>
      </c>
      <c r="U18" s="87">
        <v>780</v>
      </c>
      <c r="V18" s="85">
        <v>1375.8409999999999</v>
      </c>
      <c r="W18" s="87">
        <v>790</v>
      </c>
      <c r="X18" s="85">
        <v>1376.12</v>
      </c>
      <c r="Y18" s="87">
        <v>790</v>
      </c>
      <c r="Z18" s="85">
        <v>1374.251</v>
      </c>
      <c r="AA18" s="87">
        <v>790</v>
      </c>
      <c r="AB18" s="89">
        <v>1373.396</v>
      </c>
      <c r="AC18" s="87">
        <v>780</v>
      </c>
      <c r="AD18" s="85">
        <v>1298.221</v>
      </c>
      <c r="AE18" s="87">
        <v>790</v>
      </c>
      <c r="AF18" s="85">
        <v>1298.6500000000001</v>
      </c>
      <c r="AG18" s="87">
        <v>770</v>
      </c>
      <c r="AH18" s="85">
        <v>380.74799999999999</v>
      </c>
      <c r="AI18" s="87">
        <v>770</v>
      </c>
      <c r="AJ18" s="85">
        <v>397.01299999999998</v>
      </c>
    </row>
    <row r="19" spans="1:36" ht="14.25" customHeight="1">
      <c r="A19" s="88">
        <v>800</v>
      </c>
      <c r="B19" s="84">
        <v>794.32100000000003</v>
      </c>
      <c r="C19" s="88">
        <v>810</v>
      </c>
      <c r="D19" s="85">
        <v>788.40800000000002</v>
      </c>
      <c r="E19" s="86">
        <v>800</v>
      </c>
      <c r="F19" s="85">
        <v>1630.2059999999999</v>
      </c>
      <c r="G19" s="87">
        <v>800</v>
      </c>
      <c r="H19" s="85">
        <v>1629.4159999999999</v>
      </c>
      <c r="I19" s="87">
        <v>800</v>
      </c>
      <c r="J19" s="85">
        <v>1376.8430000000001</v>
      </c>
      <c r="K19" s="87">
        <v>800</v>
      </c>
      <c r="L19" s="85">
        <v>1377.338</v>
      </c>
      <c r="M19" s="87">
        <v>800</v>
      </c>
      <c r="N19" s="85">
        <v>1376.9760000000001</v>
      </c>
      <c r="O19" s="87">
        <v>780</v>
      </c>
      <c r="P19" s="85">
        <v>1377.4749999999999</v>
      </c>
      <c r="Q19" s="87">
        <v>800</v>
      </c>
      <c r="R19" s="85">
        <v>1377.231</v>
      </c>
      <c r="S19" s="87">
        <v>800</v>
      </c>
      <c r="T19" s="85">
        <v>1377.337</v>
      </c>
      <c r="U19" s="87">
        <v>790</v>
      </c>
      <c r="V19" s="85">
        <v>1375.34</v>
      </c>
      <c r="W19" s="87">
        <v>800</v>
      </c>
      <c r="X19" s="85">
        <v>1375.6020000000001</v>
      </c>
      <c r="Y19" s="87">
        <v>800</v>
      </c>
      <c r="Z19" s="85">
        <v>1373.7439999999999</v>
      </c>
      <c r="AA19" s="87">
        <v>800</v>
      </c>
      <c r="AB19" s="89">
        <v>1372.894</v>
      </c>
      <c r="AC19" s="87">
        <v>790</v>
      </c>
      <c r="AD19" s="85">
        <v>1297.711</v>
      </c>
      <c r="AE19" s="87">
        <v>800</v>
      </c>
      <c r="AF19" s="85">
        <v>1298.162</v>
      </c>
      <c r="AG19" s="87">
        <v>780</v>
      </c>
      <c r="AH19" s="85">
        <v>380.57900000000001</v>
      </c>
      <c r="AI19" s="87">
        <v>780</v>
      </c>
      <c r="AJ19" s="85">
        <v>396.83</v>
      </c>
    </row>
    <row r="20" spans="1:36" ht="14.25" customHeight="1">
      <c r="A20" s="88">
        <v>810</v>
      </c>
      <c r="B20" s="84">
        <v>793.87699999999995</v>
      </c>
      <c r="C20" s="88">
        <v>820</v>
      </c>
      <c r="D20" s="85">
        <v>787.95699999999999</v>
      </c>
      <c r="E20" s="86">
        <v>810</v>
      </c>
      <c r="F20" s="85">
        <v>1629.5730000000001</v>
      </c>
      <c r="G20" s="87">
        <v>810</v>
      </c>
      <c r="H20" s="85">
        <v>1628.7529999999999</v>
      </c>
      <c r="I20" s="87">
        <v>810</v>
      </c>
      <c r="J20" s="85">
        <v>1376.307</v>
      </c>
      <c r="K20" s="87">
        <v>810</v>
      </c>
      <c r="L20" s="85">
        <v>1376.78</v>
      </c>
      <c r="M20" s="87">
        <v>810</v>
      </c>
      <c r="N20" s="85">
        <v>1376.425</v>
      </c>
      <c r="O20" s="87">
        <v>790</v>
      </c>
      <c r="P20" s="85">
        <v>1376.9349999999999</v>
      </c>
      <c r="Q20" s="87">
        <v>810</v>
      </c>
      <c r="R20" s="85">
        <v>1376.691</v>
      </c>
      <c r="S20" s="87">
        <v>810</v>
      </c>
      <c r="T20" s="85">
        <v>1376.8019999999999</v>
      </c>
      <c r="U20" s="87">
        <v>800</v>
      </c>
      <c r="V20" s="85">
        <v>1374.8150000000001</v>
      </c>
      <c r="W20" s="87">
        <v>810</v>
      </c>
      <c r="X20" s="85">
        <v>1375.059</v>
      </c>
      <c r="Y20" s="87">
        <v>810</v>
      </c>
      <c r="Z20" s="85">
        <v>1373.213</v>
      </c>
      <c r="AA20" s="87">
        <v>810</v>
      </c>
      <c r="AB20" s="85">
        <v>1372.3689999999999</v>
      </c>
      <c r="AC20" s="87">
        <v>800</v>
      </c>
      <c r="AD20" s="85">
        <v>1297.1780000000001</v>
      </c>
      <c r="AE20" s="87">
        <v>810</v>
      </c>
      <c r="AF20" s="85">
        <v>1297.6489999999999</v>
      </c>
      <c r="AG20" s="87">
        <v>790</v>
      </c>
      <c r="AH20" s="85">
        <v>380.40100000000001</v>
      </c>
      <c r="AI20" s="87">
        <v>790</v>
      </c>
      <c r="AJ20" s="85">
        <v>396.63900000000001</v>
      </c>
    </row>
    <row r="21" spans="1:36" ht="14.25" customHeight="1">
      <c r="A21" s="88">
        <v>820</v>
      </c>
      <c r="B21" s="84">
        <v>793.41300000000001</v>
      </c>
      <c r="C21" s="88">
        <v>830</v>
      </c>
      <c r="D21" s="85">
        <v>787.48500000000001</v>
      </c>
      <c r="E21" s="86">
        <v>820</v>
      </c>
      <c r="F21" s="85">
        <v>1628.9110000000001</v>
      </c>
      <c r="G21" s="87">
        <v>820</v>
      </c>
      <c r="H21" s="85">
        <v>1628.059</v>
      </c>
      <c r="I21" s="87">
        <v>820</v>
      </c>
      <c r="J21" s="85">
        <v>1375.7460000000001</v>
      </c>
      <c r="K21" s="87">
        <v>820</v>
      </c>
      <c r="L21" s="85">
        <v>1376.1969999999999</v>
      </c>
      <c r="M21" s="87">
        <v>820</v>
      </c>
      <c r="N21" s="85">
        <v>1375.8510000000001</v>
      </c>
      <c r="O21" s="87">
        <v>800</v>
      </c>
      <c r="P21" s="85">
        <v>1376.3720000000001</v>
      </c>
      <c r="Q21" s="87">
        <v>820</v>
      </c>
      <c r="R21" s="89">
        <v>1376.126</v>
      </c>
      <c r="S21" s="87">
        <v>820</v>
      </c>
      <c r="T21" s="85">
        <v>1376.2429999999999</v>
      </c>
      <c r="U21" s="87">
        <v>810</v>
      </c>
      <c r="V21" s="85">
        <v>1374.2639999999999</v>
      </c>
      <c r="W21" s="87">
        <v>820</v>
      </c>
      <c r="X21" s="85">
        <v>1374.492</v>
      </c>
      <c r="Y21" s="87">
        <v>820</v>
      </c>
      <c r="Z21" s="85">
        <v>1372.6590000000001</v>
      </c>
      <c r="AA21" s="87">
        <v>820</v>
      </c>
      <c r="AB21" s="85">
        <v>1371.819</v>
      </c>
      <c r="AC21" s="87">
        <v>810</v>
      </c>
      <c r="AD21" s="85">
        <v>1296.6210000000001</v>
      </c>
      <c r="AE21" s="87">
        <v>820</v>
      </c>
      <c r="AF21" s="85">
        <v>1297.1110000000001</v>
      </c>
      <c r="AG21" s="87">
        <v>800</v>
      </c>
      <c r="AH21" s="85">
        <v>380.21600000000001</v>
      </c>
      <c r="AI21" s="87">
        <v>800</v>
      </c>
      <c r="AJ21" s="85">
        <v>396.44099999999997</v>
      </c>
    </row>
    <row r="22" spans="1:36" ht="14.25" customHeight="1">
      <c r="A22" s="88">
        <v>830</v>
      </c>
      <c r="B22" s="84">
        <v>792.92899999999997</v>
      </c>
      <c r="C22" s="88">
        <v>840</v>
      </c>
      <c r="D22" s="85">
        <v>786.99099999999999</v>
      </c>
      <c r="E22" s="86">
        <v>830</v>
      </c>
      <c r="F22" s="85">
        <v>1628.2190000000001</v>
      </c>
      <c r="G22" s="87">
        <v>830</v>
      </c>
      <c r="H22" s="85">
        <v>1627.3330000000001</v>
      </c>
      <c r="I22" s="87">
        <v>830</v>
      </c>
      <c r="J22" s="85">
        <v>1375.162</v>
      </c>
      <c r="K22" s="87">
        <v>830</v>
      </c>
      <c r="L22" s="85">
        <v>1375.588</v>
      </c>
      <c r="M22" s="87">
        <v>830</v>
      </c>
      <c r="N22" s="85">
        <v>1375.252</v>
      </c>
      <c r="O22" s="87">
        <v>810</v>
      </c>
      <c r="P22" s="85">
        <v>1375.7840000000001</v>
      </c>
      <c r="Q22" s="87">
        <v>830</v>
      </c>
      <c r="R22" s="89">
        <v>1375.538</v>
      </c>
      <c r="S22" s="87">
        <v>830</v>
      </c>
      <c r="T22" s="85">
        <v>1375.66</v>
      </c>
      <c r="U22" s="87">
        <v>820</v>
      </c>
      <c r="V22" s="85">
        <v>1373.69</v>
      </c>
      <c r="W22" s="87">
        <v>830</v>
      </c>
      <c r="X22" s="85">
        <v>1373.9</v>
      </c>
      <c r="Y22" s="87">
        <v>830</v>
      </c>
      <c r="Z22" s="85">
        <v>1372.0820000000001</v>
      </c>
      <c r="AA22" s="87">
        <v>830</v>
      </c>
      <c r="AB22" s="85">
        <v>1371.2460000000001</v>
      </c>
      <c r="AC22" s="87">
        <v>820</v>
      </c>
      <c r="AD22" s="85">
        <v>1296.04</v>
      </c>
      <c r="AE22" s="87">
        <v>830</v>
      </c>
      <c r="AF22" s="85">
        <v>1296.549</v>
      </c>
      <c r="AG22" s="87">
        <v>810</v>
      </c>
      <c r="AH22" s="85">
        <v>380.024</v>
      </c>
      <c r="AI22" s="87">
        <v>810</v>
      </c>
      <c r="AJ22" s="85">
        <v>396.23599999999999</v>
      </c>
    </row>
    <row r="23" spans="1:36" ht="14.25" customHeight="1">
      <c r="A23" s="88">
        <v>840</v>
      </c>
      <c r="B23" s="84">
        <v>792.423</v>
      </c>
      <c r="C23" s="88">
        <v>850</v>
      </c>
      <c r="D23" s="85">
        <v>786.47500000000002</v>
      </c>
      <c r="E23" s="86">
        <v>840</v>
      </c>
      <c r="F23" s="85">
        <v>1627.498</v>
      </c>
      <c r="G23" s="87">
        <v>840</v>
      </c>
      <c r="H23" s="85">
        <v>1626.576</v>
      </c>
      <c r="I23" s="87">
        <v>840</v>
      </c>
      <c r="J23" s="85">
        <v>1374.5530000000001</v>
      </c>
      <c r="K23" s="87">
        <v>840</v>
      </c>
      <c r="L23" s="85">
        <v>1374.9549999999999</v>
      </c>
      <c r="M23" s="87">
        <v>840</v>
      </c>
      <c r="N23" s="85">
        <v>1374.6279999999999</v>
      </c>
      <c r="O23" s="87">
        <v>820</v>
      </c>
      <c r="P23" s="85">
        <v>1375.174</v>
      </c>
      <c r="Q23" s="87">
        <v>840</v>
      </c>
      <c r="R23" s="85">
        <v>1374.925</v>
      </c>
      <c r="S23" s="87">
        <v>840</v>
      </c>
      <c r="T23" s="85">
        <v>1375.0519999999999</v>
      </c>
      <c r="U23" s="87">
        <v>830</v>
      </c>
      <c r="V23" s="85">
        <v>1373.09</v>
      </c>
      <c r="W23" s="87">
        <v>840</v>
      </c>
      <c r="X23" s="85">
        <v>1373.2840000000001</v>
      </c>
      <c r="Y23" s="87">
        <v>840</v>
      </c>
      <c r="Z23" s="85">
        <v>1371.482</v>
      </c>
      <c r="AA23" s="87">
        <v>840</v>
      </c>
      <c r="AB23" s="85">
        <v>1370.6489999999999</v>
      </c>
      <c r="AC23" s="87">
        <v>830</v>
      </c>
      <c r="AD23" s="85">
        <v>1295.4349999999999</v>
      </c>
      <c r="AE23" s="87">
        <v>840</v>
      </c>
      <c r="AF23" s="85">
        <v>1295.963</v>
      </c>
      <c r="AG23" s="87">
        <v>820</v>
      </c>
      <c r="AH23" s="85">
        <v>379.82600000000002</v>
      </c>
      <c r="AI23" s="87">
        <v>820</v>
      </c>
      <c r="AJ23" s="85">
        <v>396.024</v>
      </c>
    </row>
    <row r="24" spans="1:36" ht="14.25" customHeight="1">
      <c r="A24" s="88">
        <v>850</v>
      </c>
      <c r="B24" s="84">
        <v>791.89499999999998</v>
      </c>
      <c r="C24" s="88">
        <v>860</v>
      </c>
      <c r="D24" s="85">
        <v>785.93700000000001</v>
      </c>
      <c r="E24" s="86">
        <v>850</v>
      </c>
      <c r="F24" s="85">
        <v>1626.7470000000001</v>
      </c>
      <c r="G24" s="87">
        <v>850</v>
      </c>
      <c r="H24" s="85">
        <v>1625.787</v>
      </c>
      <c r="I24" s="87">
        <v>850</v>
      </c>
      <c r="J24" s="85">
        <v>1373.9190000000001</v>
      </c>
      <c r="K24" s="87">
        <v>850</v>
      </c>
      <c r="L24" s="85">
        <v>1374.296</v>
      </c>
      <c r="M24" s="87">
        <v>850</v>
      </c>
      <c r="N24" s="85">
        <v>1373.98</v>
      </c>
      <c r="O24" s="87">
        <v>830</v>
      </c>
      <c r="P24" s="85">
        <v>1374.539</v>
      </c>
      <c r="Q24" s="87">
        <v>850</v>
      </c>
      <c r="R24" s="85">
        <v>1374.289</v>
      </c>
      <c r="S24" s="87">
        <v>850</v>
      </c>
      <c r="T24" s="85">
        <v>1374.421</v>
      </c>
      <c r="U24" s="87">
        <v>840</v>
      </c>
      <c r="V24" s="85">
        <v>1372.4659999999999</v>
      </c>
      <c r="W24" s="87">
        <v>850</v>
      </c>
      <c r="X24" s="85">
        <v>1372.644</v>
      </c>
      <c r="Y24" s="87">
        <v>850</v>
      </c>
      <c r="Z24" s="85">
        <v>1370.8589999999999</v>
      </c>
      <c r="AA24" s="87">
        <v>850</v>
      </c>
      <c r="AB24" s="85">
        <v>1370.027</v>
      </c>
      <c r="AC24" s="87">
        <v>840</v>
      </c>
      <c r="AD24" s="85">
        <v>1294.807</v>
      </c>
      <c r="AE24" s="87">
        <v>850</v>
      </c>
      <c r="AF24" s="85">
        <v>1295.3520000000001</v>
      </c>
      <c r="AG24" s="87">
        <v>830</v>
      </c>
      <c r="AH24" s="85">
        <v>379.62099999999998</v>
      </c>
      <c r="AI24" s="87">
        <v>830</v>
      </c>
      <c r="AJ24" s="85">
        <v>395.80500000000001</v>
      </c>
    </row>
    <row r="25" spans="1:36" ht="14.25" customHeight="1">
      <c r="A25" s="88">
        <v>860</v>
      </c>
      <c r="B25" s="84">
        <v>791.34699999999998</v>
      </c>
      <c r="C25" s="88">
        <v>870</v>
      </c>
      <c r="D25" s="85">
        <v>785.37800000000004</v>
      </c>
      <c r="E25" s="86">
        <v>860</v>
      </c>
      <c r="F25" s="85">
        <v>1625.9659999999999</v>
      </c>
      <c r="G25" s="87">
        <v>860</v>
      </c>
      <c r="H25" s="85">
        <v>1624.9659999999999</v>
      </c>
      <c r="I25" s="87">
        <v>860</v>
      </c>
      <c r="J25" s="85">
        <v>1373.2619999999999</v>
      </c>
      <c r="K25" s="87">
        <v>860</v>
      </c>
      <c r="L25" s="85">
        <v>1373.6120000000001</v>
      </c>
      <c r="M25" s="87">
        <v>860</v>
      </c>
      <c r="N25" s="85">
        <v>1373.308</v>
      </c>
      <c r="O25" s="87">
        <v>840</v>
      </c>
      <c r="P25" s="85">
        <v>1373.8810000000001</v>
      </c>
      <c r="Q25" s="87">
        <v>860</v>
      </c>
      <c r="R25" s="85">
        <v>1373.6279999999999</v>
      </c>
      <c r="S25" s="87">
        <v>860</v>
      </c>
      <c r="T25" s="85">
        <v>1373.7650000000001</v>
      </c>
      <c r="U25" s="87">
        <v>850</v>
      </c>
      <c r="V25" s="85">
        <v>1371.817</v>
      </c>
      <c r="W25" s="87">
        <v>860</v>
      </c>
      <c r="X25" s="85">
        <v>1371.979</v>
      </c>
      <c r="Y25" s="87">
        <v>860</v>
      </c>
      <c r="Z25" s="85">
        <v>1370.213</v>
      </c>
      <c r="AA25" s="87">
        <v>860</v>
      </c>
      <c r="AB25" s="85">
        <v>1369.3820000000001</v>
      </c>
      <c r="AC25" s="87">
        <v>850</v>
      </c>
      <c r="AD25" s="85">
        <v>1294.155</v>
      </c>
      <c r="AE25" s="87">
        <v>860</v>
      </c>
      <c r="AF25" s="85">
        <v>1294.7159999999999</v>
      </c>
      <c r="AG25" s="87">
        <v>840</v>
      </c>
      <c r="AH25" s="85">
        <v>379.40899999999999</v>
      </c>
      <c r="AI25" s="87">
        <v>840</v>
      </c>
      <c r="AJ25" s="85">
        <v>395.58</v>
      </c>
    </row>
    <row r="26" spans="1:36" ht="14.25" customHeight="1">
      <c r="A26" s="88">
        <v>870</v>
      </c>
      <c r="B26" s="84">
        <v>790.77800000000002</v>
      </c>
      <c r="C26" s="88">
        <v>880</v>
      </c>
      <c r="D26" s="85">
        <v>784.8</v>
      </c>
      <c r="E26" s="86">
        <v>870</v>
      </c>
      <c r="F26" s="85">
        <v>1625.1559999999999</v>
      </c>
      <c r="G26" s="87">
        <v>870</v>
      </c>
      <c r="H26" s="85">
        <v>1624.115</v>
      </c>
      <c r="I26" s="87">
        <v>870</v>
      </c>
      <c r="J26" s="85">
        <v>1372.5809999999999</v>
      </c>
      <c r="K26" s="87">
        <v>870</v>
      </c>
      <c r="L26" s="85">
        <v>1372.902</v>
      </c>
      <c r="M26" s="87">
        <v>870</v>
      </c>
      <c r="N26" s="85">
        <v>1372.6110000000001</v>
      </c>
      <c r="O26" s="87">
        <v>850</v>
      </c>
      <c r="P26" s="85">
        <v>1373.1990000000001</v>
      </c>
      <c r="Q26" s="87">
        <v>870</v>
      </c>
      <c r="R26" s="85">
        <v>1372.943</v>
      </c>
      <c r="S26" s="87">
        <v>870</v>
      </c>
      <c r="T26" s="85">
        <v>1373.086</v>
      </c>
      <c r="U26" s="87">
        <v>860</v>
      </c>
      <c r="V26" s="85">
        <v>1371.143</v>
      </c>
      <c r="W26" s="87">
        <v>870</v>
      </c>
      <c r="X26" s="85">
        <v>1371.29</v>
      </c>
      <c r="Y26" s="87">
        <v>870</v>
      </c>
      <c r="Z26" s="85">
        <v>1369.5429999999999</v>
      </c>
      <c r="AA26" s="87">
        <v>870</v>
      </c>
      <c r="AB26" s="85">
        <v>1368.713</v>
      </c>
      <c r="AC26" s="87">
        <v>860</v>
      </c>
      <c r="AD26" s="85">
        <v>1293.4780000000001</v>
      </c>
      <c r="AE26" s="87">
        <v>870</v>
      </c>
      <c r="AF26" s="85">
        <v>1294.057</v>
      </c>
      <c r="AG26" s="87">
        <v>850</v>
      </c>
      <c r="AH26" s="85">
        <v>379.19099999999997</v>
      </c>
      <c r="AI26" s="87">
        <v>850</v>
      </c>
      <c r="AJ26" s="85">
        <v>395.34899999999999</v>
      </c>
    </row>
    <row r="27" spans="1:36" ht="14.25" customHeight="1">
      <c r="A27" s="88">
        <v>880</v>
      </c>
      <c r="B27" s="84">
        <v>790.19</v>
      </c>
      <c r="C27" s="88">
        <v>890</v>
      </c>
      <c r="D27" s="85">
        <v>784.20299999999997</v>
      </c>
      <c r="E27" s="86">
        <v>880</v>
      </c>
      <c r="F27" s="85">
        <v>1624.316</v>
      </c>
      <c r="G27" s="87">
        <v>880</v>
      </c>
      <c r="H27" s="85">
        <v>1623.231</v>
      </c>
      <c r="I27" s="87">
        <v>880</v>
      </c>
      <c r="J27" s="85">
        <v>1371.875</v>
      </c>
      <c r="K27" s="87">
        <v>880</v>
      </c>
      <c r="L27" s="85">
        <v>1372.1669999999999</v>
      </c>
      <c r="M27" s="87">
        <v>880</v>
      </c>
      <c r="N27" s="85">
        <v>1371.8889999999999</v>
      </c>
      <c r="O27" s="87">
        <v>860</v>
      </c>
      <c r="P27" s="85">
        <v>1372.4939999999999</v>
      </c>
      <c r="Q27" s="87">
        <v>880</v>
      </c>
      <c r="R27" s="85">
        <v>1372.2339999999999</v>
      </c>
      <c r="S27" s="87">
        <v>880</v>
      </c>
      <c r="T27" s="85">
        <v>1372.383</v>
      </c>
      <c r="U27" s="87">
        <v>870</v>
      </c>
      <c r="V27" s="85">
        <v>1370.4449999999999</v>
      </c>
      <c r="W27" s="87">
        <v>880</v>
      </c>
      <c r="X27" s="85">
        <v>1370.577</v>
      </c>
      <c r="Y27" s="87">
        <v>880</v>
      </c>
      <c r="Z27" s="85">
        <v>1368.85</v>
      </c>
      <c r="AA27" s="87">
        <v>880</v>
      </c>
      <c r="AB27" s="85">
        <v>1368.02</v>
      </c>
      <c r="AC27" s="87">
        <v>870</v>
      </c>
      <c r="AD27" s="85">
        <v>1292.778</v>
      </c>
      <c r="AE27" s="87">
        <v>880</v>
      </c>
      <c r="AF27" s="85">
        <v>1293.3720000000001</v>
      </c>
      <c r="AG27" s="87">
        <v>860</v>
      </c>
      <c r="AH27" s="85">
        <v>378.96600000000001</v>
      </c>
      <c r="AI27" s="87">
        <v>860</v>
      </c>
      <c r="AJ27" s="85">
        <v>395.11099999999999</v>
      </c>
    </row>
    <row r="28" spans="1:36" ht="14.25" customHeight="1">
      <c r="A28" s="88">
        <v>890</v>
      </c>
      <c r="B28" s="84">
        <v>789.58399999999995</v>
      </c>
      <c r="C28" s="88">
        <v>900</v>
      </c>
      <c r="D28" s="85">
        <v>783.59</v>
      </c>
      <c r="E28" s="86">
        <v>890</v>
      </c>
      <c r="F28" s="85">
        <v>1623.4459999999999</v>
      </c>
      <c r="G28" s="87">
        <v>890</v>
      </c>
      <c r="H28" s="85">
        <v>1622.317</v>
      </c>
      <c r="I28" s="87">
        <v>890</v>
      </c>
      <c r="J28" s="85">
        <v>1371.145</v>
      </c>
      <c r="K28" s="87">
        <v>890</v>
      </c>
      <c r="L28" s="85">
        <v>1371.4069999999999</v>
      </c>
      <c r="M28" s="87">
        <v>890</v>
      </c>
      <c r="N28" s="85">
        <v>1371.143</v>
      </c>
      <c r="O28" s="87">
        <v>870</v>
      </c>
      <c r="P28" s="85">
        <v>1371.7650000000001</v>
      </c>
      <c r="Q28" s="87">
        <v>890</v>
      </c>
      <c r="R28" s="85">
        <v>1371.501</v>
      </c>
      <c r="S28" s="87">
        <v>890</v>
      </c>
      <c r="T28" s="85">
        <v>1371.6559999999999</v>
      </c>
      <c r="U28" s="87">
        <v>880</v>
      </c>
      <c r="V28" s="85">
        <v>1369.722</v>
      </c>
      <c r="W28" s="87">
        <v>890</v>
      </c>
      <c r="X28" s="85">
        <v>1369.84</v>
      </c>
      <c r="Y28" s="87">
        <v>890</v>
      </c>
      <c r="Z28" s="85">
        <v>1368.134</v>
      </c>
      <c r="AA28" s="87">
        <v>890</v>
      </c>
      <c r="AB28" s="85">
        <v>1367.3040000000001</v>
      </c>
      <c r="AC28" s="87">
        <v>880</v>
      </c>
      <c r="AD28" s="85">
        <v>1292.0530000000001</v>
      </c>
      <c r="AE28" s="87">
        <v>890</v>
      </c>
      <c r="AF28" s="85">
        <v>1292.664</v>
      </c>
      <c r="AG28" s="87">
        <v>870</v>
      </c>
      <c r="AH28" s="85">
        <v>378.73399999999998</v>
      </c>
      <c r="AI28" s="87">
        <v>870</v>
      </c>
      <c r="AJ28" s="85">
        <v>394.86599999999999</v>
      </c>
    </row>
    <row r="29" spans="1:36" ht="14.25" customHeight="1">
      <c r="A29" s="88">
        <v>900</v>
      </c>
      <c r="B29" s="84">
        <v>788.96199999999999</v>
      </c>
      <c r="C29" s="88">
        <v>910</v>
      </c>
      <c r="D29" s="85">
        <v>782.96100000000001</v>
      </c>
      <c r="E29" s="86">
        <v>900</v>
      </c>
      <c r="F29" s="85">
        <v>1622.547</v>
      </c>
      <c r="G29" s="87">
        <v>900</v>
      </c>
      <c r="H29" s="85">
        <v>1621.37</v>
      </c>
      <c r="I29" s="87">
        <v>900</v>
      </c>
      <c r="J29" s="85">
        <v>1370.3910000000001</v>
      </c>
      <c r="K29" s="87">
        <v>900</v>
      </c>
      <c r="L29" s="85">
        <v>1370.6220000000001</v>
      </c>
      <c r="M29" s="87">
        <v>900</v>
      </c>
      <c r="N29" s="85">
        <v>1370.3710000000001</v>
      </c>
      <c r="O29" s="87">
        <v>880</v>
      </c>
      <c r="P29" s="85">
        <v>1371.0129999999999</v>
      </c>
      <c r="Q29" s="87">
        <v>900</v>
      </c>
      <c r="R29" s="85">
        <v>1370.7429999999999</v>
      </c>
      <c r="S29" s="87">
        <v>900</v>
      </c>
      <c r="T29" s="85">
        <v>1370.905</v>
      </c>
      <c r="U29" s="87">
        <v>890</v>
      </c>
      <c r="V29" s="85">
        <v>1368.9739999999999</v>
      </c>
      <c r="W29" s="87">
        <v>900</v>
      </c>
      <c r="X29" s="85">
        <v>1369.079</v>
      </c>
      <c r="Y29" s="87">
        <v>900</v>
      </c>
      <c r="Z29" s="85">
        <v>1367.395</v>
      </c>
      <c r="AA29" s="87">
        <v>900</v>
      </c>
      <c r="AB29" s="85">
        <v>1366.5630000000001</v>
      </c>
      <c r="AC29" s="87">
        <v>890</v>
      </c>
      <c r="AD29" s="85">
        <v>1291.3040000000001</v>
      </c>
      <c r="AE29" s="87">
        <v>900</v>
      </c>
      <c r="AF29" s="85">
        <v>1291.931</v>
      </c>
      <c r="AG29" s="87">
        <v>880</v>
      </c>
      <c r="AH29" s="85">
        <v>378.49299999999999</v>
      </c>
      <c r="AI29" s="87">
        <v>880</v>
      </c>
      <c r="AJ29" s="85">
        <v>394.613</v>
      </c>
    </row>
    <row r="30" spans="1:36" ht="14.25" customHeight="1">
      <c r="A30" s="88">
        <v>910</v>
      </c>
      <c r="B30" s="84">
        <v>788.32500000000005</v>
      </c>
      <c r="C30" s="88">
        <v>920</v>
      </c>
      <c r="D30" s="85">
        <v>782.32</v>
      </c>
      <c r="E30" s="86">
        <v>910</v>
      </c>
      <c r="F30" s="85">
        <v>1621.6189999999999</v>
      </c>
      <c r="G30" s="87">
        <v>910</v>
      </c>
      <c r="H30" s="85">
        <v>1620.393</v>
      </c>
      <c r="I30" s="87">
        <v>910</v>
      </c>
      <c r="J30" s="85">
        <v>1369.6120000000001</v>
      </c>
      <c r="K30" s="87">
        <v>910</v>
      </c>
      <c r="L30" s="85">
        <v>1369.8119999999999</v>
      </c>
      <c r="M30" s="87">
        <v>910</v>
      </c>
      <c r="N30" s="85">
        <v>1369.576</v>
      </c>
      <c r="O30" s="87">
        <v>890</v>
      </c>
      <c r="P30" s="85">
        <v>1370.2370000000001</v>
      </c>
      <c r="Q30" s="87">
        <v>910</v>
      </c>
      <c r="R30" s="85">
        <v>1369.961</v>
      </c>
      <c r="S30" s="87">
        <v>910</v>
      </c>
      <c r="T30" s="85">
        <v>1370.13</v>
      </c>
      <c r="U30" s="87">
        <v>900</v>
      </c>
      <c r="V30" s="85">
        <v>1368.201</v>
      </c>
      <c r="W30" s="87">
        <v>910</v>
      </c>
      <c r="X30" s="85">
        <v>1368.2940000000001</v>
      </c>
      <c r="Y30" s="87">
        <v>910</v>
      </c>
      <c r="Z30" s="85">
        <v>1366.6320000000001</v>
      </c>
      <c r="AA30" s="87">
        <v>910</v>
      </c>
      <c r="AB30" s="85">
        <v>1365.798</v>
      </c>
      <c r="AC30" s="87">
        <v>900</v>
      </c>
      <c r="AD30" s="85">
        <v>1290.5309999999999</v>
      </c>
      <c r="AE30" s="87">
        <v>910</v>
      </c>
      <c r="AF30" s="85">
        <v>1291.174</v>
      </c>
      <c r="AG30" s="87">
        <v>890</v>
      </c>
      <c r="AH30" s="85">
        <v>378.24400000000003</v>
      </c>
      <c r="AI30" s="87">
        <v>890</v>
      </c>
      <c r="AJ30" s="85">
        <v>394.35199999999998</v>
      </c>
    </row>
    <row r="31" spans="1:36" ht="14.25" customHeight="1">
      <c r="A31" s="88">
        <v>920</v>
      </c>
      <c r="B31" s="84">
        <v>787.67600000000004</v>
      </c>
      <c r="C31" s="88">
        <v>930</v>
      </c>
      <c r="D31" s="85">
        <v>781.66600000000005</v>
      </c>
      <c r="E31" s="86">
        <v>920</v>
      </c>
      <c r="F31" s="85">
        <v>1620.66</v>
      </c>
      <c r="G31" s="87">
        <v>920</v>
      </c>
      <c r="H31" s="85">
        <v>1619.383</v>
      </c>
      <c r="I31" s="87">
        <v>920</v>
      </c>
      <c r="J31" s="85">
        <v>1368.81</v>
      </c>
      <c r="K31" s="87">
        <v>920</v>
      </c>
      <c r="L31" s="85">
        <v>1368.9760000000001</v>
      </c>
      <c r="M31" s="87">
        <v>920</v>
      </c>
      <c r="N31" s="85">
        <v>1368.7560000000001</v>
      </c>
      <c r="O31" s="87">
        <v>900</v>
      </c>
      <c r="P31" s="85">
        <v>1369.4369999999999</v>
      </c>
      <c r="Q31" s="87">
        <v>920</v>
      </c>
      <c r="R31" s="85">
        <v>1369.155</v>
      </c>
      <c r="S31" s="87">
        <v>920</v>
      </c>
      <c r="T31" s="85">
        <v>1369.3320000000001</v>
      </c>
      <c r="U31" s="87">
        <v>910</v>
      </c>
      <c r="V31" s="85">
        <v>1367.404</v>
      </c>
      <c r="W31" s="87">
        <v>920</v>
      </c>
      <c r="X31" s="85">
        <v>1367.4839999999999</v>
      </c>
      <c r="Y31" s="87">
        <v>920</v>
      </c>
      <c r="Z31" s="85">
        <v>1365.846</v>
      </c>
      <c r="AA31" s="87">
        <v>920</v>
      </c>
      <c r="AB31" s="85">
        <v>1365.01</v>
      </c>
      <c r="AC31" s="87">
        <v>910</v>
      </c>
      <c r="AD31" s="85">
        <v>1289.7339999999999</v>
      </c>
      <c r="AE31" s="87">
        <v>920</v>
      </c>
      <c r="AF31" s="85">
        <v>1290.393</v>
      </c>
      <c r="AG31" s="87">
        <v>900</v>
      </c>
      <c r="AH31" s="85">
        <v>377.98599999999999</v>
      </c>
      <c r="AI31" s="87">
        <v>900</v>
      </c>
      <c r="AJ31" s="85">
        <v>394.08199999999999</v>
      </c>
    </row>
    <row r="32" spans="1:36" ht="14.25" customHeight="1">
      <c r="A32" s="88">
        <v>930</v>
      </c>
      <c r="B32" s="84">
        <v>787.01400000000001</v>
      </c>
      <c r="C32" s="88">
        <v>940</v>
      </c>
      <c r="D32" s="85">
        <v>781</v>
      </c>
      <c r="E32" s="86">
        <v>930</v>
      </c>
      <c r="F32" s="85">
        <v>1619.673</v>
      </c>
      <c r="G32" s="87">
        <v>930</v>
      </c>
      <c r="H32" s="85">
        <v>1618.3430000000001</v>
      </c>
      <c r="I32" s="87">
        <v>930</v>
      </c>
      <c r="J32" s="85">
        <v>1367.9829999999999</v>
      </c>
      <c r="K32" s="87">
        <v>930</v>
      </c>
      <c r="L32" s="85">
        <v>1368.115</v>
      </c>
      <c r="M32" s="87">
        <v>930</v>
      </c>
      <c r="N32" s="85">
        <v>1367.9110000000001</v>
      </c>
      <c r="O32" s="87">
        <v>910</v>
      </c>
      <c r="P32" s="85">
        <v>1368.614</v>
      </c>
      <c r="Q32" s="87">
        <v>930</v>
      </c>
      <c r="R32" s="85">
        <v>1368.3240000000001</v>
      </c>
      <c r="S32" s="87">
        <v>930</v>
      </c>
      <c r="T32" s="85">
        <v>1368.509</v>
      </c>
      <c r="U32" s="87">
        <v>920</v>
      </c>
      <c r="V32" s="85">
        <v>1366.5820000000001</v>
      </c>
      <c r="W32" s="87">
        <v>930</v>
      </c>
      <c r="X32" s="85">
        <v>1366.65</v>
      </c>
      <c r="Y32" s="87">
        <v>930</v>
      </c>
      <c r="Z32" s="85">
        <v>1365.037</v>
      </c>
      <c r="AA32" s="87">
        <v>930</v>
      </c>
      <c r="AB32" s="85">
        <v>1364.1969999999999</v>
      </c>
      <c r="AC32" s="87">
        <v>920</v>
      </c>
      <c r="AD32" s="85">
        <v>1288.913</v>
      </c>
      <c r="AE32" s="87">
        <v>930</v>
      </c>
      <c r="AF32" s="85">
        <v>1289.587</v>
      </c>
      <c r="AG32" s="87">
        <v>910</v>
      </c>
      <c r="AH32" s="85">
        <v>377.71899999999999</v>
      </c>
      <c r="AI32" s="87">
        <v>910</v>
      </c>
      <c r="AJ32" s="85">
        <v>393.803</v>
      </c>
    </row>
    <row r="33" spans="1:36" ht="14.25" customHeight="1">
      <c r="A33" s="88">
        <v>940</v>
      </c>
      <c r="B33" s="84">
        <v>786.34199999999998</v>
      </c>
      <c r="C33" s="88">
        <v>950</v>
      </c>
      <c r="D33" s="85">
        <v>780.32500000000005</v>
      </c>
      <c r="E33" s="86">
        <v>940</v>
      </c>
      <c r="F33" s="85">
        <v>1618.655</v>
      </c>
      <c r="G33" s="87">
        <v>940</v>
      </c>
      <c r="H33" s="85">
        <v>1617.27</v>
      </c>
      <c r="I33" s="87">
        <v>940</v>
      </c>
      <c r="J33" s="85">
        <v>1367.1320000000001</v>
      </c>
      <c r="K33" s="87">
        <v>940</v>
      </c>
      <c r="L33" s="85">
        <v>1367.229</v>
      </c>
      <c r="M33" s="87">
        <v>940</v>
      </c>
      <c r="N33" s="85">
        <v>1367.0419999999999</v>
      </c>
      <c r="O33" s="87">
        <v>920</v>
      </c>
      <c r="P33" s="85">
        <v>1367.7670000000001</v>
      </c>
      <c r="Q33" s="87">
        <v>940</v>
      </c>
      <c r="R33" s="85">
        <v>1367.47</v>
      </c>
      <c r="S33" s="87">
        <v>940</v>
      </c>
      <c r="T33" s="85">
        <v>1367.662</v>
      </c>
      <c r="U33" s="87">
        <v>930</v>
      </c>
      <c r="V33" s="85">
        <v>1365.7349999999999</v>
      </c>
      <c r="W33" s="87">
        <v>940</v>
      </c>
      <c r="X33" s="85">
        <v>1365.7919999999999</v>
      </c>
      <c r="Y33" s="87">
        <v>940</v>
      </c>
      <c r="Z33" s="85">
        <v>1364.2049999999999</v>
      </c>
      <c r="AA33" s="87">
        <v>940</v>
      </c>
      <c r="AB33" s="85">
        <v>1363.3610000000001</v>
      </c>
      <c r="AC33" s="87">
        <v>930</v>
      </c>
      <c r="AD33" s="85">
        <v>1288.068</v>
      </c>
      <c r="AE33" s="87">
        <v>940</v>
      </c>
      <c r="AF33" s="85">
        <v>1288.7570000000001</v>
      </c>
      <c r="AG33" s="87">
        <v>920</v>
      </c>
      <c r="AH33" s="85">
        <v>377.44299999999998</v>
      </c>
      <c r="AI33" s="87">
        <v>920</v>
      </c>
      <c r="AJ33" s="85">
        <v>393.51600000000002</v>
      </c>
    </row>
    <row r="34" spans="1:36" ht="14.25" customHeight="1">
      <c r="A34" s="88">
        <v>950</v>
      </c>
      <c r="B34" s="84">
        <v>785.65899999999999</v>
      </c>
      <c r="C34" s="88">
        <v>960</v>
      </c>
      <c r="D34" s="85">
        <v>779.64</v>
      </c>
      <c r="E34" s="86">
        <v>950</v>
      </c>
      <c r="F34" s="85">
        <v>1617.6079999999999</v>
      </c>
      <c r="G34" s="87">
        <v>950</v>
      </c>
      <c r="H34" s="85">
        <v>1616.1669999999999</v>
      </c>
      <c r="I34" s="87">
        <v>950</v>
      </c>
      <c r="J34" s="85">
        <v>1366.2570000000001</v>
      </c>
      <c r="K34" s="87">
        <v>950</v>
      </c>
      <c r="L34" s="85">
        <v>1366.318</v>
      </c>
      <c r="M34" s="87">
        <v>950</v>
      </c>
      <c r="N34" s="85">
        <v>1366.1489999999999</v>
      </c>
      <c r="O34" s="87">
        <v>930</v>
      </c>
      <c r="P34" s="85">
        <v>1366.8969999999999</v>
      </c>
      <c r="Q34" s="87">
        <v>950</v>
      </c>
      <c r="R34" s="85">
        <v>1366.5909999999999</v>
      </c>
      <c r="S34" s="87">
        <v>950</v>
      </c>
      <c r="T34" s="85">
        <v>1366.7919999999999</v>
      </c>
      <c r="U34" s="87">
        <v>940</v>
      </c>
      <c r="V34" s="85">
        <v>1364.8630000000001</v>
      </c>
      <c r="W34" s="87">
        <v>950</v>
      </c>
      <c r="X34" s="85">
        <v>1364.9090000000001</v>
      </c>
      <c r="Y34" s="87">
        <v>950</v>
      </c>
      <c r="Z34" s="85">
        <v>1363.3489999999999</v>
      </c>
      <c r="AA34" s="87">
        <v>950</v>
      </c>
      <c r="AB34" s="85">
        <v>1362.501</v>
      </c>
      <c r="AC34" s="87">
        <v>940</v>
      </c>
      <c r="AD34" s="85">
        <v>1287.2</v>
      </c>
      <c r="AE34" s="87">
        <v>950</v>
      </c>
      <c r="AF34" s="85">
        <v>1287.902</v>
      </c>
      <c r="AG34" s="87">
        <v>930</v>
      </c>
      <c r="AH34" s="85">
        <v>377.15899999999999</v>
      </c>
      <c r="AI34" s="87">
        <v>930</v>
      </c>
      <c r="AJ34" s="85">
        <v>393.22</v>
      </c>
    </row>
    <row r="35" spans="1:36" ht="14.25" customHeight="1">
      <c r="A35" s="88">
        <v>960</v>
      </c>
      <c r="B35" s="84">
        <v>784.96699999999998</v>
      </c>
      <c r="C35" s="88">
        <v>970</v>
      </c>
      <c r="D35" s="85">
        <v>778.947</v>
      </c>
      <c r="E35" s="86">
        <v>960</v>
      </c>
      <c r="F35" s="85">
        <v>1616.5309999999999</v>
      </c>
      <c r="G35" s="87">
        <v>960</v>
      </c>
      <c r="H35" s="85">
        <v>1615.0319999999999</v>
      </c>
      <c r="I35" s="87">
        <v>960</v>
      </c>
      <c r="J35" s="85">
        <v>1365.357</v>
      </c>
      <c r="K35" s="87">
        <v>960</v>
      </c>
      <c r="L35" s="85">
        <v>1365.3820000000001</v>
      </c>
      <c r="M35" s="87">
        <v>960</v>
      </c>
      <c r="N35" s="85">
        <v>1365.232</v>
      </c>
      <c r="O35" s="87">
        <v>940</v>
      </c>
      <c r="P35" s="85">
        <v>1366.0029999999999</v>
      </c>
      <c r="Q35" s="87">
        <v>960</v>
      </c>
      <c r="R35" s="85">
        <v>1365.6890000000001</v>
      </c>
      <c r="S35" s="87">
        <v>960</v>
      </c>
      <c r="T35" s="85">
        <v>1365.8969999999999</v>
      </c>
      <c r="U35" s="87">
        <v>950</v>
      </c>
      <c r="V35" s="85">
        <v>1363.9670000000001</v>
      </c>
      <c r="W35" s="87">
        <v>960</v>
      </c>
      <c r="X35" s="85">
        <v>1364.001</v>
      </c>
      <c r="Y35" s="87">
        <v>960</v>
      </c>
      <c r="Z35" s="85">
        <v>1362.471</v>
      </c>
      <c r="AA35" s="87">
        <v>960</v>
      </c>
      <c r="AB35" s="85">
        <v>1361.617</v>
      </c>
      <c r="AC35" s="87">
        <v>950</v>
      </c>
      <c r="AD35" s="85">
        <v>1286.307</v>
      </c>
      <c r="AE35" s="87">
        <v>960</v>
      </c>
      <c r="AF35" s="85">
        <v>1287.0229999999999</v>
      </c>
      <c r="AG35" s="87">
        <v>940</v>
      </c>
      <c r="AH35" s="85">
        <v>376.86599999999999</v>
      </c>
      <c r="AI35" s="87">
        <v>940</v>
      </c>
      <c r="AJ35" s="85">
        <v>392.916</v>
      </c>
    </row>
    <row r="36" spans="1:36" ht="14.25" customHeight="1">
      <c r="A36" s="88">
        <v>970</v>
      </c>
      <c r="B36" s="84">
        <v>784.26599999999996</v>
      </c>
      <c r="C36" s="88">
        <v>980</v>
      </c>
      <c r="D36" s="85">
        <v>778.24599999999998</v>
      </c>
      <c r="E36" s="86">
        <v>970</v>
      </c>
      <c r="F36" s="85">
        <v>1615.425</v>
      </c>
      <c r="G36" s="87">
        <v>970</v>
      </c>
      <c r="H36" s="85">
        <v>1613.865</v>
      </c>
      <c r="I36" s="87">
        <v>970</v>
      </c>
      <c r="J36" s="85">
        <v>1364.434</v>
      </c>
      <c r="K36" s="87">
        <v>970</v>
      </c>
      <c r="L36" s="85">
        <v>1364.421</v>
      </c>
      <c r="M36" s="87">
        <v>970</v>
      </c>
      <c r="N36" s="85">
        <v>1364.2909999999999</v>
      </c>
      <c r="O36" s="87">
        <v>950</v>
      </c>
      <c r="P36" s="85">
        <v>1365.085</v>
      </c>
      <c r="Q36" s="87">
        <v>970</v>
      </c>
      <c r="R36" s="85">
        <v>1364.7639999999999</v>
      </c>
      <c r="S36" s="87">
        <v>970</v>
      </c>
      <c r="T36" s="85">
        <v>1364.9780000000001</v>
      </c>
      <c r="U36" s="87">
        <v>960</v>
      </c>
      <c r="V36" s="85">
        <v>1363.046</v>
      </c>
      <c r="W36" s="87">
        <v>970</v>
      </c>
      <c r="X36" s="85">
        <v>1363.069</v>
      </c>
      <c r="Y36" s="87">
        <v>970</v>
      </c>
      <c r="Z36" s="85">
        <v>1361.569</v>
      </c>
      <c r="AA36" s="87">
        <v>970</v>
      </c>
      <c r="AB36" s="85">
        <v>1360.7090000000001</v>
      </c>
      <c r="AC36" s="87">
        <v>960</v>
      </c>
      <c r="AD36" s="85">
        <v>1285.3920000000001</v>
      </c>
      <c r="AE36" s="87">
        <v>970</v>
      </c>
      <c r="AF36" s="85">
        <v>1286.1189999999999</v>
      </c>
      <c r="AG36" s="87">
        <v>950</v>
      </c>
      <c r="AH36" s="85">
        <v>376.565</v>
      </c>
      <c r="AI36" s="87">
        <v>950</v>
      </c>
      <c r="AJ36" s="85">
        <v>392.60300000000001</v>
      </c>
    </row>
    <row r="37" spans="1:36" ht="14.25" customHeight="1">
      <c r="A37" s="88">
        <v>980</v>
      </c>
      <c r="B37" s="84">
        <v>783.55600000000004</v>
      </c>
      <c r="C37" s="88">
        <v>990</v>
      </c>
      <c r="D37" s="85">
        <v>777.53599999999994</v>
      </c>
      <c r="E37" s="86">
        <v>980</v>
      </c>
      <c r="F37" s="85">
        <v>1614.289</v>
      </c>
      <c r="G37" s="87">
        <v>980</v>
      </c>
      <c r="H37" s="85">
        <v>1612.6679999999999</v>
      </c>
      <c r="I37" s="87">
        <v>980</v>
      </c>
      <c r="J37" s="85">
        <v>1363.4860000000001</v>
      </c>
      <c r="K37" s="87">
        <v>980</v>
      </c>
      <c r="L37" s="85">
        <v>1363.434</v>
      </c>
      <c r="M37" s="87">
        <v>980</v>
      </c>
      <c r="N37" s="85">
        <v>1363.325</v>
      </c>
      <c r="O37" s="87">
        <v>960</v>
      </c>
      <c r="P37" s="85">
        <v>1364.144</v>
      </c>
      <c r="Q37" s="87">
        <v>980</v>
      </c>
      <c r="R37" s="85">
        <v>1363.8140000000001</v>
      </c>
      <c r="S37" s="87">
        <v>980</v>
      </c>
      <c r="T37" s="85">
        <v>1364.0350000000001</v>
      </c>
      <c r="U37" s="87">
        <v>970</v>
      </c>
      <c r="V37" s="85">
        <v>1362.1010000000001</v>
      </c>
      <c r="W37" s="87">
        <v>980</v>
      </c>
      <c r="X37" s="85">
        <v>1362.1120000000001</v>
      </c>
      <c r="Y37" s="87">
        <v>980</v>
      </c>
      <c r="Z37" s="85">
        <v>1360.644</v>
      </c>
      <c r="AA37" s="87">
        <v>980</v>
      </c>
      <c r="AB37" s="85">
        <v>1359.777</v>
      </c>
      <c r="AC37" s="87">
        <v>970</v>
      </c>
      <c r="AD37" s="85">
        <v>1284.453</v>
      </c>
      <c r="AE37" s="87">
        <v>980</v>
      </c>
      <c r="AF37" s="85">
        <v>1285.191</v>
      </c>
      <c r="AG37" s="87">
        <v>960</v>
      </c>
      <c r="AH37" s="85">
        <v>376.25599999999997</v>
      </c>
      <c r="AI37" s="87">
        <v>960</v>
      </c>
      <c r="AJ37" s="85">
        <v>392.28300000000002</v>
      </c>
    </row>
    <row r="38" spans="1:36" ht="14.25" customHeight="1">
      <c r="A38" s="88">
        <v>990</v>
      </c>
      <c r="B38" s="84">
        <v>782.83900000000006</v>
      </c>
      <c r="C38" s="88">
        <v>1000</v>
      </c>
      <c r="D38" s="85">
        <v>776.82</v>
      </c>
      <c r="E38" s="86">
        <v>990</v>
      </c>
      <c r="F38" s="85">
        <v>1613.124</v>
      </c>
      <c r="G38" s="87">
        <v>990</v>
      </c>
      <c r="H38" s="85">
        <v>1611.4390000000001</v>
      </c>
      <c r="I38" s="87">
        <v>990</v>
      </c>
      <c r="J38" s="85">
        <v>1362.5139999999999</v>
      </c>
      <c r="K38" s="87">
        <v>990</v>
      </c>
      <c r="L38" s="85">
        <v>1362.422</v>
      </c>
      <c r="M38" s="87">
        <v>990</v>
      </c>
      <c r="N38" s="85">
        <v>1362.335</v>
      </c>
      <c r="O38" s="87">
        <v>970</v>
      </c>
      <c r="P38" s="85">
        <v>1363.1790000000001</v>
      </c>
      <c r="Q38" s="87">
        <v>990</v>
      </c>
      <c r="R38" s="85">
        <v>1362.8409999999999</v>
      </c>
      <c r="S38" s="87">
        <v>990</v>
      </c>
      <c r="T38" s="85">
        <v>1363.068</v>
      </c>
      <c r="U38" s="87">
        <v>980</v>
      </c>
      <c r="V38" s="85">
        <v>1361.1310000000001</v>
      </c>
      <c r="W38" s="87">
        <v>990</v>
      </c>
      <c r="X38" s="85">
        <v>1361.1310000000001</v>
      </c>
      <c r="Y38" s="87">
        <v>990</v>
      </c>
      <c r="Z38" s="85">
        <v>1359.6969999999999</v>
      </c>
      <c r="AA38" s="87">
        <v>990</v>
      </c>
      <c r="AB38" s="85">
        <v>1358.8219999999999</v>
      </c>
      <c r="AC38" s="87">
        <v>980</v>
      </c>
      <c r="AD38" s="85">
        <v>1283.49</v>
      </c>
      <c r="AE38" s="87">
        <v>990</v>
      </c>
      <c r="AF38" s="85">
        <v>1284.239</v>
      </c>
      <c r="AG38" s="87">
        <v>970</v>
      </c>
      <c r="AH38" s="85">
        <v>375.94200000000001</v>
      </c>
      <c r="AI38" s="87">
        <v>970</v>
      </c>
      <c r="AJ38" s="85">
        <v>391.95499999999998</v>
      </c>
    </row>
    <row r="39" spans="1:36" ht="14.25" customHeight="1">
      <c r="A39" s="88">
        <v>1000</v>
      </c>
      <c r="B39" s="84">
        <v>782.11400000000003</v>
      </c>
      <c r="C39" s="88">
        <v>1010</v>
      </c>
      <c r="D39" s="85">
        <v>776.096</v>
      </c>
      <c r="E39" s="86">
        <v>1000</v>
      </c>
      <c r="F39" s="85">
        <v>1611.9290000000001</v>
      </c>
      <c r="G39" s="87">
        <v>1000</v>
      </c>
      <c r="H39" s="85">
        <v>1610.1780000000001</v>
      </c>
      <c r="I39" s="87">
        <v>1000</v>
      </c>
      <c r="J39" s="85">
        <v>1361.518</v>
      </c>
      <c r="K39" s="87">
        <v>1000</v>
      </c>
      <c r="L39" s="85">
        <v>1361.386</v>
      </c>
      <c r="M39" s="87">
        <v>1000</v>
      </c>
      <c r="N39" s="85">
        <v>1361.3209999999999</v>
      </c>
      <c r="O39" s="87">
        <v>980</v>
      </c>
      <c r="P39" s="85">
        <v>1362.19</v>
      </c>
      <c r="Q39" s="87">
        <v>1000</v>
      </c>
      <c r="R39" s="85">
        <v>1361.8430000000001</v>
      </c>
      <c r="S39" s="87">
        <v>1000</v>
      </c>
      <c r="T39" s="85">
        <v>1362.076</v>
      </c>
      <c r="U39" s="87">
        <v>990</v>
      </c>
      <c r="V39" s="85">
        <v>1360.1369999999999</v>
      </c>
      <c r="W39" s="87">
        <v>1000</v>
      </c>
      <c r="X39" s="85">
        <v>1360.125</v>
      </c>
      <c r="Y39" s="87">
        <v>1000</v>
      </c>
      <c r="Z39" s="85">
        <v>1358.7260000000001</v>
      </c>
      <c r="AA39" s="87">
        <v>1000</v>
      </c>
      <c r="AB39" s="85">
        <v>1357.8420000000001</v>
      </c>
      <c r="AC39" s="87">
        <v>990</v>
      </c>
      <c r="AD39" s="85">
        <v>1282.5039999999999</v>
      </c>
      <c r="AE39" s="87">
        <v>1000</v>
      </c>
      <c r="AF39" s="85">
        <v>1283.2619999999999</v>
      </c>
      <c r="AG39" s="87">
        <v>980</v>
      </c>
      <c r="AH39" s="85">
        <v>375.62</v>
      </c>
      <c r="AI39" s="87">
        <v>980</v>
      </c>
      <c r="AJ39" s="85">
        <v>391.62200000000001</v>
      </c>
    </row>
    <row r="40" spans="1:36" ht="14.25" customHeight="1">
      <c r="A40" s="88">
        <v>1010</v>
      </c>
      <c r="B40" s="84">
        <v>781.38199999999995</v>
      </c>
      <c r="C40" s="88">
        <v>1020</v>
      </c>
      <c r="D40" s="85">
        <v>775.36800000000005</v>
      </c>
      <c r="E40" s="86">
        <v>1010</v>
      </c>
      <c r="F40" s="85">
        <v>1610.704</v>
      </c>
      <c r="G40" s="87">
        <v>1010</v>
      </c>
      <c r="H40" s="85">
        <v>1608.886</v>
      </c>
      <c r="I40" s="87">
        <v>1010</v>
      </c>
      <c r="J40" s="85">
        <v>1360.498</v>
      </c>
      <c r="K40" s="87">
        <v>1010</v>
      </c>
      <c r="L40" s="85">
        <v>1360.3240000000001</v>
      </c>
      <c r="M40" s="87">
        <v>1010</v>
      </c>
      <c r="N40" s="85">
        <v>1360.2819999999999</v>
      </c>
      <c r="O40" s="87">
        <v>990</v>
      </c>
      <c r="P40" s="85">
        <v>1361.1769999999999</v>
      </c>
      <c r="Q40" s="87">
        <v>1010</v>
      </c>
      <c r="R40" s="85">
        <v>1360.8209999999999</v>
      </c>
      <c r="S40" s="87">
        <v>1010</v>
      </c>
      <c r="T40" s="85">
        <v>1361.0609999999999</v>
      </c>
      <c r="U40" s="87">
        <v>1000</v>
      </c>
      <c r="V40" s="85">
        <v>1359.117</v>
      </c>
      <c r="W40" s="87">
        <v>1010</v>
      </c>
      <c r="X40" s="85">
        <v>1359.095</v>
      </c>
      <c r="Y40" s="87">
        <v>1010</v>
      </c>
      <c r="Z40" s="85">
        <v>1357.732</v>
      </c>
      <c r="AA40" s="87">
        <v>1010</v>
      </c>
      <c r="AB40" s="85">
        <v>1356.8389999999999</v>
      </c>
      <c r="AC40" s="87">
        <v>1000</v>
      </c>
      <c r="AD40" s="85">
        <v>1281.4929999999999</v>
      </c>
      <c r="AE40" s="87">
        <v>1010</v>
      </c>
      <c r="AF40" s="85">
        <v>1282.261</v>
      </c>
      <c r="AG40" s="87">
        <v>990</v>
      </c>
      <c r="AH40" s="85">
        <v>375.29199999999997</v>
      </c>
      <c r="AI40" s="87">
        <v>990</v>
      </c>
      <c r="AJ40" s="85">
        <v>391.28199999999998</v>
      </c>
    </row>
    <row r="41" spans="1:36" ht="14.25" customHeight="1">
      <c r="A41" s="88">
        <v>1020</v>
      </c>
      <c r="B41" s="84">
        <v>780.64499999999998</v>
      </c>
      <c r="C41" s="88">
        <v>1030</v>
      </c>
      <c r="D41" s="85">
        <v>774.63499999999999</v>
      </c>
      <c r="E41" s="86">
        <v>1020</v>
      </c>
      <c r="F41" s="85">
        <v>1609.4490000000001</v>
      </c>
      <c r="G41" s="87">
        <v>1020</v>
      </c>
      <c r="H41" s="85">
        <v>1607.5619999999999</v>
      </c>
      <c r="I41" s="87">
        <v>1020</v>
      </c>
      <c r="J41" s="85">
        <v>1359.454</v>
      </c>
      <c r="K41" s="87">
        <v>1020</v>
      </c>
      <c r="L41" s="85">
        <v>1359.2360000000001</v>
      </c>
      <c r="M41" s="87">
        <v>1020</v>
      </c>
      <c r="N41" s="85">
        <v>1359.2190000000001</v>
      </c>
      <c r="O41" s="87">
        <v>1000</v>
      </c>
      <c r="P41" s="85">
        <v>1360.1410000000001</v>
      </c>
      <c r="Q41" s="87">
        <v>1020</v>
      </c>
      <c r="R41" s="85">
        <v>1359.7750000000001</v>
      </c>
      <c r="S41" s="87">
        <v>1020</v>
      </c>
      <c r="T41" s="85">
        <v>1360.0219999999999</v>
      </c>
      <c r="U41" s="87">
        <v>1010</v>
      </c>
      <c r="V41" s="85">
        <v>1358.0730000000001</v>
      </c>
      <c r="W41" s="87">
        <v>1020</v>
      </c>
      <c r="X41" s="85">
        <v>1358.0409999999999</v>
      </c>
      <c r="Y41" s="87">
        <v>1020</v>
      </c>
      <c r="Z41" s="85">
        <v>1356.7139999999999</v>
      </c>
      <c r="AA41" s="87">
        <v>1020</v>
      </c>
      <c r="AB41" s="85">
        <v>1355.8119999999999</v>
      </c>
      <c r="AC41" s="87">
        <v>1010</v>
      </c>
      <c r="AD41" s="85">
        <v>1280.4590000000001</v>
      </c>
      <c r="AE41" s="87">
        <v>1020</v>
      </c>
      <c r="AF41" s="85">
        <v>1281.2349999999999</v>
      </c>
      <c r="AG41" s="87">
        <v>1000</v>
      </c>
      <c r="AH41" s="85">
        <v>374.95699999999999</v>
      </c>
      <c r="AI41" s="87">
        <v>1000</v>
      </c>
      <c r="AJ41" s="85">
        <v>390.935</v>
      </c>
    </row>
    <row r="42" spans="1:36" ht="14.25" customHeight="1">
      <c r="A42" s="88">
        <v>1030</v>
      </c>
      <c r="B42" s="84">
        <v>779.90300000000002</v>
      </c>
      <c r="C42" s="88">
        <v>1040</v>
      </c>
      <c r="D42" s="85">
        <v>773.899</v>
      </c>
      <c r="E42" s="86">
        <v>1030</v>
      </c>
      <c r="F42" s="85">
        <v>1608.165</v>
      </c>
      <c r="G42" s="87">
        <v>1030</v>
      </c>
      <c r="H42" s="85">
        <v>1606.2080000000001</v>
      </c>
      <c r="I42" s="87">
        <v>1030</v>
      </c>
      <c r="J42" s="85">
        <v>1358.385</v>
      </c>
      <c r="K42" s="87">
        <v>1030</v>
      </c>
      <c r="L42" s="85">
        <v>1358.123</v>
      </c>
      <c r="M42" s="87">
        <v>1030</v>
      </c>
      <c r="N42" s="85">
        <v>1358.13</v>
      </c>
      <c r="O42" s="87">
        <v>1010</v>
      </c>
      <c r="P42" s="85">
        <v>1359.0820000000001</v>
      </c>
      <c r="Q42" s="87">
        <v>1030</v>
      </c>
      <c r="R42" s="85">
        <v>1358.7049999999999</v>
      </c>
      <c r="S42" s="87">
        <v>1030</v>
      </c>
      <c r="T42" s="85">
        <v>1358.9580000000001</v>
      </c>
      <c r="U42" s="87">
        <v>1020</v>
      </c>
      <c r="V42" s="85">
        <v>1357.0039999999999</v>
      </c>
      <c r="W42" s="87">
        <v>1030</v>
      </c>
      <c r="X42" s="85">
        <v>1356.963</v>
      </c>
      <c r="Y42" s="87">
        <v>1030</v>
      </c>
      <c r="Z42" s="85">
        <v>1355.674</v>
      </c>
      <c r="AA42" s="87">
        <v>1030</v>
      </c>
      <c r="AB42" s="85">
        <v>1354.76</v>
      </c>
      <c r="AC42" s="87">
        <v>1020</v>
      </c>
      <c r="AD42" s="85">
        <v>1279.4000000000001</v>
      </c>
      <c r="AE42" s="87">
        <v>1030</v>
      </c>
      <c r="AF42" s="85">
        <v>1280.1849999999999</v>
      </c>
      <c r="AG42" s="87">
        <v>1010</v>
      </c>
      <c r="AH42" s="85">
        <v>374.61500000000001</v>
      </c>
      <c r="AI42" s="87">
        <v>1010</v>
      </c>
      <c r="AJ42" s="85">
        <v>390.58100000000002</v>
      </c>
    </row>
    <row r="43" spans="1:36" ht="14.25" customHeight="1">
      <c r="A43" s="88">
        <v>1040</v>
      </c>
      <c r="B43" s="84">
        <v>779.15899999999999</v>
      </c>
      <c r="C43" s="88">
        <v>1050</v>
      </c>
      <c r="D43" s="85">
        <v>773.16200000000003</v>
      </c>
      <c r="E43" s="86">
        <v>1040</v>
      </c>
      <c r="F43" s="85">
        <v>1606.8520000000001</v>
      </c>
      <c r="G43" s="87">
        <v>1040</v>
      </c>
      <c r="H43" s="85">
        <v>1604.8240000000001</v>
      </c>
      <c r="I43" s="87">
        <v>1040</v>
      </c>
      <c r="J43" s="85">
        <v>1357.2919999999999</v>
      </c>
      <c r="K43" s="87">
        <v>1040</v>
      </c>
      <c r="L43" s="85">
        <v>1356.99</v>
      </c>
      <c r="M43" s="87">
        <v>1040</v>
      </c>
      <c r="N43" s="85">
        <v>1357.0170000000001</v>
      </c>
      <c r="O43" s="87">
        <v>1020</v>
      </c>
      <c r="P43" s="85">
        <v>1357.999</v>
      </c>
      <c r="Q43" s="87">
        <v>1040</v>
      </c>
      <c r="R43" s="85">
        <v>1357.61</v>
      </c>
      <c r="S43" s="87">
        <v>1040</v>
      </c>
      <c r="T43" s="85">
        <v>1357.8720000000001</v>
      </c>
      <c r="U43" s="87">
        <v>1030</v>
      </c>
      <c r="V43" s="85">
        <v>1355.91</v>
      </c>
      <c r="W43" s="87">
        <v>1040</v>
      </c>
      <c r="X43" s="85">
        <v>1355.8610000000001</v>
      </c>
      <c r="Y43" s="87">
        <v>1040</v>
      </c>
      <c r="Z43" s="85">
        <v>1354.61</v>
      </c>
      <c r="AA43" s="87">
        <v>1040</v>
      </c>
      <c r="AB43" s="85">
        <v>1353.6849999999999</v>
      </c>
      <c r="AC43" s="87">
        <v>1030</v>
      </c>
      <c r="AD43" s="85">
        <v>1278.317</v>
      </c>
      <c r="AE43" s="87">
        <v>1040</v>
      </c>
      <c r="AF43" s="85">
        <v>1279.1099999999999</v>
      </c>
      <c r="AG43" s="87">
        <v>1020</v>
      </c>
      <c r="AH43" s="85">
        <v>374.267</v>
      </c>
      <c r="AI43" s="87">
        <v>1020</v>
      </c>
      <c r="AJ43" s="85">
        <v>390.221</v>
      </c>
    </row>
    <row r="44" spans="1:36" ht="14.25" customHeight="1">
      <c r="A44" s="88">
        <v>1050</v>
      </c>
      <c r="B44" s="84">
        <v>778.41399999999999</v>
      </c>
      <c r="C44" s="88">
        <v>1060</v>
      </c>
      <c r="D44" s="85">
        <v>772.42499999999995</v>
      </c>
      <c r="E44" s="86">
        <v>1050</v>
      </c>
      <c r="F44" s="85">
        <v>1605.509</v>
      </c>
      <c r="G44" s="87">
        <v>1050</v>
      </c>
      <c r="H44" s="85">
        <v>1603.4190000000001</v>
      </c>
      <c r="I44" s="87">
        <v>1050</v>
      </c>
      <c r="J44" s="85">
        <v>1356.175</v>
      </c>
      <c r="K44" s="87">
        <v>1050</v>
      </c>
      <c r="L44" s="85">
        <v>1355.8510000000001</v>
      </c>
      <c r="M44" s="87">
        <v>1050</v>
      </c>
      <c r="N44" s="85">
        <v>1355.884</v>
      </c>
      <c r="O44" s="87">
        <v>1030</v>
      </c>
      <c r="P44" s="85">
        <v>1356.8920000000001</v>
      </c>
      <c r="Q44" s="87">
        <v>1050</v>
      </c>
      <c r="R44" s="85">
        <v>1356.49</v>
      </c>
      <c r="S44" s="87">
        <v>1050</v>
      </c>
      <c r="T44" s="85">
        <v>1356.761</v>
      </c>
      <c r="U44" s="87">
        <v>1040</v>
      </c>
      <c r="V44" s="85">
        <v>1354.7929999999999</v>
      </c>
      <c r="W44" s="87">
        <v>1050</v>
      </c>
      <c r="X44" s="85">
        <v>1354.7370000000001</v>
      </c>
      <c r="Y44" s="87">
        <v>1050</v>
      </c>
      <c r="Z44" s="85">
        <v>1353.5229999999999</v>
      </c>
      <c r="AA44" s="87">
        <v>1050</v>
      </c>
      <c r="AB44" s="85">
        <v>1352.586</v>
      </c>
      <c r="AC44" s="87">
        <v>1040</v>
      </c>
      <c r="AD44" s="85">
        <v>1277.2090000000001</v>
      </c>
      <c r="AE44" s="87">
        <v>1050</v>
      </c>
      <c r="AF44" s="85">
        <v>1278.011</v>
      </c>
      <c r="AG44" s="87">
        <v>1030</v>
      </c>
      <c r="AH44" s="85">
        <v>373.911</v>
      </c>
      <c r="AI44" s="87">
        <v>1030</v>
      </c>
      <c r="AJ44" s="85">
        <v>389.85399999999998</v>
      </c>
    </row>
    <row r="45" spans="1:36" ht="14.25" customHeight="1">
      <c r="A45" s="88">
        <v>1060</v>
      </c>
      <c r="B45" s="84">
        <v>777.66800000000001</v>
      </c>
      <c r="C45" s="88">
        <v>1070</v>
      </c>
      <c r="D45" s="85">
        <v>771.68700000000001</v>
      </c>
      <c r="E45" s="86">
        <v>1060</v>
      </c>
      <c r="F45" s="85">
        <v>1604.1369999999999</v>
      </c>
      <c r="G45" s="87">
        <v>1060</v>
      </c>
      <c r="H45" s="85">
        <v>1602.0060000000001</v>
      </c>
      <c r="I45" s="87">
        <v>1060</v>
      </c>
      <c r="J45" s="85">
        <v>1355.04</v>
      </c>
      <c r="K45" s="87">
        <v>1060</v>
      </c>
      <c r="L45" s="85">
        <v>1354.711</v>
      </c>
      <c r="M45" s="87">
        <v>1060</v>
      </c>
      <c r="N45" s="85">
        <v>1354.7439999999999</v>
      </c>
      <c r="O45" s="87">
        <v>1040</v>
      </c>
      <c r="P45" s="85">
        <v>1355.7629999999999</v>
      </c>
      <c r="Q45" s="87">
        <v>1060</v>
      </c>
      <c r="R45" s="85">
        <v>1355.3530000000001</v>
      </c>
      <c r="S45" s="87">
        <v>1060</v>
      </c>
      <c r="T45" s="85">
        <v>1355.6310000000001</v>
      </c>
      <c r="U45" s="87">
        <v>1050</v>
      </c>
      <c r="V45" s="85">
        <v>1353.6590000000001</v>
      </c>
      <c r="W45" s="87">
        <v>1060</v>
      </c>
      <c r="X45" s="85">
        <v>1353.6</v>
      </c>
      <c r="Y45" s="87">
        <v>1060</v>
      </c>
      <c r="Z45" s="85">
        <v>1352.412</v>
      </c>
      <c r="AA45" s="87">
        <v>1060</v>
      </c>
      <c r="AB45" s="85">
        <v>1351.4649999999999</v>
      </c>
      <c r="AC45" s="87">
        <v>1050</v>
      </c>
      <c r="AD45" s="85">
        <v>1276.0809999999999</v>
      </c>
      <c r="AE45" s="87">
        <v>1060</v>
      </c>
      <c r="AF45" s="85">
        <v>1276.8900000000001</v>
      </c>
      <c r="AG45" s="87">
        <v>1040</v>
      </c>
      <c r="AH45" s="85">
        <v>373.54700000000003</v>
      </c>
      <c r="AI45" s="87">
        <v>1040</v>
      </c>
      <c r="AJ45" s="85">
        <v>389.48</v>
      </c>
    </row>
    <row r="46" spans="1:36" ht="14.25" customHeight="1">
      <c r="A46" s="88">
        <v>1070</v>
      </c>
      <c r="B46" s="84">
        <v>776.923</v>
      </c>
      <c r="C46" s="88">
        <v>1080</v>
      </c>
      <c r="D46" s="85">
        <v>770.95</v>
      </c>
      <c r="E46" s="86">
        <v>1070</v>
      </c>
      <c r="F46" s="85">
        <v>1602.7380000000001</v>
      </c>
      <c r="G46" s="87">
        <v>1070</v>
      </c>
      <c r="H46" s="85">
        <v>1600.5920000000001</v>
      </c>
      <c r="I46" s="87">
        <v>1070</v>
      </c>
      <c r="J46" s="85">
        <v>1353.8979999999999</v>
      </c>
      <c r="K46" s="87">
        <v>1070</v>
      </c>
      <c r="L46" s="85">
        <v>1353.5719999999999</v>
      </c>
      <c r="M46" s="87">
        <v>1070</v>
      </c>
      <c r="N46" s="85">
        <v>1353.604</v>
      </c>
      <c r="O46" s="87">
        <v>1050</v>
      </c>
      <c r="P46" s="85">
        <v>1354.624</v>
      </c>
      <c r="Q46" s="87">
        <v>1070</v>
      </c>
      <c r="R46" s="85">
        <v>1354.213</v>
      </c>
      <c r="S46" s="87">
        <v>1070</v>
      </c>
      <c r="T46" s="85">
        <v>1354.4929999999999</v>
      </c>
      <c r="U46" s="87">
        <v>1060</v>
      </c>
      <c r="V46" s="85">
        <v>1352.5219999999999</v>
      </c>
      <c r="W46" s="87">
        <v>1070</v>
      </c>
      <c r="X46" s="85">
        <v>1352.4639999999999</v>
      </c>
      <c r="Y46" s="87">
        <v>1070</v>
      </c>
      <c r="Z46" s="85">
        <v>1351.28</v>
      </c>
      <c r="AA46" s="87">
        <v>1070</v>
      </c>
      <c r="AB46" s="85">
        <v>1350.33</v>
      </c>
      <c r="AC46" s="87">
        <v>1060</v>
      </c>
      <c r="AD46" s="85">
        <v>1274.944</v>
      </c>
      <c r="AE46" s="87">
        <v>1070</v>
      </c>
      <c r="AF46" s="85">
        <v>1275.7539999999999</v>
      </c>
      <c r="AG46" s="87">
        <v>1050</v>
      </c>
      <c r="AH46" s="85">
        <v>373.178</v>
      </c>
      <c r="AI46" s="87">
        <v>1050</v>
      </c>
      <c r="AJ46" s="85">
        <v>389.09899999999999</v>
      </c>
    </row>
    <row r="47" spans="1:36" ht="14.25" customHeight="1">
      <c r="A47" s="88">
        <v>1080</v>
      </c>
      <c r="B47" s="84">
        <v>776.17700000000002</v>
      </c>
      <c r="C47" s="88">
        <v>1090</v>
      </c>
      <c r="D47" s="85">
        <v>770.21199999999999</v>
      </c>
      <c r="E47" s="86">
        <v>1080</v>
      </c>
      <c r="F47" s="85">
        <v>1601.3230000000001</v>
      </c>
      <c r="G47" s="87">
        <v>1080</v>
      </c>
      <c r="H47" s="85">
        <v>1599.1780000000001</v>
      </c>
      <c r="I47" s="87">
        <v>1080</v>
      </c>
      <c r="J47" s="85">
        <v>1352.7570000000001</v>
      </c>
      <c r="K47" s="87">
        <v>1080</v>
      </c>
      <c r="L47" s="85">
        <v>1352.431</v>
      </c>
      <c r="M47" s="87">
        <v>1080</v>
      </c>
      <c r="N47" s="85">
        <v>1352.463</v>
      </c>
      <c r="O47" s="87">
        <v>1060</v>
      </c>
      <c r="P47" s="85">
        <v>1353.4839999999999</v>
      </c>
      <c r="Q47" s="87">
        <v>1080</v>
      </c>
      <c r="R47" s="85">
        <v>1353.0730000000001</v>
      </c>
      <c r="S47" s="87">
        <v>1080</v>
      </c>
      <c r="T47" s="85">
        <v>1353.3530000000001</v>
      </c>
      <c r="U47" s="87">
        <v>1070</v>
      </c>
      <c r="V47" s="85">
        <v>1351.386</v>
      </c>
      <c r="W47" s="87">
        <v>1080</v>
      </c>
      <c r="X47" s="85">
        <v>1351.327</v>
      </c>
      <c r="Y47" s="87">
        <v>1080</v>
      </c>
      <c r="Z47" s="85">
        <v>1350.1410000000001</v>
      </c>
      <c r="AA47" s="87">
        <v>1080</v>
      </c>
      <c r="AB47" s="85">
        <v>1349.1949999999999</v>
      </c>
      <c r="AC47" s="87">
        <v>1070</v>
      </c>
      <c r="AD47" s="85">
        <v>1273.806</v>
      </c>
      <c r="AE47" s="87">
        <v>1080</v>
      </c>
      <c r="AF47" s="85">
        <v>1274.6179999999999</v>
      </c>
      <c r="AG47" s="87">
        <v>1060</v>
      </c>
      <c r="AH47" s="85">
        <v>372.80900000000003</v>
      </c>
      <c r="AI47" s="87">
        <v>1060</v>
      </c>
      <c r="AJ47" s="85">
        <v>388.71699999999998</v>
      </c>
    </row>
    <row r="48" spans="1:36" ht="14.25" customHeight="1">
      <c r="A48" s="88">
        <v>1090</v>
      </c>
      <c r="B48" s="84">
        <v>775.43100000000004</v>
      </c>
      <c r="C48" s="88">
        <v>1100</v>
      </c>
      <c r="D48" s="85">
        <v>769.47400000000005</v>
      </c>
      <c r="E48" s="86">
        <v>1090</v>
      </c>
      <c r="F48" s="85">
        <v>1599.903</v>
      </c>
      <c r="G48" s="87">
        <v>1090</v>
      </c>
      <c r="H48" s="85">
        <v>1597.7639999999999</v>
      </c>
      <c r="I48" s="87">
        <v>1090</v>
      </c>
      <c r="J48" s="85">
        <v>1351.615</v>
      </c>
      <c r="K48" s="87">
        <v>1090</v>
      </c>
      <c r="L48" s="85">
        <v>1351.2909999999999</v>
      </c>
      <c r="M48" s="87">
        <v>1090</v>
      </c>
      <c r="N48" s="85">
        <v>1351.3219999999999</v>
      </c>
      <c r="O48" s="87">
        <v>1070</v>
      </c>
      <c r="P48" s="85">
        <v>1352.3430000000001</v>
      </c>
      <c r="Q48" s="87">
        <v>1090</v>
      </c>
      <c r="R48" s="85">
        <v>1351.933</v>
      </c>
      <c r="S48" s="87">
        <v>1090</v>
      </c>
      <c r="T48" s="85">
        <v>1352.2139999999999</v>
      </c>
      <c r="U48" s="87">
        <v>1080</v>
      </c>
      <c r="V48" s="85">
        <v>1350.249</v>
      </c>
      <c r="W48" s="87">
        <v>1090</v>
      </c>
      <c r="X48" s="85">
        <v>1350.1890000000001</v>
      </c>
      <c r="Y48" s="87">
        <v>1090</v>
      </c>
      <c r="Z48" s="85">
        <v>1349.0029999999999</v>
      </c>
      <c r="AA48" s="87">
        <v>1090</v>
      </c>
      <c r="AB48" s="85">
        <v>1348.059</v>
      </c>
      <c r="AC48" s="87">
        <v>1080</v>
      </c>
      <c r="AD48" s="85">
        <v>1272.6679999999999</v>
      </c>
      <c r="AE48" s="87">
        <v>1090</v>
      </c>
      <c r="AF48" s="85">
        <v>1273.482</v>
      </c>
      <c r="AG48" s="87">
        <v>1070</v>
      </c>
      <c r="AH48" s="85">
        <v>372.44099999999997</v>
      </c>
      <c r="AI48" s="87">
        <v>1070</v>
      </c>
      <c r="AJ48" s="85">
        <v>388.334</v>
      </c>
    </row>
    <row r="49" spans="1:36" ht="14.25" customHeight="1">
      <c r="A49" s="88">
        <v>1100</v>
      </c>
      <c r="B49" s="84">
        <v>774.68499999999995</v>
      </c>
      <c r="C49" s="88">
        <v>1110</v>
      </c>
      <c r="D49" s="85">
        <v>768.73500000000001</v>
      </c>
      <c r="E49" s="86">
        <v>1100</v>
      </c>
      <c r="F49" s="85">
        <v>1598.4839999999999</v>
      </c>
      <c r="G49" s="87">
        <v>1100</v>
      </c>
      <c r="H49" s="85">
        <v>1596.3489999999999</v>
      </c>
      <c r="I49" s="87">
        <v>1100</v>
      </c>
      <c r="J49" s="85">
        <v>1350.473</v>
      </c>
      <c r="K49" s="87">
        <v>1100</v>
      </c>
      <c r="L49" s="85">
        <v>1350.15</v>
      </c>
      <c r="M49" s="87">
        <v>1100</v>
      </c>
      <c r="N49" s="85">
        <v>1350.181</v>
      </c>
      <c r="O49" s="87">
        <v>1080</v>
      </c>
      <c r="P49" s="85">
        <v>1351.203</v>
      </c>
      <c r="Q49" s="87">
        <v>1100</v>
      </c>
      <c r="R49" s="85">
        <v>1350.7919999999999</v>
      </c>
      <c r="S49" s="87">
        <v>1100</v>
      </c>
      <c r="T49" s="85">
        <v>1351.075</v>
      </c>
      <c r="U49" s="87">
        <v>1090</v>
      </c>
      <c r="V49" s="85">
        <v>1349.1120000000001</v>
      </c>
      <c r="W49" s="87">
        <v>1100</v>
      </c>
      <c r="X49" s="85">
        <v>1349.0519999999999</v>
      </c>
      <c r="Y49" s="87">
        <v>1100</v>
      </c>
      <c r="Z49" s="85">
        <v>1347.864</v>
      </c>
      <c r="AA49" s="87">
        <v>1100</v>
      </c>
      <c r="AB49" s="85">
        <v>1346.923</v>
      </c>
      <c r="AC49" s="87">
        <v>1090</v>
      </c>
      <c r="AD49" s="85">
        <v>1271.529</v>
      </c>
      <c r="AE49" s="87">
        <v>1100</v>
      </c>
      <c r="AF49" s="85">
        <v>1272.346</v>
      </c>
      <c r="AG49" s="87">
        <v>1080</v>
      </c>
      <c r="AH49" s="85">
        <v>372.072</v>
      </c>
      <c r="AI49" s="87">
        <v>1080</v>
      </c>
      <c r="AJ49" s="85">
        <v>387.95100000000002</v>
      </c>
    </row>
    <row r="50" spans="1:36" ht="14.25" customHeight="1">
      <c r="A50" s="88">
        <v>1110</v>
      </c>
      <c r="B50" s="84">
        <v>773.93799999999999</v>
      </c>
      <c r="C50" s="88">
        <v>1120</v>
      </c>
      <c r="D50" s="85">
        <v>767.99699999999996</v>
      </c>
      <c r="E50" s="86">
        <v>1110</v>
      </c>
      <c r="F50" s="85">
        <v>1597.0640000000001</v>
      </c>
      <c r="G50" s="87">
        <v>1110</v>
      </c>
      <c r="H50" s="85">
        <v>1594.934</v>
      </c>
      <c r="I50" s="87">
        <v>1110</v>
      </c>
      <c r="J50" s="85">
        <v>1349.3309999999999</v>
      </c>
      <c r="K50" s="87">
        <v>1110</v>
      </c>
      <c r="L50" s="85">
        <v>1349.01</v>
      </c>
      <c r="M50" s="87">
        <v>1110</v>
      </c>
      <c r="N50" s="85">
        <v>1349.039</v>
      </c>
      <c r="O50" s="87">
        <v>1090</v>
      </c>
      <c r="P50" s="85">
        <v>1350.0619999999999</v>
      </c>
      <c r="Q50" s="87">
        <v>1110</v>
      </c>
      <c r="R50" s="85">
        <v>1349.6510000000001</v>
      </c>
      <c r="S50" s="87">
        <v>1110</v>
      </c>
      <c r="T50" s="85">
        <v>1349.9349999999999</v>
      </c>
      <c r="U50" s="87">
        <v>1100</v>
      </c>
      <c r="V50" s="85">
        <v>1347.9739999999999</v>
      </c>
      <c r="W50" s="87">
        <v>1110</v>
      </c>
      <c r="X50" s="85">
        <v>1347.914</v>
      </c>
      <c r="Y50" s="87">
        <v>1110</v>
      </c>
      <c r="Z50" s="85">
        <v>1346.7239999999999</v>
      </c>
      <c r="AA50" s="87">
        <v>1110</v>
      </c>
      <c r="AB50" s="85">
        <v>1345.787</v>
      </c>
      <c r="AC50" s="87">
        <v>1100</v>
      </c>
      <c r="AD50" s="85">
        <v>1270.3910000000001</v>
      </c>
      <c r="AE50" s="87">
        <v>1110</v>
      </c>
      <c r="AF50" s="85">
        <v>1271.2090000000001</v>
      </c>
      <c r="AG50" s="87">
        <v>1090</v>
      </c>
      <c r="AH50" s="85">
        <v>371.702</v>
      </c>
      <c r="AI50" s="87">
        <v>1090</v>
      </c>
      <c r="AJ50" s="85">
        <v>387.56799999999998</v>
      </c>
    </row>
    <row r="51" spans="1:36" ht="14.25" customHeight="1">
      <c r="A51" s="88">
        <v>1120</v>
      </c>
      <c r="B51" s="84">
        <v>773.19200000000001</v>
      </c>
      <c r="C51" s="88">
        <v>1130</v>
      </c>
      <c r="D51" s="85">
        <v>767.25800000000004</v>
      </c>
      <c r="E51" s="86">
        <v>1120</v>
      </c>
      <c r="F51" s="85">
        <v>1595.644</v>
      </c>
      <c r="G51" s="87">
        <v>1120</v>
      </c>
      <c r="H51" s="85">
        <v>1593.519</v>
      </c>
      <c r="I51" s="87">
        <v>1120</v>
      </c>
      <c r="J51" s="85">
        <v>1348.1880000000001</v>
      </c>
      <c r="K51" s="87">
        <v>1120</v>
      </c>
      <c r="L51" s="85">
        <v>1347.8689999999999</v>
      </c>
      <c r="M51" s="87">
        <v>1120</v>
      </c>
      <c r="N51" s="85">
        <v>1347.8969999999999</v>
      </c>
      <c r="O51" s="87">
        <v>1100</v>
      </c>
      <c r="P51" s="85">
        <v>1348.921</v>
      </c>
      <c r="Q51" s="87">
        <v>1120</v>
      </c>
      <c r="R51" s="85">
        <v>1348.51</v>
      </c>
      <c r="S51" s="87">
        <v>1120</v>
      </c>
      <c r="T51" s="85">
        <v>1348.7950000000001</v>
      </c>
      <c r="U51" s="87">
        <v>1110</v>
      </c>
      <c r="V51" s="85">
        <v>1346.837</v>
      </c>
      <c r="W51" s="87">
        <v>1120</v>
      </c>
      <c r="X51" s="85">
        <v>1346.7760000000001</v>
      </c>
      <c r="Y51" s="87">
        <v>1120</v>
      </c>
      <c r="Z51" s="85">
        <v>1345.585</v>
      </c>
      <c r="AA51" s="87">
        <v>1120</v>
      </c>
      <c r="AB51" s="85">
        <v>1344.6510000000001</v>
      </c>
      <c r="AC51" s="87">
        <v>1110</v>
      </c>
      <c r="AD51" s="85">
        <v>1269.252</v>
      </c>
      <c r="AE51" s="87">
        <v>1120</v>
      </c>
      <c r="AF51" s="85">
        <v>1270.0719999999999</v>
      </c>
      <c r="AG51" s="87">
        <v>1100</v>
      </c>
      <c r="AH51" s="85">
        <v>371.33300000000003</v>
      </c>
      <c r="AI51" s="87">
        <v>1100</v>
      </c>
      <c r="AJ51" s="85">
        <v>387.185</v>
      </c>
    </row>
    <row r="52" spans="1:36" ht="14.25" customHeight="1">
      <c r="A52" s="88">
        <v>1130</v>
      </c>
      <c r="B52" s="84">
        <v>772.44500000000005</v>
      </c>
      <c r="C52" s="88">
        <v>1140</v>
      </c>
      <c r="D52" s="85">
        <v>766.51900000000001</v>
      </c>
      <c r="E52" s="86">
        <v>1130</v>
      </c>
      <c r="F52" s="85">
        <v>1594.2239999999999</v>
      </c>
      <c r="G52" s="87">
        <v>1130</v>
      </c>
      <c r="H52" s="85">
        <v>1592.104</v>
      </c>
      <c r="I52" s="87">
        <v>1130</v>
      </c>
      <c r="J52" s="85">
        <v>1347.046</v>
      </c>
      <c r="K52" s="87">
        <v>1130</v>
      </c>
      <c r="L52" s="85">
        <v>1346.7270000000001</v>
      </c>
      <c r="M52" s="87">
        <v>1130</v>
      </c>
      <c r="N52" s="85">
        <v>1346.7550000000001</v>
      </c>
      <c r="O52" s="87">
        <v>1110</v>
      </c>
      <c r="P52" s="85">
        <v>1347.779</v>
      </c>
      <c r="Q52" s="87">
        <v>1130</v>
      </c>
      <c r="R52" s="85">
        <v>1347.3689999999999</v>
      </c>
      <c r="S52" s="87">
        <v>1130</v>
      </c>
      <c r="T52" s="85">
        <v>1347.654</v>
      </c>
      <c r="U52" s="87">
        <v>1120</v>
      </c>
      <c r="V52" s="85">
        <v>1345.6990000000001</v>
      </c>
      <c r="W52" s="87">
        <v>1130</v>
      </c>
      <c r="X52" s="85">
        <v>1345.6379999999999</v>
      </c>
      <c r="Y52" s="87">
        <v>1130</v>
      </c>
      <c r="Z52" s="85">
        <v>1344.4449999999999</v>
      </c>
      <c r="AA52" s="87">
        <v>1130</v>
      </c>
      <c r="AB52" s="85">
        <v>1343.5139999999999</v>
      </c>
      <c r="AC52" s="87">
        <v>1120</v>
      </c>
      <c r="AD52" s="85">
        <v>1268.1130000000001</v>
      </c>
      <c r="AE52" s="87">
        <v>1130</v>
      </c>
      <c r="AF52" s="85">
        <v>1268.9349999999999</v>
      </c>
      <c r="AG52" s="87">
        <v>1110</v>
      </c>
      <c r="AH52" s="85">
        <v>370.964</v>
      </c>
      <c r="AI52" s="87">
        <v>1110</v>
      </c>
      <c r="AJ52" s="85">
        <v>386.80200000000002</v>
      </c>
    </row>
    <row r="53" spans="1:36" ht="14.25" customHeight="1">
      <c r="A53" s="88">
        <v>1140</v>
      </c>
      <c r="B53" s="84">
        <v>771.69799999999998</v>
      </c>
      <c r="C53" s="88">
        <v>1150</v>
      </c>
      <c r="D53" s="85">
        <v>765.78</v>
      </c>
      <c r="E53" s="86">
        <v>1140</v>
      </c>
      <c r="F53" s="85">
        <v>1592.8030000000001</v>
      </c>
      <c r="G53" s="87">
        <v>1140</v>
      </c>
      <c r="H53" s="85">
        <v>1590.6880000000001</v>
      </c>
      <c r="I53" s="87">
        <v>1140</v>
      </c>
      <c r="J53" s="85">
        <v>1345.903</v>
      </c>
      <c r="K53" s="87">
        <v>1140</v>
      </c>
      <c r="L53" s="85">
        <v>1345.586</v>
      </c>
      <c r="M53" s="87">
        <v>1140</v>
      </c>
      <c r="N53" s="85">
        <v>1345.6130000000001</v>
      </c>
      <c r="O53" s="87">
        <v>1120</v>
      </c>
      <c r="P53" s="85">
        <v>1346.6379999999999</v>
      </c>
      <c r="Q53" s="87">
        <v>1140</v>
      </c>
      <c r="R53" s="85">
        <v>1346.2270000000001</v>
      </c>
      <c r="S53" s="87">
        <v>1140</v>
      </c>
      <c r="T53" s="85">
        <v>1346.5139999999999</v>
      </c>
      <c r="U53" s="87">
        <v>1130</v>
      </c>
      <c r="V53" s="85">
        <v>1344.36</v>
      </c>
      <c r="W53" s="87">
        <v>1140</v>
      </c>
      <c r="X53" s="85">
        <v>1344.5</v>
      </c>
      <c r="Y53" s="87">
        <v>1140</v>
      </c>
      <c r="Z53" s="85">
        <v>1343.3050000000001</v>
      </c>
      <c r="AA53" s="87">
        <v>1140</v>
      </c>
      <c r="AB53" s="85">
        <v>1342.377</v>
      </c>
      <c r="AC53" s="87">
        <v>1130</v>
      </c>
      <c r="AD53" s="85">
        <v>1266.973</v>
      </c>
      <c r="AE53" s="87">
        <v>1140</v>
      </c>
      <c r="AF53" s="85">
        <v>1267.797</v>
      </c>
      <c r="AG53" s="87">
        <v>1120</v>
      </c>
      <c r="AH53" s="85">
        <v>370.59500000000003</v>
      </c>
      <c r="AI53" s="87">
        <v>1120</v>
      </c>
      <c r="AJ53" s="85">
        <v>386.41899999999998</v>
      </c>
    </row>
    <row r="54" spans="1:36" ht="14.25" customHeight="1">
      <c r="A54" s="88">
        <v>1150</v>
      </c>
      <c r="B54" s="84">
        <v>770.95100000000002</v>
      </c>
      <c r="C54" s="88">
        <v>1160</v>
      </c>
      <c r="D54" s="85">
        <v>765.04100000000005</v>
      </c>
      <c r="E54" s="86">
        <v>1150</v>
      </c>
      <c r="F54" s="85">
        <v>1591.3820000000001</v>
      </c>
      <c r="G54" s="87">
        <v>1150</v>
      </c>
      <c r="H54" s="85">
        <v>1589.2719999999999</v>
      </c>
      <c r="I54" s="87">
        <v>1150</v>
      </c>
      <c r="J54" s="85">
        <v>1344.76</v>
      </c>
      <c r="K54" s="87">
        <v>1150</v>
      </c>
      <c r="L54" s="85">
        <v>1344.444</v>
      </c>
      <c r="M54" s="87">
        <v>1150</v>
      </c>
      <c r="N54" s="85">
        <v>1344.47</v>
      </c>
      <c r="O54" s="87">
        <v>1130</v>
      </c>
      <c r="P54" s="85">
        <v>1345.4960000000001</v>
      </c>
      <c r="Q54" s="87">
        <v>1150</v>
      </c>
      <c r="R54" s="85">
        <v>1345.085</v>
      </c>
      <c r="S54" s="87">
        <v>1150</v>
      </c>
      <c r="T54" s="85">
        <v>1345.373</v>
      </c>
      <c r="U54" s="87">
        <v>1140</v>
      </c>
      <c r="V54" s="85">
        <v>1343.422</v>
      </c>
      <c r="W54" s="87">
        <v>1150</v>
      </c>
      <c r="X54" s="85">
        <v>1343.3610000000001</v>
      </c>
      <c r="Y54" s="87">
        <v>1150</v>
      </c>
      <c r="Z54" s="85">
        <v>1342.165</v>
      </c>
      <c r="AA54" s="87">
        <v>1150</v>
      </c>
      <c r="AB54" s="85">
        <v>1341.24</v>
      </c>
      <c r="AC54" s="87">
        <v>1140</v>
      </c>
      <c r="AD54" s="85">
        <v>1265.8330000000001</v>
      </c>
      <c r="AE54" s="87">
        <v>1150</v>
      </c>
      <c r="AF54" s="85">
        <v>1266.6590000000001</v>
      </c>
      <c r="AG54" s="87">
        <v>1130</v>
      </c>
      <c r="AH54" s="85">
        <v>370.22500000000002</v>
      </c>
      <c r="AI54" s="87">
        <v>1130</v>
      </c>
      <c r="AJ54" s="85">
        <v>386.036</v>
      </c>
    </row>
    <row r="55" spans="1:36" ht="14.25" customHeight="1">
      <c r="A55" s="88">
        <v>1160</v>
      </c>
      <c r="B55" s="84">
        <v>770.20299999999997</v>
      </c>
      <c r="C55" s="88">
        <v>1170</v>
      </c>
      <c r="D55" s="85">
        <v>764.30100000000004</v>
      </c>
      <c r="E55" s="86">
        <v>1160</v>
      </c>
      <c r="F55" s="85">
        <v>1589.961</v>
      </c>
      <c r="G55" s="87">
        <v>1160</v>
      </c>
      <c r="H55" s="85">
        <v>1587.856</v>
      </c>
      <c r="I55" s="87">
        <v>1160</v>
      </c>
      <c r="J55" s="85">
        <v>1343.616</v>
      </c>
      <c r="K55" s="87">
        <v>1160</v>
      </c>
      <c r="L55" s="85">
        <v>1343.3019999999999</v>
      </c>
      <c r="M55" s="87">
        <v>1160</v>
      </c>
      <c r="N55" s="85">
        <v>1343.328</v>
      </c>
      <c r="O55" s="87">
        <v>1140</v>
      </c>
      <c r="P55" s="85">
        <v>1344.3530000000001</v>
      </c>
      <c r="Q55" s="87">
        <v>1160</v>
      </c>
      <c r="R55" s="85">
        <v>1343.943</v>
      </c>
      <c r="S55" s="87">
        <v>1160</v>
      </c>
      <c r="T55" s="85">
        <v>1344.232</v>
      </c>
      <c r="U55" s="87">
        <v>1150</v>
      </c>
      <c r="V55" s="85">
        <v>1342.2829999999999</v>
      </c>
      <c r="W55" s="87">
        <v>1160</v>
      </c>
      <c r="X55" s="85">
        <v>1342.222</v>
      </c>
      <c r="Y55" s="87">
        <v>1160</v>
      </c>
      <c r="Z55" s="85">
        <v>1341.0250000000001</v>
      </c>
      <c r="AA55" s="87">
        <v>1160</v>
      </c>
      <c r="AB55" s="85">
        <v>1340.1020000000001</v>
      </c>
      <c r="AC55" s="87">
        <v>1150</v>
      </c>
      <c r="AD55" s="85">
        <v>1264.694</v>
      </c>
      <c r="AE55" s="87">
        <v>1160</v>
      </c>
      <c r="AF55" s="85">
        <v>1265.5219999999999</v>
      </c>
      <c r="AG55" s="87">
        <v>1140</v>
      </c>
      <c r="AH55" s="85">
        <v>369.85599999999999</v>
      </c>
      <c r="AI55" s="87">
        <v>1140</v>
      </c>
      <c r="AJ55" s="85">
        <v>385.65199999999999</v>
      </c>
    </row>
    <row r="56" spans="1:36" ht="14.25" customHeight="1">
      <c r="A56" s="88">
        <v>1170</v>
      </c>
      <c r="B56" s="84">
        <v>769.45600000000002</v>
      </c>
      <c r="C56" s="88">
        <v>1180</v>
      </c>
      <c r="D56" s="85">
        <v>763.56100000000004</v>
      </c>
      <c r="E56" s="86">
        <v>1170</v>
      </c>
      <c r="F56" s="85">
        <v>1588.539</v>
      </c>
      <c r="G56" s="87">
        <v>1170</v>
      </c>
      <c r="H56" s="85">
        <v>1586.4390000000001</v>
      </c>
      <c r="I56" s="87">
        <v>1170</v>
      </c>
      <c r="J56" s="85">
        <v>1342.473</v>
      </c>
      <c r="K56" s="87">
        <v>1170</v>
      </c>
      <c r="L56" s="85">
        <v>1342.1590000000001</v>
      </c>
      <c r="M56" s="87">
        <v>1170</v>
      </c>
      <c r="N56" s="85">
        <v>1342.1849999999999</v>
      </c>
      <c r="O56" s="87">
        <v>1150</v>
      </c>
      <c r="P56" s="85">
        <v>1343.211</v>
      </c>
      <c r="Q56" s="87">
        <v>1170</v>
      </c>
      <c r="R56" s="85">
        <v>1342.8009999999999</v>
      </c>
      <c r="S56" s="87">
        <v>1170</v>
      </c>
      <c r="T56" s="85">
        <v>1343.0909999999999</v>
      </c>
      <c r="U56" s="87">
        <v>1160</v>
      </c>
      <c r="V56" s="85">
        <v>1341.144</v>
      </c>
      <c r="W56" s="87">
        <v>1170</v>
      </c>
      <c r="X56" s="85">
        <v>1341.0830000000001</v>
      </c>
      <c r="Y56" s="87">
        <v>1170</v>
      </c>
      <c r="Z56" s="85">
        <v>1339.884</v>
      </c>
      <c r="AA56" s="87">
        <v>1170</v>
      </c>
      <c r="AB56" s="85">
        <v>1338.9649999999999</v>
      </c>
      <c r="AC56" s="87">
        <v>1160</v>
      </c>
      <c r="AD56" s="85">
        <v>1263.5530000000001</v>
      </c>
      <c r="AE56" s="87">
        <v>1170</v>
      </c>
      <c r="AF56" s="85">
        <v>1264.383</v>
      </c>
      <c r="AG56" s="87">
        <v>1150</v>
      </c>
      <c r="AH56" s="85">
        <v>369.48599999999999</v>
      </c>
      <c r="AI56" s="87">
        <v>1150</v>
      </c>
      <c r="AJ56" s="85">
        <v>385.26900000000001</v>
      </c>
    </row>
    <row r="57" spans="1:36" ht="14.25" customHeight="1">
      <c r="A57" s="88">
        <v>1180</v>
      </c>
      <c r="B57" s="84">
        <v>768.70799999999997</v>
      </c>
      <c r="C57" s="88">
        <v>1190</v>
      </c>
      <c r="D57" s="85">
        <v>762.82100000000003</v>
      </c>
      <c r="E57" s="86">
        <v>1180</v>
      </c>
      <c r="F57" s="85">
        <v>1587.117</v>
      </c>
      <c r="G57" s="87">
        <v>1180</v>
      </c>
      <c r="H57" s="85">
        <v>1585.0219999999999</v>
      </c>
      <c r="I57" s="87">
        <v>1180</v>
      </c>
      <c r="J57" s="85">
        <v>1341.329</v>
      </c>
      <c r="K57" s="87">
        <v>1180</v>
      </c>
      <c r="L57" s="85">
        <v>1341.0170000000001</v>
      </c>
      <c r="M57" s="87">
        <v>1180</v>
      </c>
      <c r="N57" s="85">
        <v>1341.0419999999999</v>
      </c>
      <c r="O57" s="87">
        <v>1160</v>
      </c>
      <c r="P57" s="85">
        <v>1342.068</v>
      </c>
      <c r="Q57" s="87">
        <v>1180</v>
      </c>
      <c r="R57" s="85">
        <v>1341.6579999999999</v>
      </c>
      <c r="S57" s="87">
        <v>1180</v>
      </c>
      <c r="T57" s="85">
        <v>1341.9490000000001</v>
      </c>
      <c r="U57" s="87">
        <v>1170</v>
      </c>
      <c r="V57" s="85">
        <v>1340.0050000000001</v>
      </c>
      <c r="W57" s="87">
        <v>1180</v>
      </c>
      <c r="X57" s="85">
        <v>1339.943</v>
      </c>
      <c r="Y57" s="87">
        <v>1180</v>
      </c>
      <c r="Z57" s="85">
        <v>1338.7429999999999</v>
      </c>
      <c r="AA57" s="87">
        <v>1180</v>
      </c>
      <c r="AB57" s="85">
        <v>1337.827</v>
      </c>
      <c r="AC57" s="87">
        <v>1170</v>
      </c>
      <c r="AD57" s="85">
        <v>1262.413</v>
      </c>
      <c r="AE57" s="87">
        <v>1180</v>
      </c>
      <c r="AF57" s="85">
        <v>1263.2449999999999</v>
      </c>
      <c r="AG57" s="87">
        <v>1160</v>
      </c>
      <c r="AH57" s="85">
        <v>369.11599999999999</v>
      </c>
      <c r="AI57" s="87">
        <v>1160</v>
      </c>
      <c r="AJ57" s="85">
        <v>384.88499999999999</v>
      </c>
    </row>
    <row r="58" spans="1:36" ht="14.25" customHeight="1">
      <c r="A58" s="88">
        <v>1190</v>
      </c>
      <c r="B58" s="84">
        <v>767.96</v>
      </c>
      <c r="C58" s="88">
        <v>1200</v>
      </c>
      <c r="D58" s="85">
        <v>762.08100000000002</v>
      </c>
      <c r="E58" s="86">
        <v>1190</v>
      </c>
      <c r="F58" s="85">
        <v>1585.6949999999999</v>
      </c>
      <c r="G58" s="87">
        <v>1190</v>
      </c>
      <c r="H58" s="85">
        <v>1583.605</v>
      </c>
      <c r="I58" s="87">
        <v>1190</v>
      </c>
      <c r="J58" s="85">
        <v>1340.1849999999999</v>
      </c>
      <c r="K58" s="87">
        <v>1190</v>
      </c>
      <c r="L58" s="85">
        <v>1339.874</v>
      </c>
      <c r="M58" s="87">
        <v>1190</v>
      </c>
      <c r="N58" s="85">
        <v>1339.8979999999999</v>
      </c>
      <c r="O58" s="87">
        <v>1170</v>
      </c>
      <c r="P58" s="85">
        <v>1340.925</v>
      </c>
      <c r="Q58" s="87">
        <v>1190</v>
      </c>
      <c r="R58" s="85">
        <v>1340.5150000000001</v>
      </c>
      <c r="S58" s="87">
        <v>1190</v>
      </c>
      <c r="T58" s="85">
        <v>1340.807</v>
      </c>
      <c r="U58" s="87">
        <v>1180</v>
      </c>
      <c r="V58" s="85">
        <v>1338.866</v>
      </c>
      <c r="W58" s="87">
        <v>1190</v>
      </c>
      <c r="X58" s="85">
        <v>1338.8040000000001</v>
      </c>
      <c r="Y58" s="87">
        <v>1190</v>
      </c>
      <c r="Z58" s="85">
        <v>1337.6020000000001</v>
      </c>
      <c r="AA58" s="87">
        <v>1190</v>
      </c>
      <c r="AB58" s="85">
        <v>1336.6880000000001</v>
      </c>
      <c r="AC58" s="87">
        <v>1180</v>
      </c>
      <c r="AD58" s="85">
        <v>1261.2719999999999</v>
      </c>
      <c r="AE58" s="87">
        <v>1190</v>
      </c>
      <c r="AF58" s="85">
        <v>1262.106</v>
      </c>
      <c r="AG58" s="87">
        <v>1170</v>
      </c>
      <c r="AH58" s="85">
        <v>368.74700000000001</v>
      </c>
      <c r="AI58" s="87">
        <v>1170</v>
      </c>
      <c r="AJ58" s="85">
        <v>384.50200000000001</v>
      </c>
    </row>
    <row r="59" spans="1:36" ht="14.25" customHeight="1">
      <c r="A59" s="88">
        <v>1200</v>
      </c>
      <c r="B59" s="84">
        <v>767.21100000000001</v>
      </c>
      <c r="C59" s="88">
        <v>1210</v>
      </c>
      <c r="D59" s="85">
        <v>761.34100000000001</v>
      </c>
      <c r="E59" s="86">
        <v>1200</v>
      </c>
      <c r="F59" s="85">
        <v>1584.2729999999999</v>
      </c>
      <c r="G59" s="87">
        <v>1200</v>
      </c>
      <c r="H59" s="85">
        <v>1582.1869999999999</v>
      </c>
      <c r="I59" s="87">
        <v>1200</v>
      </c>
      <c r="J59" s="85">
        <v>1339.04</v>
      </c>
      <c r="K59" s="87">
        <v>1200</v>
      </c>
      <c r="L59" s="85">
        <v>1338.731</v>
      </c>
      <c r="M59" s="87">
        <v>1200</v>
      </c>
      <c r="N59" s="85">
        <v>1338.7539999999999</v>
      </c>
      <c r="O59" s="87">
        <v>1180</v>
      </c>
      <c r="P59" s="85">
        <v>1339.7819999999999</v>
      </c>
      <c r="Q59" s="87">
        <v>1200</v>
      </c>
      <c r="R59" s="85">
        <v>1339.3720000000001</v>
      </c>
      <c r="S59" s="87">
        <v>1200</v>
      </c>
      <c r="T59" s="85">
        <v>1339.665</v>
      </c>
      <c r="U59" s="87">
        <v>1190</v>
      </c>
      <c r="V59" s="85">
        <v>1337.7260000000001</v>
      </c>
      <c r="W59" s="87">
        <v>1200</v>
      </c>
      <c r="X59" s="85">
        <v>1337.664</v>
      </c>
      <c r="Y59" s="87">
        <v>1200</v>
      </c>
      <c r="Z59" s="85">
        <v>1336.46</v>
      </c>
      <c r="AA59" s="87">
        <v>1200</v>
      </c>
      <c r="AB59" s="85">
        <v>1335.55</v>
      </c>
      <c r="AC59" s="87">
        <v>1190</v>
      </c>
      <c r="AD59" s="85">
        <v>1260.1320000000001</v>
      </c>
      <c r="AE59" s="87">
        <v>1200</v>
      </c>
      <c r="AF59" s="85">
        <v>1260.9670000000001</v>
      </c>
      <c r="AG59" s="87">
        <v>1180</v>
      </c>
      <c r="AH59" s="85">
        <v>368.37700000000001</v>
      </c>
      <c r="AI59" s="87">
        <v>1180</v>
      </c>
      <c r="AJ59" s="85">
        <v>384.11799999999999</v>
      </c>
    </row>
    <row r="60" spans="1:36" ht="14.25" customHeight="1">
      <c r="A60" s="88">
        <v>1210</v>
      </c>
      <c r="B60" s="84">
        <v>766.46299999999997</v>
      </c>
      <c r="C60" s="88">
        <v>1220</v>
      </c>
      <c r="D60" s="85">
        <v>760.6</v>
      </c>
      <c r="E60" s="86">
        <v>1210</v>
      </c>
      <c r="F60" s="85">
        <v>1582.85</v>
      </c>
      <c r="G60" s="87">
        <v>1210</v>
      </c>
      <c r="H60" s="85">
        <v>1580.77</v>
      </c>
      <c r="I60" s="87">
        <v>1210</v>
      </c>
      <c r="J60" s="85">
        <v>1337.896</v>
      </c>
      <c r="K60" s="87">
        <v>1210</v>
      </c>
      <c r="L60" s="85">
        <v>1337.588</v>
      </c>
      <c r="M60" s="87">
        <v>1210</v>
      </c>
      <c r="N60" s="85">
        <v>1337.61</v>
      </c>
      <c r="O60" s="87">
        <v>1190</v>
      </c>
      <c r="P60" s="85">
        <v>1338.6389999999999</v>
      </c>
      <c r="Q60" s="87">
        <v>1210</v>
      </c>
      <c r="R60" s="85">
        <v>1338.229</v>
      </c>
      <c r="S60" s="87">
        <v>1210</v>
      </c>
      <c r="T60" s="85">
        <v>1338.5229999999999</v>
      </c>
      <c r="U60" s="87">
        <v>1200</v>
      </c>
      <c r="V60" s="85">
        <v>1336.586</v>
      </c>
      <c r="W60" s="87">
        <v>1210</v>
      </c>
      <c r="X60" s="85">
        <v>1336.5239999999999</v>
      </c>
      <c r="Y60" s="87">
        <v>1210</v>
      </c>
      <c r="Z60" s="85">
        <v>1335.319</v>
      </c>
      <c r="AA60" s="87">
        <v>1210</v>
      </c>
      <c r="AB60" s="85">
        <v>1334.4110000000001</v>
      </c>
      <c r="AC60" s="87">
        <v>1200</v>
      </c>
      <c r="AD60" s="85">
        <v>1258.99</v>
      </c>
      <c r="AE60" s="87">
        <v>1210</v>
      </c>
      <c r="AF60" s="85">
        <v>1259.828</v>
      </c>
      <c r="AG60" s="87">
        <v>1190</v>
      </c>
      <c r="AH60" s="85">
        <v>368.00700000000001</v>
      </c>
      <c r="AI60" s="87">
        <v>1190</v>
      </c>
      <c r="AJ60" s="85">
        <v>383.73399999999998</v>
      </c>
    </row>
    <row r="61" spans="1:36" ht="14.25" customHeight="1">
      <c r="A61" s="88">
        <v>1220</v>
      </c>
      <c r="B61" s="84">
        <v>765.71400000000006</v>
      </c>
      <c r="C61" s="88">
        <v>1230</v>
      </c>
      <c r="D61" s="85">
        <v>759.85900000000004</v>
      </c>
      <c r="E61" s="86">
        <v>1220</v>
      </c>
      <c r="F61" s="85">
        <v>1581.4269999999999</v>
      </c>
      <c r="G61" s="87">
        <v>1220</v>
      </c>
      <c r="H61" s="85">
        <v>1579.3510000000001</v>
      </c>
      <c r="I61" s="87">
        <v>1220</v>
      </c>
      <c r="J61" s="85">
        <v>1336.751</v>
      </c>
      <c r="K61" s="87">
        <v>1220</v>
      </c>
      <c r="L61" s="85">
        <v>1336.444</v>
      </c>
      <c r="M61" s="87">
        <v>1220</v>
      </c>
      <c r="N61" s="85">
        <v>1336.4659999999999</v>
      </c>
      <c r="O61" s="87">
        <v>1200</v>
      </c>
      <c r="P61" s="85">
        <v>1337.4960000000001</v>
      </c>
      <c r="Q61" s="87">
        <v>1220</v>
      </c>
      <c r="R61" s="85">
        <v>1337.085</v>
      </c>
      <c r="S61" s="87">
        <v>1220</v>
      </c>
      <c r="T61" s="85">
        <v>1337.3810000000001</v>
      </c>
      <c r="U61" s="87">
        <v>1210</v>
      </c>
      <c r="V61" s="85">
        <v>1335.4459999999999</v>
      </c>
      <c r="W61" s="87">
        <v>1220</v>
      </c>
      <c r="X61" s="85">
        <v>1335.383</v>
      </c>
      <c r="Y61" s="87">
        <v>1220</v>
      </c>
      <c r="Z61" s="85">
        <v>1334.1769999999999</v>
      </c>
      <c r="AA61" s="87">
        <v>1220</v>
      </c>
      <c r="AB61" s="85">
        <v>1333.2719999999999</v>
      </c>
      <c r="AC61" s="87">
        <v>1210</v>
      </c>
      <c r="AD61" s="85">
        <v>1257.8489999999999</v>
      </c>
      <c r="AE61" s="87">
        <v>1220</v>
      </c>
      <c r="AF61" s="85">
        <v>1258.6890000000001</v>
      </c>
      <c r="AG61" s="87">
        <v>1200</v>
      </c>
      <c r="AH61" s="85">
        <v>367.637</v>
      </c>
      <c r="AI61" s="87">
        <v>1200</v>
      </c>
      <c r="AJ61" s="85">
        <v>383.35</v>
      </c>
    </row>
    <row r="62" spans="1:36" ht="14.25" customHeight="1">
      <c r="A62" s="88">
        <v>1230</v>
      </c>
      <c r="B62" s="84">
        <v>764.96500000000003</v>
      </c>
      <c r="C62" s="88">
        <v>1240</v>
      </c>
      <c r="D62" s="85">
        <v>759.11800000000005</v>
      </c>
      <c r="E62" s="86">
        <v>1230</v>
      </c>
      <c r="F62" s="85">
        <v>1580.0039999999999</v>
      </c>
      <c r="G62" s="87">
        <v>1230</v>
      </c>
      <c r="H62" s="85">
        <v>1577.933</v>
      </c>
      <c r="I62" s="87">
        <v>1230</v>
      </c>
      <c r="J62" s="85">
        <v>1335.606</v>
      </c>
      <c r="K62" s="87">
        <v>1230</v>
      </c>
      <c r="L62" s="85">
        <v>1335.3</v>
      </c>
      <c r="M62" s="87">
        <v>1230</v>
      </c>
      <c r="N62" s="85">
        <v>1335.3219999999999</v>
      </c>
      <c r="O62" s="87">
        <v>1210</v>
      </c>
      <c r="P62" s="85">
        <v>1336.3520000000001</v>
      </c>
      <c r="Q62" s="87">
        <v>1230</v>
      </c>
      <c r="R62" s="85">
        <v>1335.942</v>
      </c>
      <c r="S62" s="87">
        <v>1230</v>
      </c>
      <c r="T62" s="85">
        <v>1336.2380000000001</v>
      </c>
      <c r="U62" s="87">
        <v>1220</v>
      </c>
      <c r="V62" s="85">
        <v>1334.306</v>
      </c>
      <c r="W62" s="87">
        <v>1230</v>
      </c>
      <c r="X62" s="85">
        <v>1334.2429999999999</v>
      </c>
      <c r="Y62" s="87">
        <v>1230</v>
      </c>
      <c r="Z62" s="85">
        <v>1333.0350000000001</v>
      </c>
      <c r="AA62" s="87">
        <v>1230</v>
      </c>
      <c r="AB62" s="85">
        <v>1332.133</v>
      </c>
      <c r="AC62" s="87">
        <v>1220</v>
      </c>
      <c r="AD62" s="85">
        <v>1256.7070000000001</v>
      </c>
      <c r="AE62" s="87">
        <v>1230</v>
      </c>
      <c r="AF62" s="85">
        <v>1257.549</v>
      </c>
      <c r="AG62" s="87">
        <v>1210</v>
      </c>
      <c r="AH62" s="85">
        <v>367.267</v>
      </c>
      <c r="AI62" s="87">
        <v>1210</v>
      </c>
      <c r="AJ62" s="85">
        <v>382.96600000000001</v>
      </c>
    </row>
    <row r="63" spans="1:36" ht="14.25" customHeight="1">
      <c r="A63" s="88">
        <v>1240</v>
      </c>
      <c r="B63" s="84">
        <v>764.21600000000001</v>
      </c>
      <c r="C63" s="88">
        <v>1250</v>
      </c>
      <c r="D63" s="85">
        <v>758.37699999999995</v>
      </c>
      <c r="E63" s="86">
        <v>1240</v>
      </c>
      <c r="F63" s="85">
        <v>1578.5809999999999</v>
      </c>
      <c r="G63" s="87">
        <v>1240</v>
      </c>
      <c r="H63" s="85">
        <v>1576.5139999999999</v>
      </c>
      <c r="I63" s="87">
        <v>1240</v>
      </c>
      <c r="J63" s="85">
        <v>1334.46</v>
      </c>
      <c r="K63" s="87">
        <v>1240</v>
      </c>
      <c r="L63" s="85">
        <v>1334.1559999999999</v>
      </c>
      <c r="M63" s="87">
        <v>1240</v>
      </c>
      <c r="N63" s="85">
        <v>1334.1769999999999</v>
      </c>
      <c r="O63" s="87">
        <v>1220</v>
      </c>
      <c r="P63" s="85">
        <v>1335.2080000000001</v>
      </c>
      <c r="Q63" s="87">
        <v>1240</v>
      </c>
      <c r="R63" s="85">
        <v>1334.798</v>
      </c>
      <c r="S63" s="87">
        <v>1240</v>
      </c>
      <c r="T63" s="85">
        <v>1335.095</v>
      </c>
      <c r="U63" s="87">
        <v>1230</v>
      </c>
      <c r="V63" s="85">
        <v>1333.165</v>
      </c>
      <c r="W63" s="87">
        <v>1240</v>
      </c>
      <c r="X63" s="85">
        <v>1333.1020000000001</v>
      </c>
      <c r="Y63" s="87">
        <v>1240</v>
      </c>
      <c r="Z63" s="85">
        <v>1331.8920000000001</v>
      </c>
      <c r="AA63" s="87">
        <v>1240</v>
      </c>
      <c r="AB63" s="85">
        <v>1330.9939999999999</v>
      </c>
      <c r="AC63" s="87">
        <v>1230</v>
      </c>
      <c r="AD63" s="85">
        <v>1255.566</v>
      </c>
      <c r="AE63" s="87">
        <v>1240</v>
      </c>
      <c r="AF63" s="85">
        <v>1256.4090000000001</v>
      </c>
      <c r="AG63" s="87">
        <v>1220</v>
      </c>
      <c r="AH63" s="85">
        <v>366.89600000000002</v>
      </c>
      <c r="AI63" s="87">
        <v>1220</v>
      </c>
      <c r="AJ63" s="85">
        <v>382.58199999999999</v>
      </c>
    </row>
    <row r="64" spans="1:36" ht="14.25" customHeight="1">
      <c r="A64" s="88">
        <v>1250</v>
      </c>
      <c r="B64" s="84">
        <v>763.46699999999998</v>
      </c>
      <c r="C64" s="88">
        <v>1260</v>
      </c>
      <c r="D64" s="85">
        <v>757.63499999999999</v>
      </c>
      <c r="E64" s="86">
        <v>1250</v>
      </c>
      <c r="F64" s="85">
        <v>1577.1569999999999</v>
      </c>
      <c r="G64" s="87">
        <v>1250</v>
      </c>
      <c r="H64" s="85">
        <v>1575.096</v>
      </c>
      <c r="I64" s="87">
        <v>1250</v>
      </c>
      <c r="J64" s="85">
        <v>1333.3150000000001</v>
      </c>
      <c r="K64" s="87">
        <v>1250</v>
      </c>
      <c r="L64" s="85">
        <v>1333.0119999999999</v>
      </c>
      <c r="M64" s="87">
        <v>1250</v>
      </c>
      <c r="N64" s="85">
        <v>1333.0319999999999</v>
      </c>
      <c r="O64" s="87">
        <v>1230</v>
      </c>
      <c r="P64" s="85">
        <v>1334.0630000000001</v>
      </c>
      <c r="Q64" s="87">
        <v>1250</v>
      </c>
      <c r="R64" s="85">
        <v>1333.653</v>
      </c>
      <c r="S64" s="87">
        <v>1250</v>
      </c>
      <c r="T64" s="85">
        <v>1333.952</v>
      </c>
      <c r="U64" s="87">
        <v>1240</v>
      </c>
      <c r="V64" s="85">
        <v>1332.0250000000001</v>
      </c>
      <c r="W64" s="87">
        <v>1250</v>
      </c>
      <c r="X64" s="85">
        <v>1331.961</v>
      </c>
      <c r="Y64" s="87">
        <v>1250</v>
      </c>
      <c r="Z64" s="85">
        <v>1330.75</v>
      </c>
      <c r="AA64" s="87">
        <v>1250</v>
      </c>
      <c r="AB64" s="85">
        <v>1329.854</v>
      </c>
      <c r="AC64" s="87">
        <v>1240</v>
      </c>
      <c r="AD64" s="85">
        <v>1254.424</v>
      </c>
      <c r="AE64" s="87">
        <v>1250</v>
      </c>
      <c r="AF64" s="85">
        <v>1255.269</v>
      </c>
      <c r="AG64" s="87">
        <v>1230</v>
      </c>
      <c r="AH64" s="85">
        <v>366.52600000000001</v>
      </c>
      <c r="AI64" s="87">
        <v>1230</v>
      </c>
      <c r="AJ64" s="85">
        <v>382.19799999999998</v>
      </c>
    </row>
    <row r="65" spans="1:36" ht="14.25" customHeight="1">
      <c r="A65" s="88">
        <v>1260</v>
      </c>
      <c r="B65" s="84">
        <v>762.71699999999998</v>
      </c>
      <c r="C65" s="88">
        <v>1270</v>
      </c>
      <c r="D65" s="85">
        <v>756.89300000000003</v>
      </c>
      <c r="E65" s="86">
        <v>1260</v>
      </c>
      <c r="F65" s="85">
        <v>1575.7329999999999</v>
      </c>
      <c r="G65" s="87">
        <v>1260</v>
      </c>
      <c r="H65" s="85">
        <v>1573.6759999999999</v>
      </c>
      <c r="I65" s="87">
        <v>1260</v>
      </c>
      <c r="J65" s="85">
        <v>1332.1690000000001</v>
      </c>
      <c r="K65" s="87">
        <v>1260</v>
      </c>
      <c r="L65" s="85">
        <v>1331.867</v>
      </c>
      <c r="M65" s="87">
        <v>1260</v>
      </c>
      <c r="N65" s="85">
        <v>1331.8869999999999</v>
      </c>
      <c r="O65" s="87">
        <v>1240</v>
      </c>
      <c r="P65" s="85">
        <v>1332.9190000000001</v>
      </c>
      <c r="Q65" s="87">
        <v>1260</v>
      </c>
      <c r="R65" s="85">
        <v>1332.509</v>
      </c>
      <c r="S65" s="87">
        <v>1260</v>
      </c>
      <c r="T65" s="85">
        <v>1332.808</v>
      </c>
      <c r="U65" s="87">
        <v>1250</v>
      </c>
      <c r="V65" s="85">
        <v>1330.883</v>
      </c>
      <c r="W65" s="87">
        <v>1260</v>
      </c>
      <c r="X65" s="85">
        <v>1330.819</v>
      </c>
      <c r="Y65" s="87">
        <v>1260</v>
      </c>
      <c r="Z65" s="85">
        <v>1329.607</v>
      </c>
      <c r="AA65" s="87">
        <v>1260</v>
      </c>
      <c r="AB65" s="85">
        <v>1328.7139999999999</v>
      </c>
      <c r="AC65" s="87">
        <v>1250</v>
      </c>
      <c r="AD65" s="85">
        <v>1253.2809999999999</v>
      </c>
      <c r="AE65" s="87">
        <v>1260</v>
      </c>
      <c r="AF65" s="85">
        <v>1254.1279999999999</v>
      </c>
      <c r="AG65" s="87">
        <v>1240</v>
      </c>
      <c r="AH65" s="85">
        <v>366.15600000000001</v>
      </c>
      <c r="AI65" s="87">
        <v>1240</v>
      </c>
      <c r="AJ65" s="85">
        <v>381.81400000000002</v>
      </c>
    </row>
    <row r="66" spans="1:36" ht="14.25" customHeight="1">
      <c r="A66" s="88">
        <v>1270</v>
      </c>
      <c r="B66" s="84">
        <v>761.96799999999996</v>
      </c>
      <c r="C66" s="88">
        <v>1280</v>
      </c>
      <c r="D66" s="85">
        <v>756.15099999999995</v>
      </c>
      <c r="E66" s="86">
        <v>1270</v>
      </c>
      <c r="F66" s="85">
        <v>1574.308</v>
      </c>
      <c r="G66" s="87">
        <v>1270</v>
      </c>
      <c r="H66" s="85">
        <v>1572.2570000000001</v>
      </c>
      <c r="I66" s="87">
        <v>1270</v>
      </c>
      <c r="J66" s="85">
        <v>1331.0229999999999</v>
      </c>
      <c r="K66" s="87">
        <v>1270</v>
      </c>
      <c r="L66" s="85">
        <v>1330.723</v>
      </c>
      <c r="M66" s="87">
        <v>1270</v>
      </c>
      <c r="N66" s="85">
        <v>1330.742</v>
      </c>
      <c r="O66" s="87">
        <v>1250</v>
      </c>
      <c r="P66" s="85">
        <v>1331.7739999999999</v>
      </c>
      <c r="Q66" s="87">
        <v>1270</v>
      </c>
      <c r="R66" s="85">
        <v>1331.364</v>
      </c>
      <c r="S66" s="87">
        <v>1270</v>
      </c>
      <c r="T66" s="85">
        <v>1331.665</v>
      </c>
      <c r="U66" s="87">
        <v>1260</v>
      </c>
      <c r="V66" s="85">
        <v>1329.742</v>
      </c>
      <c r="W66" s="87">
        <v>1270</v>
      </c>
      <c r="X66" s="85">
        <v>1329.6780000000001</v>
      </c>
      <c r="Y66" s="87">
        <v>1270</v>
      </c>
      <c r="Z66" s="85">
        <v>1328.4639999999999</v>
      </c>
      <c r="AA66" s="87">
        <v>1270</v>
      </c>
      <c r="AB66" s="85">
        <v>1327.5740000000001</v>
      </c>
      <c r="AC66" s="87">
        <v>1260</v>
      </c>
      <c r="AD66" s="85">
        <v>1252.1389999999999</v>
      </c>
      <c r="AE66" s="87">
        <v>1270</v>
      </c>
      <c r="AF66" s="85">
        <v>1252.9880000000001</v>
      </c>
      <c r="AG66" s="87">
        <v>1250</v>
      </c>
      <c r="AH66" s="85">
        <v>365.78500000000003</v>
      </c>
      <c r="AI66" s="87">
        <v>1250</v>
      </c>
      <c r="AJ66" s="85">
        <v>381.42899999999997</v>
      </c>
    </row>
    <row r="67" spans="1:36" ht="14.25" customHeight="1">
      <c r="A67" s="88">
        <v>1280</v>
      </c>
      <c r="B67" s="84">
        <v>761.21799999999996</v>
      </c>
      <c r="C67" s="88">
        <v>1290</v>
      </c>
      <c r="D67" s="85">
        <v>755.40899999999999</v>
      </c>
      <c r="E67" s="86">
        <v>1280</v>
      </c>
      <c r="F67" s="85">
        <v>1572.884</v>
      </c>
      <c r="G67" s="87">
        <v>1280</v>
      </c>
      <c r="H67" s="85">
        <v>1570.837</v>
      </c>
      <c r="I67" s="87">
        <v>1280</v>
      </c>
      <c r="J67" s="85">
        <v>1329.877</v>
      </c>
      <c r="K67" s="87">
        <v>1280</v>
      </c>
      <c r="L67" s="85">
        <v>1329.578</v>
      </c>
      <c r="M67" s="87">
        <v>1280</v>
      </c>
      <c r="N67" s="85">
        <v>1329.596</v>
      </c>
      <c r="O67" s="87">
        <v>1260</v>
      </c>
      <c r="P67" s="85">
        <v>1330.6289999999999</v>
      </c>
      <c r="Q67" s="87">
        <v>1280</v>
      </c>
      <c r="R67" s="85">
        <v>1330.2190000000001</v>
      </c>
      <c r="S67" s="87">
        <v>1280</v>
      </c>
      <c r="T67" s="85">
        <v>1330.521</v>
      </c>
      <c r="U67" s="87">
        <v>1270</v>
      </c>
      <c r="V67" s="85">
        <v>1328.6</v>
      </c>
      <c r="W67" s="87">
        <v>1280</v>
      </c>
      <c r="X67" s="85">
        <v>1328.5360000000001</v>
      </c>
      <c r="Y67" s="87">
        <v>1280</v>
      </c>
      <c r="Z67" s="85">
        <v>1327.3209999999999</v>
      </c>
      <c r="AA67" s="87">
        <v>1280</v>
      </c>
      <c r="AB67" s="85">
        <v>1326.434</v>
      </c>
      <c r="AC67" s="87">
        <v>1270</v>
      </c>
      <c r="AD67" s="85">
        <v>1250.9960000000001</v>
      </c>
      <c r="AE67" s="87">
        <v>1280</v>
      </c>
      <c r="AF67" s="85">
        <v>1251.847</v>
      </c>
      <c r="AG67" s="87">
        <v>1260</v>
      </c>
      <c r="AH67" s="85">
        <v>365.41399999999999</v>
      </c>
      <c r="AI67" s="87">
        <v>1260</v>
      </c>
      <c r="AJ67" s="85">
        <v>381.04500000000002</v>
      </c>
    </row>
    <row r="68" spans="1:36" ht="14.25" customHeight="1">
      <c r="A68" s="88">
        <v>1290</v>
      </c>
      <c r="B68" s="84">
        <v>760.46799999999996</v>
      </c>
      <c r="C68" s="88">
        <v>1300</v>
      </c>
      <c r="D68" s="85">
        <v>754.66700000000003</v>
      </c>
      <c r="E68" s="86">
        <v>1290</v>
      </c>
      <c r="F68" s="85">
        <v>1571.4590000000001</v>
      </c>
      <c r="G68" s="87">
        <v>1290</v>
      </c>
      <c r="H68" s="85">
        <v>1569.4169999999999</v>
      </c>
      <c r="I68" s="87">
        <v>1290</v>
      </c>
      <c r="J68" s="85">
        <v>1328.73</v>
      </c>
      <c r="K68" s="87">
        <v>1290</v>
      </c>
      <c r="L68" s="85">
        <v>1328.433</v>
      </c>
      <c r="M68" s="87">
        <v>1290</v>
      </c>
      <c r="N68" s="85">
        <v>1328.45</v>
      </c>
      <c r="O68" s="87">
        <v>1270</v>
      </c>
      <c r="P68" s="85">
        <v>1329.4839999999999</v>
      </c>
      <c r="Q68" s="87">
        <v>1290</v>
      </c>
      <c r="R68" s="85">
        <v>1329.0740000000001</v>
      </c>
      <c r="S68" s="87">
        <v>1290</v>
      </c>
      <c r="T68" s="85">
        <v>1329.376</v>
      </c>
      <c r="U68" s="87">
        <v>1280</v>
      </c>
      <c r="V68" s="85">
        <v>1327.4590000000001</v>
      </c>
      <c r="W68" s="87">
        <v>1290</v>
      </c>
      <c r="X68" s="85">
        <v>1327.394</v>
      </c>
      <c r="Y68" s="87">
        <v>1290</v>
      </c>
      <c r="Z68" s="85">
        <v>1326.1769999999999</v>
      </c>
      <c r="AA68" s="87">
        <v>1290</v>
      </c>
      <c r="AB68" s="85">
        <v>1325.2929999999999</v>
      </c>
      <c r="AC68" s="87">
        <v>1280</v>
      </c>
      <c r="AD68" s="85">
        <v>1249.8530000000001</v>
      </c>
      <c r="AE68" s="87">
        <v>1290</v>
      </c>
      <c r="AF68" s="85">
        <v>1250.7059999999999</v>
      </c>
      <c r="AG68" s="87">
        <v>1270</v>
      </c>
      <c r="AH68" s="85">
        <v>365.04399999999998</v>
      </c>
      <c r="AI68" s="87">
        <v>1270</v>
      </c>
      <c r="AJ68" s="85">
        <v>380.66</v>
      </c>
    </row>
    <row r="69" spans="1:36" ht="14.25" customHeight="1">
      <c r="A69" s="88">
        <v>1300</v>
      </c>
      <c r="B69" s="84">
        <v>759.71699999999998</v>
      </c>
      <c r="C69" s="88">
        <v>1310</v>
      </c>
      <c r="D69" s="85">
        <v>753.92399999999998</v>
      </c>
      <c r="E69" s="86">
        <v>1300</v>
      </c>
      <c r="F69" s="85">
        <v>1570.0340000000001</v>
      </c>
      <c r="G69" s="87">
        <v>1300</v>
      </c>
      <c r="H69" s="85">
        <v>1567.9960000000001</v>
      </c>
      <c r="I69" s="87">
        <v>1300</v>
      </c>
      <c r="J69" s="85">
        <v>1327.5840000000001</v>
      </c>
      <c r="K69" s="87">
        <v>1300</v>
      </c>
      <c r="L69" s="85">
        <v>1327.287</v>
      </c>
      <c r="M69" s="87">
        <v>1300</v>
      </c>
      <c r="N69" s="85">
        <v>1327.3040000000001</v>
      </c>
      <c r="O69" s="87">
        <v>1280</v>
      </c>
      <c r="P69" s="85">
        <v>1328.338</v>
      </c>
      <c r="Q69" s="87">
        <v>1300</v>
      </c>
      <c r="R69" s="85">
        <v>1327.9280000000001</v>
      </c>
      <c r="S69" s="87">
        <v>1300</v>
      </c>
      <c r="T69" s="85">
        <v>1328.232</v>
      </c>
      <c r="U69" s="87">
        <v>1290</v>
      </c>
      <c r="V69" s="85">
        <v>1326.317</v>
      </c>
      <c r="W69" s="87">
        <v>1300</v>
      </c>
      <c r="X69" s="85">
        <v>1326.251</v>
      </c>
      <c r="Y69" s="87">
        <v>1300</v>
      </c>
      <c r="Z69" s="85">
        <v>1325.0329999999999</v>
      </c>
      <c r="AA69" s="87">
        <v>1300</v>
      </c>
      <c r="AB69" s="85">
        <v>1324.152</v>
      </c>
      <c r="AC69" s="87">
        <v>1290</v>
      </c>
      <c r="AD69" s="85">
        <v>1248.71</v>
      </c>
      <c r="AE69" s="87">
        <v>1300</v>
      </c>
      <c r="AF69" s="85">
        <v>1249.5640000000001</v>
      </c>
      <c r="AG69" s="87">
        <v>1280</v>
      </c>
      <c r="AH69" s="85">
        <v>364.673</v>
      </c>
      <c r="AI69" s="87">
        <v>1280</v>
      </c>
      <c r="AJ69" s="85">
        <v>380.27600000000001</v>
      </c>
    </row>
    <row r="70" spans="1:36" ht="14.25" customHeight="1">
      <c r="A70" s="88">
        <v>1310</v>
      </c>
      <c r="B70" s="84">
        <v>758.96699999999998</v>
      </c>
      <c r="C70" s="88">
        <v>1320</v>
      </c>
      <c r="D70" s="85">
        <v>753.18100000000004</v>
      </c>
      <c r="E70" s="86">
        <v>1310</v>
      </c>
      <c r="F70" s="85">
        <v>1568.6079999999999</v>
      </c>
      <c r="G70" s="87">
        <v>1310</v>
      </c>
      <c r="H70" s="85">
        <v>1566.576</v>
      </c>
      <c r="I70" s="87">
        <v>1310</v>
      </c>
      <c r="J70" s="85">
        <v>1326.4369999999999</v>
      </c>
      <c r="K70" s="87">
        <v>1310</v>
      </c>
      <c r="L70" s="85">
        <v>1326.1410000000001</v>
      </c>
      <c r="M70" s="87">
        <v>1310</v>
      </c>
      <c r="N70" s="85">
        <v>1326.1579999999999</v>
      </c>
      <c r="O70" s="87">
        <v>1290</v>
      </c>
      <c r="P70" s="85">
        <v>1327.192</v>
      </c>
      <c r="Q70" s="87">
        <v>1310</v>
      </c>
      <c r="R70" s="85">
        <v>1326.7829999999999</v>
      </c>
      <c r="S70" s="87">
        <v>1310</v>
      </c>
      <c r="T70" s="85">
        <v>1327.087</v>
      </c>
      <c r="U70" s="87">
        <v>1300</v>
      </c>
      <c r="V70" s="85">
        <v>1325.174</v>
      </c>
      <c r="W70" s="87">
        <v>1310</v>
      </c>
      <c r="X70" s="85">
        <v>1325.1089999999999</v>
      </c>
      <c r="Y70" s="87">
        <v>1310</v>
      </c>
      <c r="Z70" s="85">
        <v>1323.8889999999999</v>
      </c>
      <c r="AA70" s="87">
        <v>1310</v>
      </c>
      <c r="AB70" s="85">
        <v>1323.011</v>
      </c>
      <c r="AC70" s="87">
        <v>1300</v>
      </c>
      <c r="AD70" s="85">
        <v>1247.566</v>
      </c>
      <c r="AE70" s="87">
        <v>1310</v>
      </c>
      <c r="AF70" s="85">
        <v>1248.423</v>
      </c>
      <c r="AG70" s="87">
        <v>1290</v>
      </c>
      <c r="AH70" s="85">
        <v>364.30200000000002</v>
      </c>
      <c r="AI70" s="87">
        <v>1290</v>
      </c>
      <c r="AJ70" s="85">
        <v>379.89100000000002</v>
      </c>
    </row>
    <row r="71" spans="1:36" ht="14.25" customHeight="1">
      <c r="A71" s="88">
        <v>1320</v>
      </c>
      <c r="B71" s="84">
        <v>758.21600000000001</v>
      </c>
      <c r="C71" s="88">
        <v>1330</v>
      </c>
      <c r="D71" s="85">
        <v>752.43799999999999</v>
      </c>
      <c r="E71" s="86">
        <v>1320</v>
      </c>
      <c r="F71" s="85">
        <v>1567.182</v>
      </c>
      <c r="G71" s="87">
        <v>1320</v>
      </c>
      <c r="H71" s="85">
        <v>1565.155</v>
      </c>
      <c r="I71" s="87">
        <v>1320</v>
      </c>
      <c r="J71" s="85">
        <v>1325.29</v>
      </c>
      <c r="K71" s="87">
        <v>1320</v>
      </c>
      <c r="L71" s="85">
        <v>1324.9949999999999</v>
      </c>
      <c r="M71" s="87">
        <v>1320</v>
      </c>
      <c r="N71" s="85">
        <v>1325.011</v>
      </c>
      <c r="O71" s="87">
        <v>1300</v>
      </c>
      <c r="P71" s="85">
        <v>1326.046</v>
      </c>
      <c r="Q71" s="87">
        <v>1320</v>
      </c>
      <c r="R71" s="85">
        <v>1325.6369999999999</v>
      </c>
      <c r="S71" s="87">
        <v>1320</v>
      </c>
      <c r="T71" s="85">
        <v>1325.942</v>
      </c>
      <c r="U71" s="87">
        <v>1310</v>
      </c>
      <c r="V71" s="85">
        <v>1324.0319999999999</v>
      </c>
      <c r="W71" s="87">
        <v>1320</v>
      </c>
      <c r="X71" s="85">
        <v>1323.9659999999999</v>
      </c>
      <c r="Y71" s="87">
        <v>1320</v>
      </c>
      <c r="Z71" s="85">
        <v>1322.7449999999999</v>
      </c>
      <c r="AA71" s="87">
        <v>1320</v>
      </c>
      <c r="AB71" s="85">
        <v>1321.87</v>
      </c>
      <c r="AC71" s="87">
        <v>1310</v>
      </c>
      <c r="AD71" s="85">
        <v>1246.422</v>
      </c>
      <c r="AE71" s="87">
        <v>1320</v>
      </c>
      <c r="AF71" s="85">
        <v>1247.2809999999999</v>
      </c>
      <c r="AG71" s="87">
        <v>1300</v>
      </c>
      <c r="AH71" s="85">
        <v>363.93099999999998</v>
      </c>
      <c r="AI71" s="87">
        <v>1300</v>
      </c>
      <c r="AJ71" s="85">
        <v>379.50599999999997</v>
      </c>
    </row>
    <row r="72" spans="1:36" ht="14.25" customHeight="1">
      <c r="A72" s="88">
        <v>1330</v>
      </c>
      <c r="B72" s="84">
        <v>757.46500000000003</v>
      </c>
      <c r="C72" s="88">
        <v>1340</v>
      </c>
      <c r="D72" s="85">
        <v>751.69500000000005</v>
      </c>
      <c r="E72" s="86">
        <v>1330</v>
      </c>
      <c r="F72" s="85">
        <v>1565.7560000000001</v>
      </c>
      <c r="G72" s="87">
        <v>1330</v>
      </c>
      <c r="H72" s="85">
        <v>1563.7329999999999</v>
      </c>
      <c r="I72" s="87">
        <v>1330</v>
      </c>
      <c r="J72" s="85">
        <v>1324.1420000000001</v>
      </c>
      <c r="K72" s="87">
        <v>1330</v>
      </c>
      <c r="L72" s="85">
        <v>1323.8489999999999</v>
      </c>
      <c r="M72" s="87">
        <v>1330</v>
      </c>
      <c r="N72" s="85">
        <v>1323.864</v>
      </c>
      <c r="O72" s="87">
        <v>1310</v>
      </c>
      <c r="P72" s="85">
        <v>1324.9</v>
      </c>
      <c r="Q72" s="87">
        <v>1330</v>
      </c>
      <c r="R72" s="85">
        <v>1324.491</v>
      </c>
      <c r="S72" s="87">
        <v>1330</v>
      </c>
      <c r="T72" s="85">
        <v>1324.797</v>
      </c>
      <c r="U72" s="87">
        <v>1320</v>
      </c>
      <c r="V72" s="85">
        <v>1322.8889999999999</v>
      </c>
      <c r="W72" s="87">
        <v>1330</v>
      </c>
      <c r="X72" s="85">
        <v>1322.8230000000001</v>
      </c>
      <c r="Y72" s="87">
        <v>1330</v>
      </c>
      <c r="Z72" s="85">
        <v>1321.6</v>
      </c>
      <c r="AA72" s="87">
        <v>1330</v>
      </c>
      <c r="AB72" s="85">
        <v>1320.7280000000001</v>
      </c>
      <c r="AC72" s="87">
        <v>1320</v>
      </c>
      <c r="AD72" s="85">
        <v>1245.278</v>
      </c>
      <c r="AE72" s="87">
        <v>1330</v>
      </c>
      <c r="AF72" s="85">
        <v>1246.1389999999999</v>
      </c>
      <c r="AG72" s="87">
        <v>1310</v>
      </c>
      <c r="AH72" s="85">
        <v>363.56</v>
      </c>
      <c r="AI72" s="87">
        <v>1310</v>
      </c>
      <c r="AJ72" s="85">
        <v>379.12099999999998</v>
      </c>
    </row>
    <row r="73" spans="1:36" ht="14.25" customHeight="1">
      <c r="A73" s="88">
        <v>1340</v>
      </c>
      <c r="B73" s="84">
        <v>756.71400000000006</v>
      </c>
      <c r="C73" s="88">
        <v>1350</v>
      </c>
      <c r="D73" s="85">
        <v>750.952</v>
      </c>
      <c r="E73" s="86">
        <v>1340</v>
      </c>
      <c r="F73" s="85">
        <v>1564.33</v>
      </c>
      <c r="G73" s="87">
        <v>1340</v>
      </c>
      <c r="H73" s="85">
        <v>1562.3119999999999</v>
      </c>
      <c r="I73" s="87">
        <v>1340</v>
      </c>
      <c r="J73" s="85">
        <v>1322.9939999999999</v>
      </c>
      <c r="K73" s="87">
        <v>1340</v>
      </c>
      <c r="L73" s="85">
        <v>1322.703</v>
      </c>
      <c r="M73" s="87">
        <v>1340</v>
      </c>
      <c r="N73" s="85">
        <v>1322.7170000000001</v>
      </c>
      <c r="O73" s="87">
        <v>1320</v>
      </c>
      <c r="P73" s="85">
        <v>1323.7539999999999</v>
      </c>
      <c r="Q73" s="87">
        <v>1340</v>
      </c>
      <c r="R73" s="85">
        <v>1323.3440000000001</v>
      </c>
      <c r="S73" s="87">
        <v>1340</v>
      </c>
      <c r="T73" s="85">
        <v>1323.652</v>
      </c>
      <c r="U73" s="87">
        <v>1330</v>
      </c>
      <c r="V73" s="85">
        <v>1321.7460000000001</v>
      </c>
      <c r="W73" s="87">
        <v>1340</v>
      </c>
      <c r="X73" s="85">
        <v>1321.6790000000001</v>
      </c>
      <c r="Y73" s="87">
        <v>1340</v>
      </c>
      <c r="Z73" s="85">
        <v>1320.4559999999999</v>
      </c>
      <c r="AA73" s="87">
        <v>1340</v>
      </c>
      <c r="AB73" s="85">
        <v>1319.586</v>
      </c>
      <c r="AC73" s="87">
        <v>1330</v>
      </c>
      <c r="AD73" s="85">
        <v>1244.134</v>
      </c>
      <c r="AE73" s="87">
        <v>1340</v>
      </c>
      <c r="AF73" s="85">
        <v>1244.9970000000001</v>
      </c>
      <c r="AG73" s="87">
        <v>1320</v>
      </c>
      <c r="AH73" s="85">
        <v>363.18900000000002</v>
      </c>
      <c r="AI73" s="87">
        <v>1320</v>
      </c>
      <c r="AJ73" s="85">
        <v>378.73599999999999</v>
      </c>
    </row>
    <row r="74" spans="1:36" ht="14.25" customHeight="1">
      <c r="A74" s="88">
        <v>1350</v>
      </c>
      <c r="B74" s="84">
        <v>755.96299999999997</v>
      </c>
      <c r="C74" s="88">
        <v>1360</v>
      </c>
      <c r="D74" s="85">
        <v>750.20799999999997</v>
      </c>
      <c r="E74" s="86">
        <v>1350</v>
      </c>
      <c r="F74" s="85">
        <v>1562.903</v>
      </c>
      <c r="G74" s="87">
        <v>1350</v>
      </c>
      <c r="H74" s="85">
        <v>1560.89</v>
      </c>
      <c r="I74" s="87">
        <v>1350</v>
      </c>
      <c r="J74" s="85">
        <v>1321.847</v>
      </c>
      <c r="K74" s="87">
        <v>1350</v>
      </c>
      <c r="L74" s="85">
        <v>1321.556</v>
      </c>
      <c r="M74" s="87">
        <v>1350</v>
      </c>
      <c r="N74" s="85">
        <v>1321.57</v>
      </c>
      <c r="O74" s="87">
        <v>1330</v>
      </c>
      <c r="P74" s="85">
        <v>1322.607</v>
      </c>
      <c r="Q74" s="87">
        <v>1350</v>
      </c>
      <c r="R74" s="85">
        <v>1322.1969999999999</v>
      </c>
      <c r="S74" s="87">
        <v>1350</v>
      </c>
      <c r="T74" s="85">
        <v>1322.5060000000001</v>
      </c>
      <c r="U74" s="87">
        <v>1340</v>
      </c>
      <c r="V74" s="85">
        <v>1320.6030000000001</v>
      </c>
      <c r="W74" s="87">
        <v>1350</v>
      </c>
      <c r="X74" s="85">
        <v>1320.5360000000001</v>
      </c>
      <c r="Y74" s="87">
        <v>1350</v>
      </c>
      <c r="Z74" s="85">
        <v>1319.3109999999999</v>
      </c>
      <c r="AA74" s="87">
        <v>1350</v>
      </c>
      <c r="AB74" s="85">
        <v>1318.444</v>
      </c>
      <c r="AC74" s="87">
        <v>1340</v>
      </c>
      <c r="AD74" s="85">
        <v>1242.99</v>
      </c>
      <c r="AE74" s="87">
        <v>1350</v>
      </c>
      <c r="AF74" s="85">
        <v>1243.854</v>
      </c>
      <c r="AG74" s="87">
        <v>1330</v>
      </c>
      <c r="AH74" s="85">
        <v>362.81799999999998</v>
      </c>
      <c r="AI74" s="87">
        <v>1330</v>
      </c>
      <c r="AJ74" s="85">
        <v>378.351</v>
      </c>
    </row>
    <row r="75" spans="1:36" ht="14.25" customHeight="1">
      <c r="A75" s="88">
        <v>1360</v>
      </c>
      <c r="B75" s="84">
        <v>755.21100000000001</v>
      </c>
      <c r="C75" s="88">
        <v>1370</v>
      </c>
      <c r="D75" s="85">
        <v>749.46400000000006</v>
      </c>
      <c r="E75" s="86">
        <v>1360</v>
      </c>
      <c r="F75" s="85">
        <v>1561.4760000000001</v>
      </c>
      <c r="G75" s="87">
        <v>1360</v>
      </c>
      <c r="H75" s="85">
        <v>1559.4680000000001</v>
      </c>
      <c r="I75" s="87">
        <v>1360</v>
      </c>
      <c r="J75" s="85">
        <v>1320.6980000000001</v>
      </c>
      <c r="K75" s="87">
        <v>1360</v>
      </c>
      <c r="L75" s="85">
        <v>1320.4090000000001</v>
      </c>
      <c r="M75" s="87">
        <v>1360</v>
      </c>
      <c r="N75" s="85">
        <v>1320.423</v>
      </c>
      <c r="O75" s="87">
        <v>1340</v>
      </c>
      <c r="P75" s="85">
        <v>1321.46</v>
      </c>
      <c r="Q75" s="87">
        <v>1360</v>
      </c>
      <c r="R75" s="85">
        <v>1321.0509999999999</v>
      </c>
      <c r="S75" s="87">
        <v>1360</v>
      </c>
      <c r="T75" s="85">
        <v>1321.36</v>
      </c>
      <c r="U75" s="87">
        <v>1350</v>
      </c>
      <c r="V75" s="85">
        <v>1319.4590000000001</v>
      </c>
      <c r="W75" s="87">
        <v>1360</v>
      </c>
      <c r="X75" s="85">
        <v>1319.3920000000001</v>
      </c>
      <c r="Y75" s="87">
        <v>1360</v>
      </c>
      <c r="Z75" s="85">
        <v>1318.165</v>
      </c>
      <c r="AA75" s="87">
        <v>1360</v>
      </c>
      <c r="AB75" s="85">
        <v>1317.3019999999999</v>
      </c>
      <c r="AC75" s="87">
        <v>1350</v>
      </c>
      <c r="AD75" s="85">
        <v>1241.845</v>
      </c>
      <c r="AE75" s="87">
        <v>1360</v>
      </c>
      <c r="AF75" s="85">
        <v>1242.711</v>
      </c>
      <c r="AG75" s="87">
        <v>1340</v>
      </c>
      <c r="AH75" s="85">
        <v>362.44600000000003</v>
      </c>
      <c r="AI75" s="87">
        <v>1340</v>
      </c>
      <c r="AJ75" s="85">
        <v>377.96600000000001</v>
      </c>
    </row>
    <row r="76" spans="1:36" ht="14.25" customHeight="1">
      <c r="A76" s="88">
        <v>1370</v>
      </c>
      <c r="B76" s="84">
        <v>754.45899999999995</v>
      </c>
      <c r="C76" s="88">
        <v>1380</v>
      </c>
      <c r="D76" s="85">
        <v>748.72</v>
      </c>
      <c r="E76" s="86">
        <v>1370</v>
      </c>
      <c r="F76" s="85">
        <v>1560.049</v>
      </c>
      <c r="G76" s="87">
        <v>1370</v>
      </c>
      <c r="H76" s="85">
        <v>1558.0450000000001</v>
      </c>
      <c r="I76" s="87">
        <v>1370</v>
      </c>
      <c r="J76" s="85">
        <v>1319.55</v>
      </c>
      <c r="K76" s="87">
        <v>1370</v>
      </c>
      <c r="L76" s="85">
        <v>1319.2619999999999</v>
      </c>
      <c r="M76" s="87">
        <v>1370</v>
      </c>
      <c r="N76" s="85">
        <v>1319.2750000000001</v>
      </c>
      <c r="O76" s="87">
        <v>1350</v>
      </c>
      <c r="P76" s="85">
        <v>1320.3130000000001</v>
      </c>
      <c r="Q76" s="87">
        <v>1370</v>
      </c>
      <c r="R76" s="85">
        <v>1319.903</v>
      </c>
      <c r="S76" s="87">
        <v>1370</v>
      </c>
      <c r="T76" s="85">
        <v>1320.2139999999999</v>
      </c>
      <c r="U76" s="87">
        <v>1360</v>
      </c>
      <c r="V76" s="85">
        <v>1318.3150000000001</v>
      </c>
      <c r="W76" s="87">
        <v>1370</v>
      </c>
      <c r="X76" s="85">
        <v>1318.248</v>
      </c>
      <c r="Y76" s="87">
        <v>1370</v>
      </c>
      <c r="Z76" s="85">
        <v>1317.02</v>
      </c>
      <c r="AA76" s="87">
        <v>1370</v>
      </c>
      <c r="AB76" s="85">
        <v>1316.16</v>
      </c>
      <c r="AC76" s="87">
        <v>1360</v>
      </c>
      <c r="AD76" s="85">
        <v>1240.7</v>
      </c>
      <c r="AE76" s="87">
        <v>1370</v>
      </c>
      <c r="AF76" s="85">
        <v>1241.568</v>
      </c>
      <c r="AG76" s="87">
        <v>1350</v>
      </c>
      <c r="AH76" s="85">
        <v>362.07499999999999</v>
      </c>
      <c r="AI76" s="87">
        <v>1350</v>
      </c>
      <c r="AJ76" s="85">
        <v>377.58100000000002</v>
      </c>
    </row>
    <row r="77" spans="1:36" ht="14.25" customHeight="1">
      <c r="A77" s="88">
        <v>1380</v>
      </c>
      <c r="B77" s="84">
        <v>753.70699999999999</v>
      </c>
      <c r="C77" s="88">
        <v>1390</v>
      </c>
      <c r="D77" s="85">
        <v>747.976</v>
      </c>
      <c r="E77" s="86">
        <v>1380</v>
      </c>
      <c r="F77" s="85">
        <v>1558.6210000000001</v>
      </c>
      <c r="G77" s="87">
        <v>1380</v>
      </c>
      <c r="H77" s="85">
        <v>1556.623</v>
      </c>
      <c r="I77" s="87">
        <v>1380</v>
      </c>
      <c r="J77" s="85">
        <v>1318.4010000000001</v>
      </c>
      <c r="K77" s="87">
        <v>1380</v>
      </c>
      <c r="L77" s="85">
        <v>1318.114</v>
      </c>
      <c r="M77" s="87">
        <v>1380</v>
      </c>
      <c r="N77" s="85">
        <v>1318.127</v>
      </c>
      <c r="O77" s="87">
        <v>1360</v>
      </c>
      <c r="P77" s="85">
        <v>1319.1659999999999</v>
      </c>
      <c r="Q77" s="87">
        <v>1380</v>
      </c>
      <c r="R77" s="85">
        <v>1318.7560000000001</v>
      </c>
      <c r="S77" s="87">
        <v>1380</v>
      </c>
      <c r="T77" s="85">
        <v>1319.068</v>
      </c>
      <c r="U77" s="87">
        <v>1370</v>
      </c>
      <c r="V77" s="85">
        <v>1317.171</v>
      </c>
      <c r="W77" s="87">
        <v>1380</v>
      </c>
      <c r="X77" s="85">
        <v>1317.104</v>
      </c>
      <c r="Y77" s="87">
        <v>1380</v>
      </c>
      <c r="Z77" s="85">
        <v>1315.874</v>
      </c>
      <c r="AA77" s="87">
        <v>1380</v>
      </c>
      <c r="AB77" s="85">
        <v>1315.0170000000001</v>
      </c>
      <c r="AC77" s="87">
        <v>1370</v>
      </c>
      <c r="AD77" s="85">
        <v>1239.5550000000001</v>
      </c>
      <c r="AE77" s="87">
        <v>1380</v>
      </c>
      <c r="AF77" s="85">
        <v>1240.425</v>
      </c>
      <c r="AG77" s="87">
        <v>1360</v>
      </c>
      <c r="AH77" s="85">
        <v>361.70299999999997</v>
      </c>
      <c r="AI77" s="87">
        <v>1360</v>
      </c>
      <c r="AJ77" s="85">
        <v>377.19499999999999</v>
      </c>
    </row>
    <row r="78" spans="1:36" ht="14.25" customHeight="1">
      <c r="A78" s="88">
        <v>1390</v>
      </c>
      <c r="B78" s="84">
        <v>752.95500000000004</v>
      </c>
      <c r="C78" s="88">
        <v>1400</v>
      </c>
      <c r="D78" s="85">
        <v>747.23099999999999</v>
      </c>
      <c r="E78" s="86">
        <v>1390</v>
      </c>
      <c r="F78" s="85">
        <v>1557.194</v>
      </c>
      <c r="G78" s="87">
        <v>1390</v>
      </c>
      <c r="H78" s="85">
        <v>1555.2</v>
      </c>
      <c r="I78" s="87">
        <v>1390</v>
      </c>
      <c r="J78" s="85">
        <v>1317.2529999999999</v>
      </c>
      <c r="K78" s="87">
        <v>1390</v>
      </c>
      <c r="L78" s="85">
        <v>1316.9659999999999</v>
      </c>
      <c r="M78" s="87">
        <v>1390</v>
      </c>
      <c r="N78" s="85">
        <v>1316.979</v>
      </c>
      <c r="O78" s="87">
        <v>1370</v>
      </c>
      <c r="P78" s="85">
        <v>1318.018</v>
      </c>
      <c r="Q78" s="87">
        <v>1390</v>
      </c>
      <c r="R78" s="85">
        <v>1317.6079999999999</v>
      </c>
      <c r="S78" s="87">
        <v>1390</v>
      </c>
      <c r="T78" s="85">
        <v>1317.921</v>
      </c>
      <c r="U78" s="87">
        <v>1380</v>
      </c>
      <c r="V78" s="85">
        <v>1316.027</v>
      </c>
      <c r="W78" s="87">
        <v>1390</v>
      </c>
      <c r="X78" s="85">
        <v>1315.9590000000001</v>
      </c>
      <c r="Y78" s="87">
        <v>1390</v>
      </c>
      <c r="Z78" s="85">
        <v>1314.7280000000001</v>
      </c>
      <c r="AA78" s="87">
        <v>1390</v>
      </c>
      <c r="AB78" s="85">
        <v>1313.874</v>
      </c>
      <c r="AC78" s="87">
        <v>1380</v>
      </c>
      <c r="AD78" s="85">
        <v>1238.4100000000001</v>
      </c>
      <c r="AE78" s="87">
        <v>1390</v>
      </c>
      <c r="AF78" s="85">
        <v>1239.2809999999999</v>
      </c>
      <c r="AG78" s="87">
        <v>1370</v>
      </c>
      <c r="AH78" s="85">
        <v>361.33199999999999</v>
      </c>
      <c r="AI78" s="87">
        <v>1370</v>
      </c>
      <c r="AJ78" s="85">
        <v>376.81</v>
      </c>
    </row>
    <row r="79" spans="1:36" ht="14.25" customHeight="1">
      <c r="A79" s="88">
        <v>1400</v>
      </c>
      <c r="B79" s="84">
        <v>752.20299999999997</v>
      </c>
      <c r="C79" s="88">
        <v>1410</v>
      </c>
      <c r="D79" s="85">
        <v>746.48699999999997</v>
      </c>
      <c r="E79" s="86">
        <v>1400</v>
      </c>
      <c r="F79" s="85">
        <v>1555.7650000000001</v>
      </c>
      <c r="G79" s="87">
        <v>1400</v>
      </c>
      <c r="H79" s="85">
        <v>1553.7760000000001</v>
      </c>
      <c r="I79" s="87">
        <v>1400</v>
      </c>
      <c r="J79" s="85">
        <v>1316.104</v>
      </c>
      <c r="K79" s="87">
        <v>1400</v>
      </c>
      <c r="L79" s="85">
        <v>1315.819</v>
      </c>
      <c r="M79" s="87">
        <v>1400</v>
      </c>
      <c r="N79" s="85">
        <v>1315.83</v>
      </c>
      <c r="O79" s="87">
        <v>1380</v>
      </c>
      <c r="P79" s="85">
        <v>1316.87</v>
      </c>
      <c r="Q79" s="87">
        <v>1400</v>
      </c>
      <c r="R79" s="85">
        <v>1316.46</v>
      </c>
      <c r="S79" s="87">
        <v>1400</v>
      </c>
      <c r="T79" s="85">
        <v>1316.7739999999999</v>
      </c>
      <c r="U79" s="87">
        <v>1390</v>
      </c>
      <c r="V79" s="85">
        <v>1314.883</v>
      </c>
      <c r="W79" s="87">
        <v>1400</v>
      </c>
      <c r="X79" s="85">
        <v>1314.8140000000001</v>
      </c>
      <c r="Y79" s="87">
        <v>1400</v>
      </c>
      <c r="Z79" s="85">
        <v>1313.5820000000001</v>
      </c>
      <c r="AA79" s="87">
        <v>1400</v>
      </c>
      <c r="AB79" s="85">
        <v>1312.73</v>
      </c>
      <c r="AC79" s="87">
        <v>1390</v>
      </c>
      <c r="AD79" s="85">
        <v>1237.2639999999999</v>
      </c>
      <c r="AE79" s="87">
        <v>1400</v>
      </c>
      <c r="AF79" s="85">
        <v>1238.1379999999999</v>
      </c>
      <c r="AG79" s="87">
        <v>1380</v>
      </c>
      <c r="AH79" s="85">
        <v>360.96</v>
      </c>
      <c r="AI79" s="87">
        <v>1380</v>
      </c>
      <c r="AJ79" s="85">
        <v>376.42399999999998</v>
      </c>
    </row>
    <row r="80" spans="1:36" ht="14.25" customHeight="1">
      <c r="A80" s="88">
        <v>1410</v>
      </c>
      <c r="B80" s="84">
        <v>751.45</v>
      </c>
      <c r="C80" s="88">
        <v>1420</v>
      </c>
      <c r="D80" s="85">
        <v>745.74199999999996</v>
      </c>
      <c r="E80" s="86">
        <v>1410</v>
      </c>
      <c r="F80" s="85">
        <v>1554.337</v>
      </c>
      <c r="G80" s="87">
        <v>1410</v>
      </c>
      <c r="H80" s="85">
        <v>1552.3530000000001</v>
      </c>
      <c r="I80" s="87">
        <v>1410</v>
      </c>
      <c r="J80" s="85">
        <v>1314.954</v>
      </c>
      <c r="K80" s="87">
        <v>1410</v>
      </c>
      <c r="L80" s="85">
        <v>1314.67</v>
      </c>
      <c r="M80" s="87">
        <v>1410</v>
      </c>
      <c r="N80" s="85">
        <v>1314.681</v>
      </c>
      <c r="O80" s="87">
        <v>1390</v>
      </c>
      <c r="P80" s="85">
        <v>1315.722</v>
      </c>
      <c r="Q80" s="87">
        <v>1410</v>
      </c>
      <c r="R80" s="85">
        <v>1315.3119999999999</v>
      </c>
      <c r="S80" s="87">
        <v>1410</v>
      </c>
      <c r="T80" s="85">
        <v>1315.627</v>
      </c>
      <c r="U80" s="87">
        <v>1400</v>
      </c>
      <c r="V80" s="85">
        <v>1313.7380000000001</v>
      </c>
      <c r="W80" s="87">
        <v>1410</v>
      </c>
      <c r="X80" s="85">
        <v>1313.6690000000001</v>
      </c>
      <c r="Y80" s="87">
        <v>1410</v>
      </c>
      <c r="Z80" s="85">
        <v>1312.4359999999999</v>
      </c>
      <c r="AA80" s="87">
        <v>1410</v>
      </c>
      <c r="AB80" s="85">
        <v>1311.587</v>
      </c>
      <c r="AC80" s="87">
        <v>1400</v>
      </c>
      <c r="AD80" s="85">
        <v>1236.1179999999999</v>
      </c>
      <c r="AE80" s="87">
        <v>1410</v>
      </c>
      <c r="AF80" s="85">
        <v>1236.9929999999999</v>
      </c>
      <c r="AG80" s="87">
        <v>1390</v>
      </c>
      <c r="AH80" s="85">
        <v>360.58800000000002</v>
      </c>
      <c r="AI80" s="87">
        <v>1390</v>
      </c>
      <c r="AJ80" s="85">
        <v>376.03899999999999</v>
      </c>
    </row>
    <row r="81" spans="1:36" ht="14.25" customHeight="1">
      <c r="A81" s="88">
        <v>1420</v>
      </c>
      <c r="B81" s="84">
        <v>750.697</v>
      </c>
      <c r="C81" s="88">
        <v>1430</v>
      </c>
      <c r="D81" s="85">
        <v>744.99699999999996</v>
      </c>
      <c r="E81" s="86">
        <v>1420</v>
      </c>
      <c r="F81" s="85">
        <v>1552.9079999999999</v>
      </c>
      <c r="G81" s="87">
        <v>1420</v>
      </c>
      <c r="H81" s="85">
        <v>1550.9290000000001</v>
      </c>
      <c r="I81" s="87">
        <v>1420</v>
      </c>
      <c r="J81" s="85">
        <v>1313.8050000000001</v>
      </c>
      <c r="K81" s="87">
        <v>1420</v>
      </c>
      <c r="L81" s="85">
        <v>1313.5219999999999</v>
      </c>
      <c r="M81" s="87">
        <v>1420</v>
      </c>
      <c r="N81" s="85">
        <v>1313.5319999999999</v>
      </c>
      <c r="O81" s="87">
        <v>1400</v>
      </c>
      <c r="P81" s="85">
        <v>1314.5730000000001</v>
      </c>
      <c r="Q81" s="87">
        <v>1420</v>
      </c>
      <c r="R81" s="85">
        <v>1314.164</v>
      </c>
      <c r="S81" s="87">
        <v>1420</v>
      </c>
      <c r="T81" s="85">
        <v>1314.48</v>
      </c>
      <c r="U81" s="87">
        <v>1410</v>
      </c>
      <c r="V81" s="85">
        <v>1312.5930000000001</v>
      </c>
      <c r="W81" s="87">
        <v>1420</v>
      </c>
      <c r="X81" s="85">
        <v>1312.5239999999999</v>
      </c>
      <c r="Y81" s="87">
        <v>1420</v>
      </c>
      <c r="Z81" s="85">
        <v>1311.289</v>
      </c>
      <c r="AA81" s="87">
        <v>1420</v>
      </c>
      <c r="AB81" s="85">
        <v>1310.443</v>
      </c>
      <c r="AC81" s="87">
        <v>1410</v>
      </c>
      <c r="AD81" s="85">
        <v>1234.972</v>
      </c>
      <c r="AE81" s="87">
        <v>1420</v>
      </c>
      <c r="AF81" s="85">
        <v>1235.8489999999999</v>
      </c>
      <c r="AG81" s="87">
        <v>1400</v>
      </c>
      <c r="AH81" s="85">
        <v>360.21600000000001</v>
      </c>
      <c r="AI81" s="87">
        <v>1400</v>
      </c>
      <c r="AJ81" s="85">
        <v>375.65300000000002</v>
      </c>
    </row>
    <row r="82" spans="1:36" ht="14.25" customHeight="1">
      <c r="A82" s="88">
        <v>1430</v>
      </c>
      <c r="B82" s="84">
        <v>749.94399999999996</v>
      </c>
      <c r="C82" s="88">
        <v>1440</v>
      </c>
      <c r="D82" s="85">
        <v>744.25099999999998</v>
      </c>
      <c r="E82" s="86">
        <v>1430</v>
      </c>
      <c r="F82" s="85">
        <v>1551.479</v>
      </c>
      <c r="G82" s="87">
        <v>1430</v>
      </c>
      <c r="H82" s="85">
        <v>1549.5039999999999</v>
      </c>
      <c r="I82" s="87">
        <v>1430</v>
      </c>
      <c r="J82" s="85">
        <v>1312.655</v>
      </c>
      <c r="K82" s="87">
        <v>1430</v>
      </c>
      <c r="L82" s="85">
        <v>1312.373</v>
      </c>
      <c r="M82" s="87">
        <v>1430</v>
      </c>
      <c r="N82" s="85">
        <v>1312.383</v>
      </c>
      <c r="O82" s="87">
        <v>1410</v>
      </c>
      <c r="P82" s="85">
        <v>1313.425</v>
      </c>
      <c r="Q82" s="87">
        <v>1430</v>
      </c>
      <c r="R82" s="85">
        <v>1313.0150000000001</v>
      </c>
      <c r="S82" s="87">
        <v>1430</v>
      </c>
      <c r="T82" s="85">
        <v>1313.3320000000001</v>
      </c>
      <c r="U82" s="87">
        <v>1420</v>
      </c>
      <c r="V82" s="85">
        <v>1311.4480000000001</v>
      </c>
      <c r="W82" s="87">
        <v>1430</v>
      </c>
      <c r="X82" s="85">
        <v>1311.3779999999999</v>
      </c>
      <c r="Y82" s="87">
        <v>1430</v>
      </c>
      <c r="Z82" s="85">
        <v>1310.1420000000001</v>
      </c>
      <c r="AA82" s="87">
        <v>1430</v>
      </c>
      <c r="AB82" s="85">
        <v>1309.299</v>
      </c>
      <c r="AC82" s="87">
        <v>1420</v>
      </c>
      <c r="AD82" s="85">
        <v>1233.825</v>
      </c>
      <c r="AE82" s="87">
        <v>1430</v>
      </c>
      <c r="AF82" s="85">
        <v>1234.7049999999999</v>
      </c>
      <c r="AG82" s="87">
        <v>1410</v>
      </c>
      <c r="AH82" s="85">
        <v>359.84399999999999</v>
      </c>
      <c r="AI82" s="87">
        <v>1410</v>
      </c>
      <c r="AJ82" s="85">
        <v>375.267</v>
      </c>
    </row>
    <row r="83" spans="1:36" ht="14.25" customHeight="1">
      <c r="A83" s="88">
        <v>1440</v>
      </c>
      <c r="B83" s="84">
        <v>749.19100000000003</v>
      </c>
      <c r="C83" s="88">
        <v>1450</v>
      </c>
      <c r="D83" s="85">
        <v>743.50599999999997</v>
      </c>
      <c r="E83" s="86">
        <v>1440</v>
      </c>
      <c r="F83" s="85">
        <v>1550.05</v>
      </c>
      <c r="G83" s="87">
        <v>1440</v>
      </c>
      <c r="H83" s="85">
        <v>1548.08</v>
      </c>
      <c r="I83" s="87">
        <v>1440</v>
      </c>
      <c r="J83" s="85">
        <v>1311.5050000000001</v>
      </c>
      <c r="K83" s="87">
        <v>1440</v>
      </c>
      <c r="L83" s="85">
        <v>1311.2239999999999</v>
      </c>
      <c r="M83" s="87">
        <v>1440</v>
      </c>
      <c r="N83" s="85">
        <v>1311.2339999999999</v>
      </c>
      <c r="O83" s="87">
        <v>1420</v>
      </c>
      <c r="P83" s="85">
        <v>1312.2760000000001</v>
      </c>
      <c r="Q83" s="87">
        <v>1440</v>
      </c>
      <c r="R83" s="85">
        <v>1311.867</v>
      </c>
      <c r="S83" s="87">
        <v>1440</v>
      </c>
      <c r="T83" s="85">
        <v>1312.1849999999999</v>
      </c>
      <c r="U83" s="87">
        <v>1430</v>
      </c>
      <c r="V83" s="85">
        <v>1310.3019999999999</v>
      </c>
      <c r="W83" s="87">
        <v>1440</v>
      </c>
      <c r="X83" s="85">
        <v>1310.2329999999999</v>
      </c>
      <c r="Y83" s="87">
        <v>1440</v>
      </c>
      <c r="Z83" s="85">
        <v>1308.9949999999999</v>
      </c>
      <c r="AA83" s="87">
        <v>1440</v>
      </c>
      <c r="AB83" s="85">
        <v>1308.155</v>
      </c>
      <c r="AC83" s="87">
        <v>1430</v>
      </c>
      <c r="AD83" s="85">
        <v>1232.6790000000001</v>
      </c>
      <c r="AE83" s="87">
        <v>1440</v>
      </c>
      <c r="AF83" s="85">
        <v>1233.56</v>
      </c>
      <c r="AG83" s="87">
        <v>1420</v>
      </c>
      <c r="AH83" s="85">
        <v>359.47199999999998</v>
      </c>
      <c r="AI83" s="87">
        <v>1420</v>
      </c>
      <c r="AJ83" s="85">
        <v>374.88099999999997</v>
      </c>
    </row>
    <row r="84" spans="1:36" ht="14.25" customHeight="1">
      <c r="A84" s="88">
        <v>1450</v>
      </c>
      <c r="B84" s="84">
        <v>748.43799999999999</v>
      </c>
      <c r="C84" s="88">
        <v>1460</v>
      </c>
      <c r="D84" s="85">
        <v>742.76</v>
      </c>
      <c r="E84" s="86">
        <v>1450</v>
      </c>
      <c r="F84" s="85">
        <v>1548.6210000000001</v>
      </c>
      <c r="G84" s="87">
        <v>1450</v>
      </c>
      <c r="H84" s="85">
        <v>1546.655</v>
      </c>
      <c r="I84" s="87">
        <v>1450</v>
      </c>
      <c r="J84" s="85">
        <v>1310.355</v>
      </c>
      <c r="K84" s="87">
        <v>1450</v>
      </c>
      <c r="L84" s="85">
        <v>1310.075</v>
      </c>
      <c r="M84" s="87">
        <v>1450</v>
      </c>
      <c r="N84" s="85">
        <v>1310.0840000000001</v>
      </c>
      <c r="O84" s="87">
        <v>1430</v>
      </c>
      <c r="P84" s="85">
        <v>1311.127</v>
      </c>
      <c r="Q84" s="87">
        <v>1450</v>
      </c>
      <c r="R84" s="85">
        <v>1310.7180000000001</v>
      </c>
      <c r="S84" s="87">
        <v>1450</v>
      </c>
      <c r="T84" s="85">
        <v>1311.037</v>
      </c>
      <c r="U84" s="87">
        <v>1440</v>
      </c>
      <c r="V84" s="85">
        <v>1309.1559999999999</v>
      </c>
      <c r="W84" s="87">
        <v>1450</v>
      </c>
      <c r="X84" s="85">
        <v>1309.087</v>
      </c>
      <c r="Y84" s="87">
        <v>1450</v>
      </c>
      <c r="Z84" s="85">
        <v>1307.847</v>
      </c>
      <c r="AA84" s="87">
        <v>1450</v>
      </c>
      <c r="AB84" s="85">
        <v>1307.01</v>
      </c>
      <c r="AC84" s="87">
        <v>1440</v>
      </c>
      <c r="AD84" s="85">
        <v>1231.5319999999999</v>
      </c>
      <c r="AE84" s="87">
        <v>1450</v>
      </c>
      <c r="AF84" s="85">
        <v>1232.415</v>
      </c>
      <c r="AG84" s="87">
        <v>1430</v>
      </c>
      <c r="AH84" s="85">
        <v>359.1</v>
      </c>
      <c r="AI84" s="87">
        <v>1430</v>
      </c>
      <c r="AJ84" s="85">
        <v>374.495</v>
      </c>
    </row>
    <row r="85" spans="1:36" ht="14.25" customHeight="1">
      <c r="A85" s="88">
        <v>1460</v>
      </c>
      <c r="B85" s="84">
        <v>747.68399999999997</v>
      </c>
      <c r="C85" s="88">
        <v>1470</v>
      </c>
      <c r="D85" s="85">
        <v>742.01400000000001</v>
      </c>
      <c r="E85" s="86">
        <v>1460</v>
      </c>
      <c r="F85" s="85">
        <v>1547.191</v>
      </c>
      <c r="G85" s="87">
        <v>1460</v>
      </c>
      <c r="H85" s="85">
        <v>1545.23</v>
      </c>
      <c r="I85" s="87">
        <v>1460</v>
      </c>
      <c r="J85" s="85">
        <v>1309.204</v>
      </c>
      <c r="K85" s="87">
        <v>1460</v>
      </c>
      <c r="L85" s="85">
        <v>1308.9259999999999</v>
      </c>
      <c r="M85" s="87">
        <v>1460</v>
      </c>
      <c r="N85" s="85">
        <v>1308.934</v>
      </c>
      <c r="O85" s="87">
        <v>1440</v>
      </c>
      <c r="P85" s="85">
        <v>1309.9780000000001</v>
      </c>
      <c r="Q85" s="87">
        <v>1460</v>
      </c>
      <c r="R85" s="85">
        <v>1309.568</v>
      </c>
      <c r="S85" s="87">
        <v>1460</v>
      </c>
      <c r="T85" s="85">
        <v>1309.8879999999999</v>
      </c>
      <c r="U85" s="87">
        <v>1450</v>
      </c>
      <c r="V85" s="85">
        <v>1308.01</v>
      </c>
      <c r="W85" s="87">
        <v>1460</v>
      </c>
      <c r="X85" s="85">
        <v>1307.94</v>
      </c>
      <c r="Y85" s="87">
        <v>1460</v>
      </c>
      <c r="Z85" s="85">
        <v>1306.7</v>
      </c>
      <c r="AA85" s="87">
        <v>1460</v>
      </c>
      <c r="AB85" s="85">
        <v>1305.865</v>
      </c>
      <c r="AC85" s="87">
        <v>1450</v>
      </c>
      <c r="AD85" s="85">
        <v>1230.385</v>
      </c>
      <c r="AE85" s="87">
        <v>1460</v>
      </c>
      <c r="AF85" s="85">
        <v>1231.27</v>
      </c>
      <c r="AG85" s="87">
        <v>1440</v>
      </c>
      <c r="AH85" s="85">
        <v>358.72800000000001</v>
      </c>
      <c r="AI85" s="87">
        <v>1440</v>
      </c>
      <c r="AJ85" s="85">
        <v>374.10899999999998</v>
      </c>
    </row>
    <row r="86" spans="1:36" ht="14.25" customHeight="1">
      <c r="A86" s="88">
        <v>1470</v>
      </c>
      <c r="B86" s="84">
        <v>746.93</v>
      </c>
      <c r="C86" s="88">
        <v>1480</v>
      </c>
      <c r="D86" s="85">
        <v>741.26800000000003</v>
      </c>
      <c r="E86" s="86">
        <v>1470</v>
      </c>
      <c r="F86" s="85">
        <v>1545.761</v>
      </c>
      <c r="G86" s="87">
        <v>1470</v>
      </c>
      <c r="H86" s="85">
        <v>1543.8050000000001</v>
      </c>
      <c r="I86" s="87">
        <v>1470</v>
      </c>
      <c r="J86" s="85">
        <v>1308.0530000000001</v>
      </c>
      <c r="K86" s="87">
        <v>1470</v>
      </c>
      <c r="L86" s="85">
        <v>1307.7760000000001</v>
      </c>
      <c r="M86" s="87">
        <v>1470</v>
      </c>
      <c r="N86" s="85">
        <v>1307.7840000000001</v>
      </c>
      <c r="O86" s="87">
        <v>1450</v>
      </c>
      <c r="P86" s="85">
        <v>1308.828</v>
      </c>
      <c r="Q86" s="87">
        <v>1470</v>
      </c>
      <c r="R86" s="85">
        <v>1308.4190000000001</v>
      </c>
      <c r="S86" s="87">
        <v>1470</v>
      </c>
      <c r="T86" s="85">
        <v>1308.74</v>
      </c>
      <c r="U86" s="87">
        <v>1460</v>
      </c>
      <c r="V86" s="85">
        <v>1306.864</v>
      </c>
      <c r="W86" s="87">
        <v>1470</v>
      </c>
      <c r="X86" s="85">
        <v>1306.7940000000001</v>
      </c>
      <c r="Y86" s="87">
        <v>1470</v>
      </c>
      <c r="Z86" s="85">
        <v>1305.5519999999999</v>
      </c>
      <c r="AA86" s="87">
        <v>1470</v>
      </c>
      <c r="AB86" s="85">
        <v>1304.72</v>
      </c>
      <c r="AC86" s="87">
        <v>1460</v>
      </c>
      <c r="AD86" s="85">
        <v>1229.2370000000001</v>
      </c>
      <c r="AE86" s="87">
        <v>1470</v>
      </c>
      <c r="AF86" s="85">
        <v>1230.124</v>
      </c>
      <c r="AG86" s="87">
        <v>1450</v>
      </c>
      <c r="AH86" s="85">
        <v>358.35599999999999</v>
      </c>
      <c r="AI86" s="87">
        <v>1450</v>
      </c>
      <c r="AJ86" s="85">
        <v>373.72300000000001</v>
      </c>
    </row>
    <row r="87" spans="1:36" ht="14.25" customHeight="1">
      <c r="A87" s="88">
        <v>1480</v>
      </c>
      <c r="B87" s="84">
        <v>746.17600000000004</v>
      </c>
      <c r="C87" s="88">
        <v>1490</v>
      </c>
      <c r="D87" s="85">
        <v>740.52099999999996</v>
      </c>
      <c r="E87" s="86">
        <v>1480</v>
      </c>
      <c r="F87" s="85">
        <v>1544.33</v>
      </c>
      <c r="G87" s="87">
        <v>1480</v>
      </c>
      <c r="H87" s="85">
        <v>1542.3789999999999</v>
      </c>
      <c r="I87" s="87">
        <v>1480</v>
      </c>
      <c r="J87" s="85">
        <v>1306.902</v>
      </c>
      <c r="K87" s="87">
        <v>1480</v>
      </c>
      <c r="L87" s="85">
        <v>1306.626</v>
      </c>
      <c r="M87" s="87">
        <v>1480</v>
      </c>
      <c r="N87" s="85">
        <v>1306.634</v>
      </c>
      <c r="O87" s="87">
        <v>1460</v>
      </c>
      <c r="P87" s="85">
        <v>1307.6780000000001</v>
      </c>
      <c r="Q87" s="87">
        <v>1480</v>
      </c>
      <c r="R87" s="85">
        <v>1307.269</v>
      </c>
      <c r="S87" s="87">
        <v>1480</v>
      </c>
      <c r="T87" s="85">
        <v>1307.5909999999999</v>
      </c>
      <c r="U87" s="87">
        <v>1470</v>
      </c>
      <c r="V87" s="85">
        <v>1305.7180000000001</v>
      </c>
      <c r="W87" s="87">
        <v>1480</v>
      </c>
      <c r="X87" s="85">
        <v>1305.6469999999999</v>
      </c>
      <c r="Y87" s="87">
        <v>1480</v>
      </c>
      <c r="Z87" s="85">
        <v>1304.404</v>
      </c>
      <c r="AA87" s="87">
        <v>1480</v>
      </c>
      <c r="AB87" s="85">
        <v>1303.575</v>
      </c>
      <c r="AC87" s="87">
        <v>1470</v>
      </c>
      <c r="AD87" s="85">
        <v>1228.0899999999999</v>
      </c>
      <c r="AE87" s="87">
        <v>1480</v>
      </c>
      <c r="AF87" s="85">
        <v>1228.9780000000001</v>
      </c>
      <c r="AG87" s="87">
        <v>1460</v>
      </c>
      <c r="AH87" s="85">
        <v>357.983</v>
      </c>
      <c r="AI87" s="87">
        <v>1460</v>
      </c>
      <c r="AJ87" s="85">
        <v>373.33699999999999</v>
      </c>
    </row>
    <row r="88" spans="1:36" ht="14.25" customHeight="1">
      <c r="A88" s="88">
        <v>1490</v>
      </c>
      <c r="B88" s="84">
        <v>745.42200000000003</v>
      </c>
      <c r="C88" s="88">
        <v>1500</v>
      </c>
      <c r="D88" s="85">
        <v>739.77499999999998</v>
      </c>
      <c r="E88" s="86">
        <v>1490</v>
      </c>
      <c r="F88" s="85">
        <v>1542.9</v>
      </c>
      <c r="G88" s="87">
        <v>1490</v>
      </c>
      <c r="H88" s="85">
        <v>1540.953</v>
      </c>
      <c r="I88" s="87">
        <v>1490</v>
      </c>
      <c r="J88" s="85">
        <v>1305.751</v>
      </c>
      <c r="K88" s="87">
        <v>1490</v>
      </c>
      <c r="L88" s="85">
        <v>1305.4760000000001</v>
      </c>
      <c r="M88" s="87">
        <v>1490</v>
      </c>
      <c r="N88" s="85">
        <v>1305.4829999999999</v>
      </c>
      <c r="O88" s="87">
        <v>1470</v>
      </c>
      <c r="P88" s="85">
        <v>1306.528</v>
      </c>
      <c r="Q88" s="87">
        <v>1490</v>
      </c>
      <c r="R88" s="85">
        <v>1306.1189999999999</v>
      </c>
      <c r="S88" s="87">
        <v>1490</v>
      </c>
      <c r="T88" s="85">
        <v>1306.442</v>
      </c>
      <c r="U88" s="87">
        <v>1480</v>
      </c>
      <c r="V88" s="85">
        <v>1304.5709999999999</v>
      </c>
      <c r="W88" s="87">
        <v>1490</v>
      </c>
      <c r="X88" s="85">
        <v>1304.5</v>
      </c>
      <c r="Y88" s="87">
        <v>1490</v>
      </c>
      <c r="Z88" s="85">
        <v>1303.2550000000001</v>
      </c>
      <c r="AA88" s="87">
        <v>1490</v>
      </c>
      <c r="AB88" s="85">
        <v>1302.43</v>
      </c>
      <c r="AC88" s="87">
        <v>1480</v>
      </c>
      <c r="AD88" s="85">
        <v>1226.942</v>
      </c>
      <c r="AE88" s="87">
        <v>1490</v>
      </c>
      <c r="AF88" s="85">
        <v>1227.8320000000001</v>
      </c>
      <c r="AG88" s="87">
        <v>1470</v>
      </c>
      <c r="AH88" s="85">
        <v>357.61099999999999</v>
      </c>
      <c r="AI88" s="87">
        <v>1470</v>
      </c>
      <c r="AJ88" s="85">
        <v>372.95</v>
      </c>
    </row>
    <row r="89" spans="1:36" ht="14.25" customHeight="1">
      <c r="A89" s="88">
        <v>1500</v>
      </c>
      <c r="B89" s="84">
        <v>744.66800000000001</v>
      </c>
      <c r="C89" s="88">
        <v>1510</v>
      </c>
      <c r="D89" s="85">
        <v>739.02800000000002</v>
      </c>
      <c r="E89" s="86">
        <v>1500</v>
      </c>
      <c r="F89" s="85">
        <v>1541.4690000000001</v>
      </c>
      <c r="G89" s="87">
        <v>1500</v>
      </c>
      <c r="H89" s="85">
        <v>1539.527</v>
      </c>
      <c r="I89" s="87">
        <v>1500</v>
      </c>
      <c r="J89" s="85">
        <v>1304.5999999999999</v>
      </c>
      <c r="K89" s="87">
        <v>1500</v>
      </c>
      <c r="L89" s="85">
        <v>1304.326</v>
      </c>
      <c r="M89" s="87">
        <v>1500</v>
      </c>
      <c r="N89" s="85">
        <v>1304.3320000000001</v>
      </c>
      <c r="O89" s="87">
        <v>1480</v>
      </c>
      <c r="P89" s="85">
        <v>1305.3779999999999</v>
      </c>
      <c r="Q89" s="87">
        <v>1500</v>
      </c>
      <c r="R89" s="85">
        <v>1304.9690000000001</v>
      </c>
      <c r="S89" s="87">
        <v>1500</v>
      </c>
      <c r="T89" s="85">
        <v>1305.2929999999999</v>
      </c>
      <c r="U89" s="87">
        <v>1490</v>
      </c>
      <c r="V89" s="85">
        <v>1303.424</v>
      </c>
      <c r="W89" s="87">
        <v>1500</v>
      </c>
      <c r="X89" s="85">
        <v>1303.3530000000001</v>
      </c>
      <c r="Y89" s="87">
        <v>1500</v>
      </c>
      <c r="Z89" s="85">
        <v>1302.107</v>
      </c>
      <c r="AA89" s="87">
        <v>1500</v>
      </c>
      <c r="AB89" s="85">
        <v>1301.2840000000001</v>
      </c>
      <c r="AC89" s="87">
        <v>1490</v>
      </c>
      <c r="AD89" s="85">
        <v>1225.7940000000001</v>
      </c>
      <c r="AE89" s="87">
        <v>1500</v>
      </c>
      <c r="AF89" s="85">
        <v>1226.6859999999999</v>
      </c>
      <c r="AG89" s="87">
        <v>1480</v>
      </c>
      <c r="AH89" s="85">
        <v>357.238</v>
      </c>
      <c r="AI89" s="87">
        <v>1480</v>
      </c>
      <c r="AJ89" s="85">
        <v>372.56400000000002</v>
      </c>
    </row>
    <row r="90" spans="1:36" ht="14.25" customHeight="1">
      <c r="A90" s="88">
        <v>1510</v>
      </c>
      <c r="B90" s="84">
        <v>743.91300000000001</v>
      </c>
      <c r="C90" s="88">
        <v>1520</v>
      </c>
      <c r="D90" s="85">
        <v>738.28099999999995</v>
      </c>
      <c r="E90" s="86">
        <v>1510</v>
      </c>
      <c r="F90" s="85">
        <v>1540.037</v>
      </c>
      <c r="G90" s="87">
        <v>1510</v>
      </c>
      <c r="H90" s="85">
        <v>1538.1</v>
      </c>
      <c r="I90" s="87">
        <v>1510</v>
      </c>
      <c r="J90" s="85">
        <v>1303.4480000000001</v>
      </c>
      <c r="K90" s="87">
        <v>1510</v>
      </c>
      <c r="L90" s="85">
        <v>1303.175</v>
      </c>
      <c r="M90" s="87">
        <v>1510</v>
      </c>
      <c r="N90" s="85">
        <v>1303.181</v>
      </c>
      <c r="O90" s="87">
        <v>1490</v>
      </c>
      <c r="P90" s="85">
        <v>1304.2270000000001</v>
      </c>
      <c r="Q90" s="87">
        <v>1510</v>
      </c>
      <c r="R90" s="85">
        <v>1303.818</v>
      </c>
      <c r="S90" s="87">
        <v>1510</v>
      </c>
      <c r="T90" s="85">
        <v>1304.143</v>
      </c>
      <c r="U90" s="87">
        <v>1500</v>
      </c>
      <c r="V90" s="85">
        <v>1302.277</v>
      </c>
      <c r="W90" s="87">
        <v>1510</v>
      </c>
      <c r="X90" s="85">
        <v>1302.2049999999999</v>
      </c>
      <c r="Y90" s="87">
        <v>1510</v>
      </c>
      <c r="Z90" s="85">
        <v>1300.9580000000001</v>
      </c>
      <c r="AA90" s="87">
        <v>1510</v>
      </c>
      <c r="AB90" s="85">
        <v>1300.1379999999999</v>
      </c>
      <c r="AC90" s="87">
        <v>1500</v>
      </c>
      <c r="AD90" s="85">
        <v>1224.646</v>
      </c>
      <c r="AE90" s="87">
        <v>1510</v>
      </c>
      <c r="AF90" s="85">
        <v>1225.54</v>
      </c>
      <c r="AG90" s="87">
        <v>1490</v>
      </c>
      <c r="AH90" s="85">
        <v>356.86500000000001</v>
      </c>
      <c r="AI90" s="87">
        <v>1490</v>
      </c>
      <c r="AJ90" s="85">
        <v>372.17700000000002</v>
      </c>
    </row>
    <row r="91" spans="1:36" ht="14.25" customHeight="1">
      <c r="A91" s="88">
        <v>1520</v>
      </c>
      <c r="B91" s="84">
        <v>743.15800000000002</v>
      </c>
      <c r="C91" s="88">
        <v>1530</v>
      </c>
      <c r="D91" s="85">
        <v>737.53300000000002</v>
      </c>
      <c r="E91" s="86">
        <v>1520</v>
      </c>
      <c r="F91" s="85">
        <v>1538.606</v>
      </c>
      <c r="G91" s="87">
        <v>1520</v>
      </c>
      <c r="H91" s="85">
        <v>1536.673</v>
      </c>
      <c r="I91" s="87">
        <v>1520</v>
      </c>
      <c r="J91" s="85">
        <v>1302.296</v>
      </c>
      <c r="K91" s="87">
        <v>1520</v>
      </c>
      <c r="L91" s="85">
        <v>1302.0239999999999</v>
      </c>
      <c r="M91" s="87">
        <v>1520</v>
      </c>
      <c r="N91" s="85">
        <v>1302.03</v>
      </c>
      <c r="O91" s="87">
        <v>1500</v>
      </c>
      <c r="P91" s="85">
        <v>1303.076</v>
      </c>
      <c r="Q91" s="87">
        <v>1520</v>
      </c>
      <c r="R91" s="85">
        <v>1302.6669999999999</v>
      </c>
      <c r="S91" s="87">
        <v>1520</v>
      </c>
      <c r="T91" s="85">
        <v>1302.9929999999999</v>
      </c>
      <c r="U91" s="87">
        <v>1510</v>
      </c>
      <c r="V91" s="85">
        <v>1301.1300000000001</v>
      </c>
      <c r="W91" s="87">
        <v>1520</v>
      </c>
      <c r="X91" s="85">
        <v>1301.058</v>
      </c>
      <c r="Y91" s="87">
        <v>1520</v>
      </c>
      <c r="Z91" s="85">
        <v>1299.809</v>
      </c>
      <c r="AA91" s="87">
        <v>1520</v>
      </c>
      <c r="AB91" s="85">
        <v>1298.992</v>
      </c>
      <c r="AC91" s="87">
        <v>1510</v>
      </c>
      <c r="AD91" s="85">
        <v>1223.4970000000001</v>
      </c>
      <c r="AE91" s="87">
        <v>1520</v>
      </c>
      <c r="AF91" s="85">
        <v>1224.393</v>
      </c>
      <c r="AG91" s="87">
        <v>1500</v>
      </c>
      <c r="AH91" s="85">
        <v>356.49200000000002</v>
      </c>
      <c r="AI91" s="87">
        <v>1500</v>
      </c>
      <c r="AJ91" s="85">
        <v>371.79</v>
      </c>
    </row>
    <row r="92" spans="1:36" ht="14.25" customHeight="1">
      <c r="A92" s="88">
        <v>1530</v>
      </c>
      <c r="B92" s="84">
        <v>742.40300000000002</v>
      </c>
      <c r="C92" s="88">
        <v>1540</v>
      </c>
      <c r="D92" s="85">
        <v>736.78599999999994</v>
      </c>
      <c r="E92" s="86">
        <v>1530</v>
      </c>
      <c r="F92" s="85">
        <v>1537.174</v>
      </c>
      <c r="G92" s="87">
        <v>1530</v>
      </c>
      <c r="H92" s="85">
        <v>1535.2460000000001</v>
      </c>
      <c r="I92" s="87">
        <v>1530</v>
      </c>
      <c r="J92" s="85">
        <v>1301.144</v>
      </c>
      <c r="K92" s="87">
        <v>1530</v>
      </c>
      <c r="L92" s="85">
        <v>1300.873</v>
      </c>
      <c r="M92" s="87">
        <v>1530</v>
      </c>
      <c r="N92" s="85">
        <v>1300.8779999999999</v>
      </c>
      <c r="O92" s="87">
        <v>1510</v>
      </c>
      <c r="P92" s="85">
        <v>1301.925</v>
      </c>
      <c r="Q92" s="87">
        <v>1530</v>
      </c>
      <c r="R92" s="85">
        <v>1301.5160000000001</v>
      </c>
      <c r="S92" s="87">
        <v>1530</v>
      </c>
      <c r="T92" s="85">
        <v>1301.8430000000001</v>
      </c>
      <c r="U92" s="87">
        <v>1520</v>
      </c>
      <c r="V92" s="85">
        <v>1299.982</v>
      </c>
      <c r="W92" s="87">
        <v>1530</v>
      </c>
      <c r="X92" s="85">
        <v>1299.9100000000001</v>
      </c>
      <c r="Y92" s="87">
        <v>1530</v>
      </c>
      <c r="Z92" s="85">
        <v>1298.6600000000001</v>
      </c>
      <c r="AA92" s="87">
        <v>1530</v>
      </c>
      <c r="AB92" s="85">
        <v>1297.845</v>
      </c>
      <c r="AC92" s="87">
        <v>1520</v>
      </c>
      <c r="AD92" s="85">
        <v>1222.348</v>
      </c>
      <c r="AE92" s="87">
        <v>1530</v>
      </c>
      <c r="AF92" s="85">
        <v>1223.2460000000001</v>
      </c>
      <c r="AG92" s="87">
        <v>1510</v>
      </c>
      <c r="AH92" s="85">
        <v>356.12</v>
      </c>
      <c r="AI92" s="87">
        <v>1510</v>
      </c>
      <c r="AJ92" s="85">
        <v>371.404</v>
      </c>
    </row>
    <row r="93" spans="1:36" ht="14.25" customHeight="1">
      <c r="A93" s="88">
        <v>1540</v>
      </c>
      <c r="B93" s="84">
        <v>741.64800000000002</v>
      </c>
      <c r="C93" s="88">
        <v>1550</v>
      </c>
      <c r="D93" s="85">
        <v>736.03800000000001</v>
      </c>
      <c r="E93" s="86">
        <v>1540</v>
      </c>
      <c r="F93" s="85">
        <v>1535.742</v>
      </c>
      <c r="G93" s="87">
        <v>1540</v>
      </c>
      <c r="H93" s="85">
        <v>1533.819</v>
      </c>
      <c r="I93" s="87">
        <v>1540</v>
      </c>
      <c r="J93" s="85">
        <v>1299.992</v>
      </c>
      <c r="K93" s="87">
        <v>1540</v>
      </c>
      <c r="L93" s="85">
        <v>1299.722</v>
      </c>
      <c r="M93" s="87">
        <v>1540</v>
      </c>
      <c r="N93" s="85">
        <v>1299.7260000000001</v>
      </c>
      <c r="O93" s="87">
        <v>1520</v>
      </c>
      <c r="P93" s="85">
        <v>1300.7739999999999</v>
      </c>
      <c r="Q93" s="87">
        <v>1540</v>
      </c>
      <c r="R93" s="85">
        <v>1300.365</v>
      </c>
      <c r="S93" s="87">
        <v>1540</v>
      </c>
      <c r="T93" s="85">
        <v>1300.693</v>
      </c>
      <c r="U93" s="87">
        <v>1530</v>
      </c>
      <c r="V93" s="85">
        <v>1298.8340000000001</v>
      </c>
      <c r="W93" s="87">
        <v>1540</v>
      </c>
      <c r="X93" s="85">
        <v>1298.761</v>
      </c>
      <c r="Y93" s="87">
        <v>1540</v>
      </c>
      <c r="Z93" s="85">
        <v>1297.51</v>
      </c>
      <c r="AA93" s="87">
        <v>1540</v>
      </c>
      <c r="AB93" s="85">
        <v>1296.6980000000001</v>
      </c>
      <c r="AC93" s="87">
        <v>1530</v>
      </c>
      <c r="AD93" s="85">
        <v>1221.1990000000001</v>
      </c>
      <c r="AE93" s="87">
        <v>1540</v>
      </c>
      <c r="AF93" s="85">
        <v>1222.0989999999999</v>
      </c>
      <c r="AG93" s="87">
        <v>1520</v>
      </c>
      <c r="AH93" s="85">
        <v>355.74700000000001</v>
      </c>
      <c r="AI93" s="87">
        <v>1520</v>
      </c>
      <c r="AJ93" s="85">
        <v>371.017</v>
      </c>
    </row>
    <row r="94" spans="1:36" ht="14.25" customHeight="1">
      <c r="A94" s="88">
        <v>1550</v>
      </c>
      <c r="B94" s="84">
        <v>740.89300000000003</v>
      </c>
      <c r="C94" s="88">
        <v>1560</v>
      </c>
      <c r="D94" s="85">
        <v>735.29</v>
      </c>
      <c r="E94" s="86">
        <v>1550</v>
      </c>
      <c r="F94" s="85">
        <v>1534.309</v>
      </c>
      <c r="G94" s="87">
        <v>1550</v>
      </c>
      <c r="H94" s="85">
        <v>1532.3910000000001</v>
      </c>
      <c r="I94" s="87">
        <v>1550</v>
      </c>
      <c r="J94" s="85">
        <v>1298.8389999999999</v>
      </c>
      <c r="K94" s="87">
        <v>1550</v>
      </c>
      <c r="L94" s="85">
        <v>1298.57</v>
      </c>
      <c r="M94" s="87">
        <v>1550</v>
      </c>
      <c r="N94" s="85">
        <v>1298.5740000000001</v>
      </c>
      <c r="O94" s="87">
        <v>1530</v>
      </c>
      <c r="P94" s="85">
        <v>1299.623</v>
      </c>
      <c r="Q94" s="87">
        <v>1550</v>
      </c>
      <c r="R94" s="85">
        <v>1299.2139999999999</v>
      </c>
      <c r="S94" s="87">
        <v>1550</v>
      </c>
      <c r="T94" s="85">
        <v>1299.5429999999999</v>
      </c>
      <c r="U94" s="87">
        <v>1540</v>
      </c>
      <c r="V94" s="85">
        <v>1297.6859999999999</v>
      </c>
      <c r="W94" s="87">
        <v>1550</v>
      </c>
      <c r="X94" s="85">
        <v>1297.6130000000001</v>
      </c>
      <c r="Y94" s="87">
        <v>1550</v>
      </c>
      <c r="Z94" s="85">
        <v>1296.3599999999999</v>
      </c>
      <c r="AA94" s="87">
        <v>1550</v>
      </c>
      <c r="AB94" s="85">
        <v>1295.5509999999999</v>
      </c>
      <c r="AC94" s="87">
        <v>1540</v>
      </c>
      <c r="AD94" s="85">
        <v>1220.05</v>
      </c>
      <c r="AE94" s="87">
        <v>1550</v>
      </c>
      <c r="AF94" s="85">
        <v>1220.951</v>
      </c>
      <c r="AG94" s="87">
        <v>1530</v>
      </c>
      <c r="AH94" s="85">
        <v>355.37299999999999</v>
      </c>
      <c r="AI94" s="87">
        <v>1530</v>
      </c>
      <c r="AJ94" s="85">
        <v>370.63</v>
      </c>
    </row>
    <row r="95" spans="1:36" ht="14.25" customHeight="1">
      <c r="A95" s="88">
        <v>1560</v>
      </c>
      <c r="B95" s="84">
        <v>740.13699999999994</v>
      </c>
      <c r="C95" s="88">
        <v>1570</v>
      </c>
      <c r="D95" s="85">
        <v>734.54200000000003</v>
      </c>
      <c r="E95" s="86">
        <v>1560</v>
      </c>
      <c r="F95" s="85">
        <v>1532.877</v>
      </c>
      <c r="G95" s="87">
        <v>1560</v>
      </c>
      <c r="H95" s="85">
        <v>1530.963</v>
      </c>
      <c r="I95" s="87">
        <v>1560</v>
      </c>
      <c r="J95" s="85">
        <v>1297.6859999999999</v>
      </c>
      <c r="K95" s="87">
        <v>1560</v>
      </c>
      <c r="L95" s="85">
        <v>1297.4179999999999</v>
      </c>
      <c r="M95" s="87">
        <v>1560</v>
      </c>
      <c r="N95" s="85">
        <v>1297.422</v>
      </c>
      <c r="O95" s="87">
        <v>1540</v>
      </c>
      <c r="P95" s="85">
        <v>1298.471</v>
      </c>
      <c r="Q95" s="87">
        <v>1560</v>
      </c>
      <c r="R95" s="85">
        <v>1298.0619999999999</v>
      </c>
      <c r="S95" s="87">
        <v>1560</v>
      </c>
      <c r="T95" s="85">
        <v>1298.3920000000001</v>
      </c>
      <c r="U95" s="87">
        <v>1550</v>
      </c>
      <c r="V95" s="85">
        <v>1296.538</v>
      </c>
      <c r="W95" s="87">
        <v>1560</v>
      </c>
      <c r="X95" s="85">
        <v>1296.4639999999999</v>
      </c>
      <c r="Y95" s="87">
        <v>1560</v>
      </c>
      <c r="Z95" s="85">
        <v>1295.21</v>
      </c>
      <c r="AA95" s="87">
        <v>1560</v>
      </c>
      <c r="AB95" s="85">
        <v>1294.404</v>
      </c>
      <c r="AC95" s="87">
        <v>1550</v>
      </c>
      <c r="AD95" s="85">
        <v>1218.9010000000001</v>
      </c>
      <c r="AE95" s="87">
        <v>1560</v>
      </c>
      <c r="AF95" s="85">
        <v>1219.8040000000001</v>
      </c>
      <c r="AG95" s="87">
        <v>1540</v>
      </c>
      <c r="AH95" s="85">
        <v>355</v>
      </c>
      <c r="AI95" s="87">
        <v>1540</v>
      </c>
      <c r="AJ95" s="85">
        <v>370.24299999999999</v>
      </c>
    </row>
    <row r="96" spans="1:36" ht="14.25" customHeight="1">
      <c r="A96" s="88">
        <v>1570</v>
      </c>
      <c r="B96" s="84">
        <v>739.38099999999997</v>
      </c>
      <c r="C96" s="88">
        <v>1580</v>
      </c>
      <c r="D96" s="85">
        <v>733.79399999999998</v>
      </c>
      <c r="E96" s="86">
        <v>1570</v>
      </c>
      <c r="F96" s="85">
        <v>1531.444</v>
      </c>
      <c r="G96" s="87">
        <v>1570</v>
      </c>
      <c r="H96" s="85">
        <v>1529.5350000000001</v>
      </c>
      <c r="I96" s="87">
        <v>1570</v>
      </c>
      <c r="J96" s="85">
        <v>1296.5329999999999</v>
      </c>
      <c r="K96" s="87">
        <v>1570</v>
      </c>
      <c r="L96" s="85">
        <v>1296.2660000000001</v>
      </c>
      <c r="M96" s="87">
        <v>1570</v>
      </c>
      <c r="N96" s="85">
        <v>1296.269</v>
      </c>
      <c r="O96" s="87">
        <v>1550</v>
      </c>
      <c r="P96" s="85">
        <v>1297.319</v>
      </c>
      <c r="Q96" s="87">
        <v>1570</v>
      </c>
      <c r="R96" s="85">
        <v>1296.9100000000001</v>
      </c>
      <c r="S96" s="87">
        <v>1570</v>
      </c>
      <c r="T96" s="85">
        <v>1297.241</v>
      </c>
      <c r="U96" s="87">
        <v>1560</v>
      </c>
      <c r="V96" s="85">
        <v>1295.3889999999999</v>
      </c>
      <c r="W96" s="87">
        <v>1570</v>
      </c>
      <c r="X96" s="85">
        <v>1295.3150000000001</v>
      </c>
      <c r="Y96" s="87">
        <v>1570</v>
      </c>
      <c r="Z96" s="85">
        <v>1294.06</v>
      </c>
      <c r="AA96" s="87">
        <v>1570</v>
      </c>
      <c r="AB96" s="85">
        <v>1293.2570000000001</v>
      </c>
      <c r="AC96" s="87">
        <v>1560</v>
      </c>
      <c r="AD96" s="85">
        <v>1217.751</v>
      </c>
      <c r="AE96" s="87">
        <v>1570</v>
      </c>
      <c r="AF96" s="85">
        <v>1218.6559999999999</v>
      </c>
      <c r="AG96" s="87">
        <v>1550</v>
      </c>
      <c r="AH96" s="85">
        <v>354.62700000000001</v>
      </c>
      <c r="AI96" s="87">
        <v>1550</v>
      </c>
      <c r="AJ96" s="85">
        <v>369.85599999999999</v>
      </c>
    </row>
    <row r="97" spans="1:36" ht="14.25" customHeight="1">
      <c r="A97" s="88">
        <v>1580</v>
      </c>
      <c r="B97" s="84">
        <v>738.625</v>
      </c>
      <c r="C97" s="88">
        <v>1590</v>
      </c>
      <c r="D97" s="85">
        <v>733.04499999999996</v>
      </c>
      <c r="E97" s="86">
        <v>1580</v>
      </c>
      <c r="F97" s="85">
        <v>1530.011</v>
      </c>
      <c r="G97" s="87">
        <v>1580</v>
      </c>
      <c r="H97" s="85">
        <v>1528.106</v>
      </c>
      <c r="I97" s="87">
        <v>1580</v>
      </c>
      <c r="J97" s="85">
        <v>1295.3800000000001</v>
      </c>
      <c r="K97" s="87">
        <v>1580</v>
      </c>
      <c r="L97" s="85">
        <v>1295.114</v>
      </c>
      <c r="M97" s="87">
        <v>1580</v>
      </c>
      <c r="N97" s="85">
        <v>1295.116</v>
      </c>
      <c r="O97" s="87">
        <v>1560</v>
      </c>
      <c r="P97" s="85">
        <v>1296.1669999999999</v>
      </c>
      <c r="Q97" s="87">
        <v>1580</v>
      </c>
      <c r="R97" s="85">
        <v>1295.758</v>
      </c>
      <c r="S97" s="87">
        <v>1580</v>
      </c>
      <c r="T97" s="85">
        <v>1296.0899999999999</v>
      </c>
      <c r="U97" s="87">
        <v>1570</v>
      </c>
      <c r="V97" s="85">
        <v>1294.24</v>
      </c>
      <c r="W97" s="87">
        <v>1580</v>
      </c>
      <c r="X97" s="85">
        <v>1294.1659999999999</v>
      </c>
      <c r="Y97" s="87">
        <v>1580</v>
      </c>
      <c r="Z97" s="85">
        <v>1292.9090000000001</v>
      </c>
      <c r="AA97" s="87">
        <v>1580</v>
      </c>
      <c r="AB97" s="85">
        <v>1292.1089999999999</v>
      </c>
      <c r="AC97" s="87">
        <v>1570</v>
      </c>
      <c r="AD97" s="85">
        <v>1216.6010000000001</v>
      </c>
      <c r="AE97" s="87">
        <v>1580</v>
      </c>
      <c r="AF97" s="85">
        <v>1217.508</v>
      </c>
      <c r="AG97" s="87">
        <v>1560</v>
      </c>
      <c r="AH97" s="85">
        <v>354.25400000000002</v>
      </c>
      <c r="AI97" s="87">
        <v>1560</v>
      </c>
      <c r="AJ97" s="85">
        <v>369.46899999999999</v>
      </c>
    </row>
    <row r="98" spans="1:36" ht="14.25" customHeight="1">
      <c r="A98" s="88">
        <v>1590</v>
      </c>
      <c r="B98" s="84">
        <v>737.86900000000003</v>
      </c>
      <c r="C98" s="88">
        <v>1600</v>
      </c>
      <c r="D98" s="85">
        <v>732.29700000000003</v>
      </c>
      <c r="E98" s="86">
        <v>1590</v>
      </c>
      <c r="F98" s="85">
        <v>1528.577</v>
      </c>
      <c r="G98" s="87">
        <v>1590</v>
      </c>
      <c r="H98" s="85">
        <v>1526.6769999999999</v>
      </c>
      <c r="I98" s="87">
        <v>1590</v>
      </c>
      <c r="J98" s="85">
        <v>1294.2260000000001</v>
      </c>
      <c r="K98" s="87">
        <v>1590</v>
      </c>
      <c r="L98" s="85">
        <v>1293.961</v>
      </c>
      <c r="M98" s="87">
        <v>1590</v>
      </c>
      <c r="N98" s="85">
        <v>1293.963</v>
      </c>
      <c r="O98" s="87">
        <v>1570</v>
      </c>
      <c r="P98" s="85">
        <v>1295.0139999999999</v>
      </c>
      <c r="Q98" s="87">
        <v>1590</v>
      </c>
      <c r="R98" s="85">
        <v>1294.605</v>
      </c>
      <c r="S98" s="87">
        <v>1590</v>
      </c>
      <c r="T98" s="90">
        <v>1294.9380000000001</v>
      </c>
      <c r="U98" s="87">
        <v>1580</v>
      </c>
      <c r="V98" s="85">
        <v>1293.0909999999999</v>
      </c>
      <c r="W98" s="87">
        <v>1590</v>
      </c>
      <c r="X98" s="85">
        <v>1293.0170000000001</v>
      </c>
      <c r="Y98" s="87">
        <v>1590</v>
      </c>
      <c r="Z98" s="85">
        <v>1291.759</v>
      </c>
      <c r="AA98" s="87">
        <v>1590</v>
      </c>
      <c r="AB98" s="85">
        <v>1290.961</v>
      </c>
      <c r="AC98" s="87">
        <v>1580</v>
      </c>
      <c r="AD98" s="85">
        <v>1215.451</v>
      </c>
      <c r="AE98" s="87">
        <v>1590</v>
      </c>
      <c r="AF98" s="85">
        <v>1216.3589999999999</v>
      </c>
      <c r="AG98" s="87">
        <v>1570</v>
      </c>
      <c r="AH98" s="85">
        <v>353.88</v>
      </c>
      <c r="AI98" s="87">
        <v>1570</v>
      </c>
      <c r="AJ98" s="85">
        <v>369.08100000000002</v>
      </c>
    </row>
    <row r="99" spans="1:36" ht="14.25" customHeight="1">
      <c r="A99" s="88">
        <v>1600</v>
      </c>
      <c r="B99" s="84">
        <v>737.11199999999997</v>
      </c>
      <c r="C99" s="88">
        <v>1610</v>
      </c>
      <c r="D99" s="85">
        <v>731.548</v>
      </c>
      <c r="E99" s="86">
        <v>1600</v>
      </c>
      <c r="F99" s="85">
        <v>1527.143</v>
      </c>
      <c r="G99" s="87">
        <v>1600</v>
      </c>
      <c r="H99" s="85">
        <v>1525.248</v>
      </c>
      <c r="I99" s="87">
        <v>1600</v>
      </c>
      <c r="J99" s="85">
        <v>1293.0719999999999</v>
      </c>
      <c r="K99" s="87">
        <v>1600</v>
      </c>
      <c r="L99" s="85">
        <v>1292.808</v>
      </c>
      <c r="M99" s="87">
        <v>1600</v>
      </c>
      <c r="N99" s="85">
        <v>1292.81</v>
      </c>
      <c r="O99" s="87">
        <v>1580</v>
      </c>
      <c r="P99" s="85">
        <v>1293.8620000000001</v>
      </c>
      <c r="Q99" s="87">
        <v>1600</v>
      </c>
      <c r="R99" s="85">
        <v>1293.453</v>
      </c>
      <c r="S99" s="87">
        <v>1600</v>
      </c>
      <c r="T99" s="90">
        <v>1293.787</v>
      </c>
      <c r="U99" s="87">
        <v>1590</v>
      </c>
      <c r="V99" s="85">
        <v>1291.942</v>
      </c>
      <c r="W99" s="87">
        <v>1600</v>
      </c>
      <c r="X99" s="85">
        <v>1291.867</v>
      </c>
      <c r="Y99" s="87">
        <v>1600</v>
      </c>
      <c r="Z99" s="85">
        <v>1290.6079999999999</v>
      </c>
      <c r="AA99" s="87">
        <v>1600</v>
      </c>
      <c r="AB99" s="85">
        <v>1289.8130000000001</v>
      </c>
      <c r="AC99" s="87">
        <v>1590</v>
      </c>
      <c r="AD99" s="85">
        <v>1214.3</v>
      </c>
      <c r="AE99" s="87">
        <v>1600</v>
      </c>
      <c r="AF99" s="85">
        <v>1215.211</v>
      </c>
      <c r="AG99" s="87">
        <v>1580</v>
      </c>
      <c r="AH99" s="85">
        <v>353.50700000000001</v>
      </c>
      <c r="AI99" s="87">
        <v>1580</v>
      </c>
      <c r="AJ99" s="85">
        <v>368.69400000000002</v>
      </c>
    </row>
    <row r="100" spans="1:36" ht="14.25" customHeight="1">
      <c r="A100" s="88">
        <v>1610</v>
      </c>
      <c r="B100" s="84">
        <v>736.35599999999999</v>
      </c>
      <c r="C100" s="88">
        <v>1620</v>
      </c>
      <c r="D100" s="85">
        <v>730.79899999999998</v>
      </c>
      <c r="E100" s="86">
        <v>1610</v>
      </c>
      <c r="F100" s="85">
        <v>1525.7090000000001</v>
      </c>
      <c r="G100" s="87">
        <v>1610</v>
      </c>
      <c r="H100" s="85">
        <v>1523.818</v>
      </c>
      <c r="I100" s="87">
        <v>1610</v>
      </c>
      <c r="J100" s="85">
        <v>1291.9179999999999</v>
      </c>
      <c r="K100" s="87">
        <v>1610</v>
      </c>
      <c r="L100" s="85">
        <v>1291.655</v>
      </c>
      <c r="M100" s="87">
        <v>1610</v>
      </c>
      <c r="N100" s="85">
        <v>1291.6569999999999</v>
      </c>
      <c r="O100" s="87">
        <v>1590</v>
      </c>
      <c r="P100" s="85">
        <v>1292.7090000000001</v>
      </c>
      <c r="Q100" s="87">
        <v>1610</v>
      </c>
      <c r="R100" s="85">
        <v>1292.3</v>
      </c>
      <c r="S100" s="87">
        <v>1610</v>
      </c>
      <c r="T100" s="85">
        <v>1292.635</v>
      </c>
      <c r="U100" s="87">
        <v>1600</v>
      </c>
      <c r="V100" s="85">
        <v>1290.7919999999999</v>
      </c>
      <c r="W100" s="87">
        <v>1610</v>
      </c>
      <c r="X100" s="85">
        <v>1290.7170000000001</v>
      </c>
      <c r="Y100" s="87">
        <v>1610</v>
      </c>
      <c r="Z100" s="85">
        <v>1289.4559999999999</v>
      </c>
      <c r="AA100" s="87">
        <v>1610</v>
      </c>
      <c r="AB100" s="85">
        <v>1288.664</v>
      </c>
      <c r="AC100" s="87">
        <v>1600</v>
      </c>
      <c r="AD100" s="85">
        <v>1213.1489999999999</v>
      </c>
      <c r="AE100" s="87">
        <v>1610</v>
      </c>
      <c r="AF100" s="85">
        <v>1214.0619999999999</v>
      </c>
      <c r="AG100" s="87">
        <v>1590</v>
      </c>
      <c r="AH100" s="85">
        <v>353.13299999999998</v>
      </c>
      <c r="AI100" s="87">
        <v>1590</v>
      </c>
      <c r="AJ100" s="85">
        <v>368.30599999999998</v>
      </c>
    </row>
    <row r="101" spans="1:36" ht="14.25" customHeight="1">
      <c r="A101" s="88">
        <v>1620</v>
      </c>
      <c r="B101" s="84">
        <v>735.59900000000005</v>
      </c>
      <c r="C101" s="88">
        <v>1630</v>
      </c>
      <c r="D101" s="85">
        <v>730.04899999999998</v>
      </c>
      <c r="E101" s="86">
        <v>1620</v>
      </c>
      <c r="F101" s="85">
        <v>1524.2750000000001</v>
      </c>
      <c r="G101" s="87">
        <v>1620</v>
      </c>
      <c r="H101" s="85">
        <v>1522.3889999999999</v>
      </c>
      <c r="I101" s="87">
        <v>1620</v>
      </c>
      <c r="J101" s="85">
        <v>1290.7639999999999</v>
      </c>
      <c r="K101" s="87">
        <v>1620</v>
      </c>
      <c r="L101" s="85">
        <v>1290.502</v>
      </c>
      <c r="M101" s="87">
        <v>1620</v>
      </c>
      <c r="N101" s="85">
        <v>1290.5029999999999</v>
      </c>
      <c r="O101" s="87">
        <v>1600</v>
      </c>
      <c r="P101" s="85">
        <v>1291.556</v>
      </c>
      <c r="Q101" s="87">
        <v>1620</v>
      </c>
      <c r="R101" s="85">
        <v>1291.1469999999999</v>
      </c>
      <c r="S101" s="87">
        <v>1620</v>
      </c>
      <c r="T101" s="85">
        <v>1291.482</v>
      </c>
      <c r="U101" s="87">
        <v>1610</v>
      </c>
      <c r="V101" s="85">
        <v>1289.6420000000001</v>
      </c>
      <c r="W101" s="87">
        <v>1620</v>
      </c>
      <c r="X101" s="85">
        <v>1289.567</v>
      </c>
      <c r="Y101" s="87">
        <v>1620</v>
      </c>
      <c r="Z101" s="85">
        <v>1288.3050000000001</v>
      </c>
      <c r="AA101" s="87">
        <v>1620</v>
      </c>
      <c r="AB101" s="85">
        <v>1287.5160000000001</v>
      </c>
      <c r="AC101" s="87">
        <v>1610</v>
      </c>
      <c r="AD101" s="85">
        <v>1211.998</v>
      </c>
      <c r="AE101" s="87">
        <v>1620</v>
      </c>
      <c r="AF101" s="85">
        <v>1212.913</v>
      </c>
      <c r="AG101" s="87">
        <v>1600</v>
      </c>
      <c r="AH101" s="85">
        <v>352.75900000000001</v>
      </c>
      <c r="AI101" s="87">
        <v>1600</v>
      </c>
      <c r="AJ101" s="85">
        <v>367.91899999999998</v>
      </c>
    </row>
    <row r="102" spans="1:36" ht="14.25" customHeight="1">
      <c r="A102" s="88">
        <v>1630</v>
      </c>
      <c r="B102" s="84">
        <v>734.84199999999998</v>
      </c>
      <c r="C102" s="88">
        <v>1640</v>
      </c>
      <c r="D102" s="85">
        <v>729.3</v>
      </c>
      <c r="E102" s="86">
        <v>1630</v>
      </c>
      <c r="F102" s="85">
        <v>1522.84</v>
      </c>
      <c r="G102" s="87">
        <v>1630</v>
      </c>
      <c r="H102" s="85">
        <v>1520.9590000000001</v>
      </c>
      <c r="I102" s="87">
        <v>1630</v>
      </c>
      <c r="J102" s="85">
        <v>1289.6089999999999</v>
      </c>
      <c r="K102" s="87">
        <v>1630</v>
      </c>
      <c r="L102" s="85">
        <v>1289.348</v>
      </c>
      <c r="M102" s="87">
        <v>1630</v>
      </c>
      <c r="N102" s="85">
        <v>1289.3489999999999</v>
      </c>
      <c r="O102" s="87">
        <v>1610</v>
      </c>
      <c r="P102" s="85">
        <v>1290.402</v>
      </c>
      <c r="Q102" s="87">
        <v>1630</v>
      </c>
      <c r="R102" s="85">
        <v>1289.9929999999999</v>
      </c>
      <c r="S102" s="87">
        <v>1630</v>
      </c>
      <c r="T102" s="85">
        <v>1290.33</v>
      </c>
      <c r="U102" s="87">
        <v>1620</v>
      </c>
      <c r="V102" s="85">
        <v>1288.492</v>
      </c>
      <c r="W102" s="87">
        <v>1630</v>
      </c>
      <c r="X102" s="85">
        <v>1288.4159999999999</v>
      </c>
      <c r="Y102" s="87">
        <v>1630</v>
      </c>
      <c r="Z102" s="85">
        <v>1287.153</v>
      </c>
      <c r="AA102" s="87">
        <v>1630</v>
      </c>
      <c r="AB102" s="85">
        <v>1286.367</v>
      </c>
      <c r="AC102" s="87">
        <v>1620</v>
      </c>
      <c r="AD102" s="85">
        <v>1210.847</v>
      </c>
      <c r="AE102" s="87">
        <v>1630</v>
      </c>
      <c r="AF102" s="85">
        <v>1211.7629999999999</v>
      </c>
      <c r="AG102" s="87">
        <v>1610</v>
      </c>
      <c r="AH102" s="85">
        <v>352.38600000000002</v>
      </c>
      <c r="AI102" s="87">
        <v>1610</v>
      </c>
      <c r="AJ102" s="85">
        <v>367.53100000000001</v>
      </c>
    </row>
    <row r="103" spans="1:36" ht="14.25" customHeight="1">
      <c r="A103" s="88">
        <v>1640</v>
      </c>
      <c r="B103" s="84">
        <v>734.08500000000004</v>
      </c>
      <c r="C103" s="88">
        <v>1650</v>
      </c>
      <c r="D103" s="85">
        <v>728.55</v>
      </c>
      <c r="E103" s="86">
        <v>1640</v>
      </c>
      <c r="F103" s="85">
        <v>1521.405</v>
      </c>
      <c r="G103" s="87">
        <v>1640</v>
      </c>
      <c r="H103" s="85">
        <v>1519.528</v>
      </c>
      <c r="I103" s="87">
        <v>1640</v>
      </c>
      <c r="J103" s="85">
        <v>1288.4549999999999</v>
      </c>
      <c r="K103" s="87">
        <v>1640</v>
      </c>
      <c r="L103" s="85">
        <v>1288.194</v>
      </c>
      <c r="M103" s="87">
        <v>1640</v>
      </c>
      <c r="N103" s="85">
        <v>1288.1949999999999</v>
      </c>
      <c r="O103" s="87">
        <v>1620</v>
      </c>
      <c r="P103" s="85">
        <v>1289.249</v>
      </c>
      <c r="Q103" s="87">
        <v>1640</v>
      </c>
      <c r="R103" s="85">
        <v>1288.8399999999999</v>
      </c>
      <c r="S103" s="87">
        <v>1640</v>
      </c>
      <c r="T103" s="85">
        <v>1289.1769999999999</v>
      </c>
      <c r="U103" s="87">
        <v>1630</v>
      </c>
      <c r="V103" s="85">
        <v>1287.3420000000001</v>
      </c>
      <c r="W103" s="87">
        <v>1640</v>
      </c>
      <c r="X103" s="85">
        <v>1287.2660000000001</v>
      </c>
      <c r="Y103" s="87">
        <v>1640</v>
      </c>
      <c r="Z103" s="85">
        <v>1286.001</v>
      </c>
      <c r="AA103" s="87">
        <v>1640</v>
      </c>
      <c r="AB103" s="85">
        <v>1285.2180000000001</v>
      </c>
      <c r="AC103" s="87">
        <v>1630</v>
      </c>
      <c r="AD103" s="85">
        <v>1209.6959999999999</v>
      </c>
      <c r="AE103" s="87">
        <v>1640</v>
      </c>
      <c r="AF103" s="85">
        <v>1210.614</v>
      </c>
      <c r="AG103" s="87">
        <v>1620</v>
      </c>
      <c r="AH103" s="85">
        <v>352.012</v>
      </c>
      <c r="AI103" s="87">
        <v>1620</v>
      </c>
      <c r="AJ103" s="85">
        <v>367.14299999999997</v>
      </c>
    </row>
    <row r="104" spans="1:36" ht="14.25" customHeight="1">
      <c r="A104" s="88">
        <v>1650</v>
      </c>
      <c r="B104" s="84">
        <v>733.327</v>
      </c>
      <c r="C104" s="88">
        <v>1660</v>
      </c>
      <c r="D104" s="85">
        <v>727.8</v>
      </c>
      <c r="E104" s="86">
        <v>1650</v>
      </c>
      <c r="F104" s="85">
        <v>1519.97</v>
      </c>
      <c r="G104" s="87">
        <v>1650</v>
      </c>
      <c r="H104" s="85">
        <v>1518.097</v>
      </c>
      <c r="I104" s="87">
        <v>1650</v>
      </c>
      <c r="J104" s="85">
        <v>1287.3</v>
      </c>
      <c r="K104" s="87">
        <v>1650</v>
      </c>
      <c r="L104" s="85">
        <v>1287.04</v>
      </c>
      <c r="M104" s="87">
        <v>1650</v>
      </c>
      <c r="N104" s="85">
        <v>1287.04</v>
      </c>
      <c r="O104" s="87">
        <v>1630</v>
      </c>
      <c r="P104" s="85">
        <v>1288.095</v>
      </c>
      <c r="Q104" s="87">
        <v>1650</v>
      </c>
      <c r="R104" s="85">
        <v>1287.6859999999999</v>
      </c>
      <c r="S104" s="87">
        <v>1650</v>
      </c>
      <c r="T104" s="85">
        <v>1288.0239999999999</v>
      </c>
      <c r="U104" s="87">
        <v>1640</v>
      </c>
      <c r="V104" s="85">
        <v>1286.191</v>
      </c>
      <c r="W104" s="87">
        <v>1650</v>
      </c>
      <c r="X104" s="85">
        <v>1286.115</v>
      </c>
      <c r="Y104" s="87">
        <v>1650</v>
      </c>
      <c r="Z104" s="85">
        <v>1284.8489999999999</v>
      </c>
      <c r="AA104" s="87">
        <v>1650</v>
      </c>
      <c r="AB104" s="85">
        <v>1284.068</v>
      </c>
      <c r="AC104" s="87">
        <v>1640</v>
      </c>
      <c r="AD104" s="85">
        <v>1208.5440000000001</v>
      </c>
      <c r="AE104" s="87">
        <v>1650</v>
      </c>
      <c r="AF104" s="85">
        <v>1209.4639999999999</v>
      </c>
      <c r="AG104" s="87">
        <v>1630</v>
      </c>
      <c r="AH104" s="85">
        <v>351.63799999999998</v>
      </c>
      <c r="AI104" s="87">
        <v>1630</v>
      </c>
      <c r="AJ104" s="85">
        <v>366.75599999999997</v>
      </c>
    </row>
    <row r="105" spans="1:36" ht="14.25" customHeight="1">
      <c r="A105" s="88">
        <v>1660</v>
      </c>
      <c r="B105" s="84">
        <v>732.57</v>
      </c>
      <c r="C105" s="88">
        <v>1670</v>
      </c>
      <c r="D105" s="85">
        <v>727.05</v>
      </c>
      <c r="E105" s="86">
        <v>1660</v>
      </c>
      <c r="F105" s="85">
        <v>1518.5340000000001</v>
      </c>
      <c r="G105" s="87">
        <v>1660</v>
      </c>
      <c r="H105" s="85">
        <v>1516.6669999999999</v>
      </c>
      <c r="I105" s="87">
        <v>1660</v>
      </c>
      <c r="J105" s="85">
        <v>1286.145</v>
      </c>
      <c r="K105" s="87">
        <v>1660</v>
      </c>
      <c r="L105" s="85">
        <v>1285.886</v>
      </c>
      <c r="M105" s="87">
        <v>1660</v>
      </c>
      <c r="N105" s="85">
        <v>1285.886</v>
      </c>
      <c r="O105" s="87">
        <v>1640</v>
      </c>
      <c r="P105" s="85">
        <v>1286.941</v>
      </c>
      <c r="Q105" s="87">
        <v>1660</v>
      </c>
      <c r="R105" s="85">
        <v>1286.5319999999999</v>
      </c>
      <c r="S105" s="87">
        <v>1660</v>
      </c>
      <c r="T105" s="85">
        <v>1286.8710000000001</v>
      </c>
      <c r="U105" s="87">
        <v>1650</v>
      </c>
      <c r="V105" s="85">
        <v>1285.04</v>
      </c>
      <c r="W105" s="87">
        <v>1660</v>
      </c>
      <c r="X105" s="85">
        <v>1284.9639999999999</v>
      </c>
      <c r="Y105" s="87">
        <v>1660</v>
      </c>
      <c r="Z105" s="85">
        <v>1283.6969999999999</v>
      </c>
      <c r="AA105" s="87">
        <v>1660</v>
      </c>
      <c r="AB105" s="85">
        <v>1282.9190000000001</v>
      </c>
      <c r="AC105" s="87">
        <v>1650</v>
      </c>
      <c r="AD105" s="85">
        <v>1207.3920000000001</v>
      </c>
      <c r="AE105" s="87">
        <v>1660</v>
      </c>
      <c r="AF105" s="85">
        <v>1208.3140000000001</v>
      </c>
      <c r="AG105" s="87">
        <v>1640</v>
      </c>
      <c r="AH105" s="85">
        <v>351.26400000000001</v>
      </c>
      <c r="AI105" s="87">
        <v>1640</v>
      </c>
      <c r="AJ105" s="85">
        <v>366.36799999999999</v>
      </c>
    </row>
    <row r="106" spans="1:36" ht="14.25" customHeight="1">
      <c r="A106" s="88">
        <v>1670</v>
      </c>
      <c r="B106" s="84">
        <v>731.81200000000001</v>
      </c>
      <c r="C106" s="88">
        <v>1680</v>
      </c>
      <c r="D106" s="85">
        <v>726.29899999999998</v>
      </c>
      <c r="E106" s="86">
        <v>1670</v>
      </c>
      <c r="F106" s="85">
        <v>1517.098</v>
      </c>
      <c r="G106" s="87">
        <v>1670</v>
      </c>
      <c r="H106" s="85">
        <v>1515.2349999999999</v>
      </c>
      <c r="I106" s="87">
        <v>1670</v>
      </c>
      <c r="J106" s="85">
        <v>1284.989</v>
      </c>
      <c r="K106" s="87">
        <v>1670</v>
      </c>
      <c r="L106" s="85">
        <v>1284.731</v>
      </c>
      <c r="M106" s="87">
        <v>1670</v>
      </c>
      <c r="N106" s="85">
        <v>1284.731</v>
      </c>
      <c r="O106" s="87">
        <v>1650</v>
      </c>
      <c r="P106" s="85">
        <v>1285.7860000000001</v>
      </c>
      <c r="Q106" s="87">
        <v>1670</v>
      </c>
      <c r="R106" s="85">
        <v>1285.377</v>
      </c>
      <c r="S106" s="87">
        <v>1670</v>
      </c>
      <c r="T106" s="85">
        <v>1285.7180000000001</v>
      </c>
      <c r="U106" s="87">
        <v>1660</v>
      </c>
      <c r="V106" s="85">
        <v>1283.8889999999999</v>
      </c>
      <c r="W106" s="87">
        <v>1670</v>
      </c>
      <c r="X106" s="85">
        <v>1283.8119999999999</v>
      </c>
      <c r="Y106" s="87">
        <v>1670</v>
      </c>
      <c r="Z106" s="85">
        <v>1282.5440000000001</v>
      </c>
      <c r="AA106" s="87">
        <v>1670</v>
      </c>
      <c r="AB106" s="85">
        <v>1281.769</v>
      </c>
      <c r="AC106" s="87">
        <v>1660</v>
      </c>
      <c r="AD106" s="85">
        <v>1206.24</v>
      </c>
      <c r="AE106" s="87">
        <v>1670</v>
      </c>
      <c r="AF106" s="85">
        <v>1207.163</v>
      </c>
      <c r="AG106" s="87">
        <v>1650</v>
      </c>
      <c r="AH106" s="85">
        <v>350.88900000000001</v>
      </c>
      <c r="AI106" s="87">
        <v>1650</v>
      </c>
      <c r="AJ106" s="85">
        <v>365.98</v>
      </c>
    </row>
    <row r="107" spans="1:36" ht="14.25" customHeight="1">
      <c r="A107" s="88">
        <v>1680</v>
      </c>
      <c r="B107" s="84">
        <v>731.05399999999997</v>
      </c>
      <c r="C107" s="88">
        <v>1690</v>
      </c>
      <c r="D107" s="85">
        <v>725.54899999999998</v>
      </c>
      <c r="E107" s="86">
        <v>1680</v>
      </c>
      <c r="F107" s="85">
        <v>1515.662</v>
      </c>
      <c r="G107" s="87">
        <v>1680</v>
      </c>
      <c r="H107" s="85">
        <v>1513.8040000000001</v>
      </c>
      <c r="I107" s="87">
        <v>1680</v>
      </c>
      <c r="J107" s="85">
        <v>1283.8330000000001</v>
      </c>
      <c r="K107" s="87">
        <v>1680</v>
      </c>
      <c r="L107" s="85">
        <v>1283.577</v>
      </c>
      <c r="M107" s="87">
        <v>1680</v>
      </c>
      <c r="N107" s="85">
        <v>1283.575</v>
      </c>
      <c r="O107" s="87">
        <v>1660</v>
      </c>
      <c r="P107" s="85">
        <v>1284.6320000000001</v>
      </c>
      <c r="Q107" s="87">
        <v>1680</v>
      </c>
      <c r="R107" s="85">
        <v>1284.223</v>
      </c>
      <c r="S107" s="87">
        <v>1680</v>
      </c>
      <c r="T107" s="85">
        <v>1284.5640000000001</v>
      </c>
      <c r="U107" s="87">
        <v>1670</v>
      </c>
      <c r="V107" s="85">
        <v>1282.7380000000001</v>
      </c>
      <c r="W107" s="87">
        <v>1680</v>
      </c>
      <c r="X107" s="85">
        <v>1282.6610000000001</v>
      </c>
      <c r="Y107" s="87">
        <v>1680</v>
      </c>
      <c r="Z107" s="85">
        <v>1281.3910000000001</v>
      </c>
      <c r="AA107" s="87">
        <v>1680</v>
      </c>
      <c r="AB107" s="85">
        <v>1280.6189999999999</v>
      </c>
      <c r="AC107" s="87">
        <v>1670</v>
      </c>
      <c r="AD107" s="85">
        <v>1205.088</v>
      </c>
      <c r="AE107" s="87">
        <v>1680</v>
      </c>
      <c r="AF107" s="85">
        <v>1206.0129999999999</v>
      </c>
      <c r="AG107" s="87">
        <v>1660</v>
      </c>
      <c r="AH107" s="85">
        <v>350.51499999999999</v>
      </c>
      <c r="AI107" s="87">
        <v>1660</v>
      </c>
      <c r="AJ107" s="85">
        <v>365.59100000000001</v>
      </c>
    </row>
    <row r="108" spans="1:36" ht="14.25" customHeight="1">
      <c r="A108" s="88">
        <v>1690</v>
      </c>
      <c r="B108" s="84">
        <v>730.29499999999996</v>
      </c>
      <c r="C108" s="88">
        <v>1700</v>
      </c>
      <c r="D108" s="85">
        <v>724.798</v>
      </c>
      <c r="E108" s="86">
        <v>1690</v>
      </c>
      <c r="F108" s="85">
        <v>1514.2249999999999</v>
      </c>
      <c r="G108" s="87">
        <v>1690</v>
      </c>
      <c r="H108" s="85">
        <v>1512.3720000000001</v>
      </c>
      <c r="I108" s="87">
        <v>1690</v>
      </c>
      <c r="J108" s="85">
        <v>1282.6769999999999</v>
      </c>
      <c r="K108" s="87">
        <v>1690</v>
      </c>
      <c r="L108" s="85">
        <v>1282.422</v>
      </c>
      <c r="M108" s="87">
        <v>1690</v>
      </c>
      <c r="N108" s="85">
        <v>1282.42</v>
      </c>
      <c r="O108" s="87">
        <v>1670</v>
      </c>
      <c r="P108" s="85">
        <v>1283.4770000000001</v>
      </c>
      <c r="Q108" s="87">
        <v>1690</v>
      </c>
      <c r="R108" s="85">
        <v>1283.068</v>
      </c>
      <c r="S108" s="87">
        <v>1690</v>
      </c>
      <c r="T108" s="85">
        <v>1283.4100000000001</v>
      </c>
      <c r="U108" s="87">
        <v>1680</v>
      </c>
      <c r="V108" s="85">
        <v>1281.586</v>
      </c>
      <c r="W108" s="87">
        <v>1690</v>
      </c>
      <c r="X108" s="85">
        <v>1281.509</v>
      </c>
      <c r="Y108" s="87">
        <v>1690</v>
      </c>
      <c r="Z108" s="85">
        <v>1280.2380000000001</v>
      </c>
      <c r="AA108" s="87">
        <v>1690</v>
      </c>
      <c r="AB108" s="85">
        <v>1279.4680000000001</v>
      </c>
      <c r="AC108" s="87">
        <v>1680</v>
      </c>
      <c r="AD108" s="85">
        <v>1203.9349999999999</v>
      </c>
      <c r="AE108" s="87">
        <v>1690</v>
      </c>
      <c r="AF108" s="85">
        <v>1204.8620000000001</v>
      </c>
      <c r="AG108" s="87">
        <v>1670</v>
      </c>
      <c r="AH108" s="85">
        <v>350.14100000000002</v>
      </c>
      <c r="AI108" s="87">
        <v>1670</v>
      </c>
      <c r="AJ108" s="85">
        <v>365.20299999999997</v>
      </c>
    </row>
    <row r="109" spans="1:36" ht="14.25" customHeight="1">
      <c r="A109" s="88">
        <v>1700</v>
      </c>
      <c r="B109" s="84">
        <v>729.53700000000003</v>
      </c>
      <c r="C109" s="88">
        <v>1710</v>
      </c>
      <c r="D109" s="85">
        <v>724.04700000000003</v>
      </c>
      <c r="E109" s="86">
        <v>1700</v>
      </c>
      <c r="F109" s="85">
        <v>1512.789</v>
      </c>
      <c r="G109" s="87">
        <v>1700</v>
      </c>
      <c r="H109" s="85">
        <v>1510.94</v>
      </c>
      <c r="I109" s="87">
        <v>1700</v>
      </c>
      <c r="J109" s="85">
        <v>1281.521</v>
      </c>
      <c r="K109" s="87">
        <v>1700</v>
      </c>
      <c r="L109" s="85">
        <v>1281.2660000000001</v>
      </c>
      <c r="M109" s="87">
        <v>1700</v>
      </c>
      <c r="N109" s="85">
        <v>1281.2639999999999</v>
      </c>
      <c r="O109" s="87">
        <v>1680</v>
      </c>
      <c r="P109" s="85">
        <v>1282.3219999999999</v>
      </c>
      <c r="Q109" s="87">
        <v>1700</v>
      </c>
      <c r="R109" s="85">
        <v>1281.913</v>
      </c>
      <c r="S109" s="87">
        <v>1700</v>
      </c>
      <c r="T109" s="85">
        <v>1282.2560000000001</v>
      </c>
      <c r="U109" s="87">
        <v>1690</v>
      </c>
      <c r="V109" s="85">
        <v>1280.4349999999999</v>
      </c>
      <c r="W109" s="87">
        <v>1700</v>
      </c>
      <c r="X109" s="85">
        <v>1280.357</v>
      </c>
      <c r="Y109" s="87">
        <v>1700</v>
      </c>
      <c r="Z109" s="85">
        <v>1279.0840000000001</v>
      </c>
      <c r="AA109" s="87">
        <v>1700</v>
      </c>
      <c r="AB109" s="85">
        <v>1278.318</v>
      </c>
      <c r="AC109" s="87">
        <v>1690</v>
      </c>
      <c r="AD109" s="85">
        <v>1202.7819999999999</v>
      </c>
      <c r="AE109" s="87">
        <v>1700</v>
      </c>
      <c r="AF109" s="85">
        <v>1203.711</v>
      </c>
      <c r="AG109" s="87">
        <v>1680</v>
      </c>
      <c r="AH109" s="85">
        <v>349.76600000000002</v>
      </c>
      <c r="AI109" s="87">
        <v>1680</v>
      </c>
      <c r="AJ109" s="85">
        <v>364.815</v>
      </c>
    </row>
    <row r="110" spans="1:36" ht="14.25" customHeight="1">
      <c r="A110" s="88">
        <v>1710</v>
      </c>
      <c r="B110" s="84">
        <v>728.77800000000002</v>
      </c>
      <c r="C110" s="88">
        <v>1720</v>
      </c>
      <c r="D110" s="85">
        <v>723.29499999999996</v>
      </c>
      <c r="E110" s="86">
        <v>1710</v>
      </c>
      <c r="F110" s="85">
        <v>1511.3520000000001</v>
      </c>
      <c r="G110" s="87">
        <v>1710</v>
      </c>
      <c r="H110" s="85">
        <v>1509.5070000000001</v>
      </c>
      <c r="I110" s="87">
        <v>1710</v>
      </c>
      <c r="J110" s="85">
        <v>1280.365</v>
      </c>
      <c r="K110" s="87">
        <v>1710</v>
      </c>
      <c r="L110" s="85">
        <v>1280.1110000000001</v>
      </c>
      <c r="M110" s="87">
        <v>1710</v>
      </c>
      <c r="N110" s="85">
        <v>1280.1079999999999</v>
      </c>
      <c r="O110" s="87">
        <v>1690</v>
      </c>
      <c r="P110" s="85">
        <v>1281.1659999999999</v>
      </c>
      <c r="Q110" s="87">
        <v>1710</v>
      </c>
      <c r="R110" s="85">
        <v>1280.7570000000001</v>
      </c>
      <c r="S110" s="87">
        <v>1710</v>
      </c>
      <c r="T110" s="85">
        <v>1281.1020000000001</v>
      </c>
      <c r="U110" s="87">
        <v>1700</v>
      </c>
      <c r="V110" s="85">
        <v>1279.2819999999999</v>
      </c>
      <c r="W110" s="87">
        <v>1710</v>
      </c>
      <c r="X110" s="85">
        <v>1279.204</v>
      </c>
      <c r="Y110" s="87">
        <v>1710</v>
      </c>
      <c r="Z110" s="85">
        <v>1277.931</v>
      </c>
      <c r="AA110" s="87">
        <v>1710</v>
      </c>
      <c r="AB110" s="85">
        <v>1277.1669999999999</v>
      </c>
      <c r="AC110" s="87">
        <v>1700</v>
      </c>
      <c r="AD110" s="85">
        <v>1201.6289999999999</v>
      </c>
      <c r="AE110" s="87">
        <v>1710</v>
      </c>
      <c r="AF110" s="85">
        <v>1202.559</v>
      </c>
      <c r="AG110" s="87">
        <v>1690</v>
      </c>
      <c r="AH110" s="85">
        <v>349.392</v>
      </c>
      <c r="AI110" s="87">
        <v>1690</v>
      </c>
      <c r="AJ110" s="85">
        <v>364.42599999999999</v>
      </c>
    </row>
    <row r="111" spans="1:36" ht="14.25" customHeight="1">
      <c r="A111" s="88">
        <v>1720</v>
      </c>
      <c r="B111" s="84">
        <v>728.01900000000001</v>
      </c>
      <c r="C111" s="88">
        <v>1730</v>
      </c>
      <c r="D111" s="85">
        <v>722.54399999999998</v>
      </c>
      <c r="E111" s="86">
        <v>1720</v>
      </c>
      <c r="F111" s="85">
        <v>1509.914</v>
      </c>
      <c r="G111" s="87">
        <v>1720</v>
      </c>
      <c r="H111" s="85">
        <v>1508.0740000000001</v>
      </c>
      <c r="I111" s="87">
        <v>1720</v>
      </c>
      <c r="J111" s="85">
        <v>1279.2080000000001</v>
      </c>
      <c r="K111" s="87">
        <v>1720</v>
      </c>
      <c r="L111" s="85">
        <v>1278.9549999999999</v>
      </c>
      <c r="M111" s="87">
        <v>1720</v>
      </c>
      <c r="N111" s="85">
        <v>1278.952</v>
      </c>
      <c r="O111" s="87">
        <v>1700</v>
      </c>
      <c r="P111" s="85">
        <v>1280.011</v>
      </c>
      <c r="Q111" s="87">
        <v>1720</v>
      </c>
      <c r="R111" s="85">
        <v>1279.6020000000001</v>
      </c>
      <c r="S111" s="87">
        <v>1720</v>
      </c>
      <c r="T111" s="85">
        <v>1279.9469999999999</v>
      </c>
      <c r="U111" s="87">
        <v>1710</v>
      </c>
      <c r="V111" s="85">
        <v>1278.1300000000001</v>
      </c>
      <c r="W111" s="87">
        <v>1720</v>
      </c>
      <c r="X111" s="85">
        <v>1278.0519999999999</v>
      </c>
      <c r="Y111" s="87">
        <v>1720</v>
      </c>
      <c r="Z111" s="85">
        <v>1276.777</v>
      </c>
      <c r="AA111" s="87">
        <v>1720</v>
      </c>
      <c r="AB111" s="85">
        <v>1276.0160000000001</v>
      </c>
      <c r="AC111" s="87">
        <v>1710</v>
      </c>
      <c r="AD111" s="85">
        <v>1200.4760000000001</v>
      </c>
      <c r="AE111" s="87">
        <v>1720</v>
      </c>
      <c r="AF111" s="85">
        <v>1201.4079999999999</v>
      </c>
      <c r="AG111" s="87">
        <v>1700</v>
      </c>
      <c r="AH111" s="85">
        <v>349.017</v>
      </c>
      <c r="AI111" s="87">
        <v>1700</v>
      </c>
      <c r="AJ111" s="85">
        <v>364.03800000000001</v>
      </c>
    </row>
    <row r="112" spans="1:36" ht="14.25" customHeight="1">
      <c r="A112" s="88">
        <v>1730</v>
      </c>
      <c r="B112" s="84">
        <v>727.26</v>
      </c>
      <c r="C112" s="88">
        <v>1740</v>
      </c>
      <c r="D112" s="85">
        <v>721.79200000000003</v>
      </c>
      <c r="E112" s="86">
        <v>1730</v>
      </c>
      <c r="F112" s="85">
        <v>1508.4770000000001</v>
      </c>
      <c r="G112" s="87">
        <v>1730</v>
      </c>
      <c r="H112" s="85">
        <v>1506.6410000000001</v>
      </c>
      <c r="I112" s="87">
        <v>1730</v>
      </c>
      <c r="J112" s="85">
        <v>1278.0509999999999</v>
      </c>
      <c r="K112" s="87">
        <v>1730</v>
      </c>
      <c r="L112" s="85">
        <v>1277.799</v>
      </c>
      <c r="M112" s="87">
        <v>1730</v>
      </c>
      <c r="N112" s="85">
        <v>1277.796</v>
      </c>
      <c r="O112" s="87">
        <v>1710</v>
      </c>
      <c r="P112" s="85">
        <v>1278.855</v>
      </c>
      <c r="Q112" s="87">
        <v>1730</v>
      </c>
      <c r="R112" s="85">
        <v>1278.4459999999999</v>
      </c>
      <c r="S112" s="87">
        <v>1730</v>
      </c>
      <c r="T112" s="85">
        <v>1278.7919999999999</v>
      </c>
      <c r="U112" s="87">
        <v>1720</v>
      </c>
      <c r="V112" s="85">
        <v>1276.9780000000001</v>
      </c>
      <c r="W112" s="87">
        <v>1730</v>
      </c>
      <c r="X112" s="85">
        <v>1276.8989999999999</v>
      </c>
      <c r="Y112" s="87">
        <v>1730</v>
      </c>
      <c r="Z112" s="85">
        <v>1275.623</v>
      </c>
      <c r="AA112" s="87">
        <v>1730</v>
      </c>
      <c r="AB112" s="85">
        <v>1274.864</v>
      </c>
      <c r="AC112" s="87">
        <v>1720</v>
      </c>
      <c r="AD112" s="85">
        <v>1199.3219999999999</v>
      </c>
      <c r="AE112" s="87">
        <v>1730</v>
      </c>
      <c r="AF112" s="85">
        <v>1200.2560000000001</v>
      </c>
      <c r="AG112" s="87">
        <v>1710</v>
      </c>
      <c r="AH112" s="85">
        <v>348.64299999999997</v>
      </c>
      <c r="AI112" s="87">
        <v>1710</v>
      </c>
      <c r="AJ112" s="85">
        <v>363.649</v>
      </c>
    </row>
    <row r="113" spans="1:36" ht="14.25" customHeight="1">
      <c r="A113" s="88">
        <v>1740</v>
      </c>
      <c r="B113" s="84">
        <v>726.50099999999998</v>
      </c>
      <c r="C113" s="88">
        <v>1750</v>
      </c>
      <c r="D113" s="85">
        <v>721.04</v>
      </c>
      <c r="E113" s="86">
        <v>1740</v>
      </c>
      <c r="F113" s="85">
        <v>1507.039</v>
      </c>
      <c r="G113" s="87">
        <v>1740</v>
      </c>
      <c r="H113" s="85">
        <v>1505.2080000000001</v>
      </c>
      <c r="I113" s="87">
        <v>1740</v>
      </c>
      <c r="J113" s="85">
        <v>1276.894</v>
      </c>
      <c r="K113" s="87">
        <v>1740</v>
      </c>
      <c r="L113" s="85">
        <v>1276.643</v>
      </c>
      <c r="M113" s="87">
        <v>1740</v>
      </c>
      <c r="N113" s="85">
        <v>1276.6389999999999</v>
      </c>
      <c r="O113" s="87">
        <v>1720</v>
      </c>
      <c r="P113" s="85">
        <v>1277.6990000000001</v>
      </c>
      <c r="Q113" s="87">
        <v>1740</v>
      </c>
      <c r="R113" s="85">
        <v>1277.29</v>
      </c>
      <c r="S113" s="87">
        <v>1740</v>
      </c>
      <c r="T113" s="85">
        <v>1277.6369999999999</v>
      </c>
      <c r="U113" s="87">
        <v>1730</v>
      </c>
      <c r="V113" s="85">
        <v>1275.825</v>
      </c>
      <c r="W113" s="87">
        <v>1740</v>
      </c>
      <c r="X113" s="85">
        <v>1275.7460000000001</v>
      </c>
      <c r="Y113" s="87">
        <v>1740</v>
      </c>
      <c r="Z113" s="85">
        <v>1274.4680000000001</v>
      </c>
      <c r="AA113" s="87">
        <v>1740</v>
      </c>
      <c r="AB113" s="85">
        <v>1273.713</v>
      </c>
      <c r="AC113" s="87">
        <v>1730</v>
      </c>
      <c r="AD113" s="85">
        <v>1198.1679999999999</v>
      </c>
      <c r="AE113" s="87">
        <v>1740</v>
      </c>
      <c r="AF113" s="85">
        <v>1199.104</v>
      </c>
      <c r="AG113" s="87">
        <v>1720</v>
      </c>
      <c r="AH113" s="85">
        <v>348.26799999999997</v>
      </c>
      <c r="AI113" s="87">
        <v>1720</v>
      </c>
      <c r="AJ113" s="85">
        <v>363.26100000000002</v>
      </c>
    </row>
    <row r="114" spans="1:36" ht="14.25" customHeight="1">
      <c r="A114" s="88">
        <v>1750</v>
      </c>
      <c r="B114" s="84">
        <v>725.74199999999996</v>
      </c>
      <c r="C114" s="88">
        <v>1760</v>
      </c>
      <c r="D114" s="85">
        <v>720.28800000000001</v>
      </c>
      <c r="E114" s="86">
        <v>1750</v>
      </c>
      <c r="F114" s="85">
        <v>1505.6010000000001</v>
      </c>
      <c r="G114" s="87">
        <v>1750</v>
      </c>
      <c r="H114" s="85">
        <v>1503.7739999999999</v>
      </c>
      <c r="I114" s="87">
        <v>1750</v>
      </c>
      <c r="J114" s="85">
        <v>1275.7370000000001</v>
      </c>
      <c r="K114" s="87">
        <v>1750</v>
      </c>
      <c r="L114" s="85">
        <v>1275.4860000000001</v>
      </c>
      <c r="M114" s="87">
        <v>1750</v>
      </c>
      <c r="N114" s="85">
        <v>1275.482</v>
      </c>
      <c r="O114" s="87">
        <v>1730</v>
      </c>
      <c r="P114" s="85">
        <v>1276.5429999999999</v>
      </c>
      <c r="Q114" s="87">
        <v>1750</v>
      </c>
      <c r="R114" s="85">
        <v>1276.134</v>
      </c>
      <c r="S114" s="87">
        <v>1750</v>
      </c>
      <c r="T114" s="85">
        <v>1276.482</v>
      </c>
      <c r="U114" s="87">
        <v>1740</v>
      </c>
      <c r="V114" s="85">
        <v>1274.672</v>
      </c>
      <c r="W114" s="87">
        <v>1750</v>
      </c>
      <c r="X114" s="85">
        <v>1274.5920000000001</v>
      </c>
      <c r="Y114" s="87">
        <v>1750</v>
      </c>
      <c r="Z114" s="85">
        <v>1273.3140000000001</v>
      </c>
      <c r="AA114" s="87">
        <v>1750</v>
      </c>
      <c r="AB114" s="85">
        <v>1272.5609999999999</v>
      </c>
      <c r="AC114" s="87">
        <v>1740</v>
      </c>
      <c r="AD114" s="85">
        <v>1197.0139999999999</v>
      </c>
      <c r="AE114" s="87">
        <v>1750</v>
      </c>
      <c r="AF114" s="85">
        <v>1197.952</v>
      </c>
      <c r="AG114" s="87">
        <v>1730</v>
      </c>
      <c r="AH114" s="85">
        <v>347.89299999999997</v>
      </c>
      <c r="AI114" s="87">
        <v>1730</v>
      </c>
      <c r="AJ114" s="85">
        <v>362.87200000000001</v>
      </c>
    </row>
    <row r="115" spans="1:36" ht="14.25" customHeight="1">
      <c r="A115" s="88">
        <v>1760</v>
      </c>
      <c r="B115" s="84">
        <v>724.98199999999997</v>
      </c>
      <c r="C115" s="88">
        <v>1770</v>
      </c>
      <c r="D115" s="85">
        <v>719.53599999999994</v>
      </c>
      <c r="E115" s="86">
        <v>1760</v>
      </c>
      <c r="F115" s="85">
        <v>1504.162</v>
      </c>
      <c r="G115" s="87">
        <v>1760</v>
      </c>
      <c r="H115" s="85">
        <v>1502.3409999999999</v>
      </c>
      <c r="I115" s="87">
        <v>1760</v>
      </c>
      <c r="J115" s="85">
        <v>1274.579</v>
      </c>
      <c r="K115" s="87">
        <v>1760</v>
      </c>
      <c r="L115" s="85">
        <v>1274.329</v>
      </c>
      <c r="M115" s="87">
        <v>1760</v>
      </c>
      <c r="N115" s="85">
        <v>1274.325</v>
      </c>
      <c r="O115" s="87">
        <v>1740</v>
      </c>
      <c r="P115" s="85">
        <v>1275.386</v>
      </c>
      <c r="Q115" s="87">
        <v>1760</v>
      </c>
      <c r="R115" s="85">
        <v>1274.9770000000001</v>
      </c>
      <c r="S115" s="87">
        <v>1760</v>
      </c>
      <c r="T115" s="85">
        <v>1275.327</v>
      </c>
      <c r="U115" s="87">
        <v>1750</v>
      </c>
      <c r="V115" s="85">
        <v>1273.519</v>
      </c>
      <c r="W115" s="87">
        <v>1760</v>
      </c>
      <c r="X115" s="85">
        <v>1273.4390000000001</v>
      </c>
      <c r="Y115" s="87">
        <v>1760</v>
      </c>
      <c r="Z115" s="85">
        <v>1272.1590000000001</v>
      </c>
      <c r="AA115" s="87">
        <v>1760</v>
      </c>
      <c r="AB115" s="85">
        <v>1271.4090000000001</v>
      </c>
      <c r="AC115" s="87">
        <v>1750</v>
      </c>
      <c r="AD115" s="85">
        <v>1195.8599999999999</v>
      </c>
      <c r="AE115" s="87">
        <v>1760</v>
      </c>
      <c r="AF115" s="85">
        <v>1196.799</v>
      </c>
      <c r="AG115" s="87">
        <v>1740</v>
      </c>
      <c r="AH115" s="85">
        <v>347.51799999999997</v>
      </c>
      <c r="AI115" s="87">
        <v>1740</v>
      </c>
      <c r="AJ115" s="85">
        <v>362.483</v>
      </c>
    </row>
    <row r="116" spans="1:36" ht="14.25" customHeight="1">
      <c r="A116" s="88">
        <v>1770</v>
      </c>
      <c r="B116" s="84">
        <v>724.22199999999998</v>
      </c>
      <c r="C116" s="88">
        <v>1780</v>
      </c>
      <c r="D116" s="85">
        <v>718.78300000000002</v>
      </c>
      <c r="E116" s="86">
        <v>1770</v>
      </c>
      <c r="F116" s="85">
        <v>1502.723</v>
      </c>
      <c r="G116" s="87">
        <v>1770</v>
      </c>
      <c r="H116" s="85">
        <v>1500.9059999999999</v>
      </c>
      <c r="I116" s="87">
        <v>1770</v>
      </c>
      <c r="J116" s="85">
        <v>1273.421</v>
      </c>
      <c r="K116" s="87">
        <v>1770</v>
      </c>
      <c r="L116" s="85">
        <v>1273.172</v>
      </c>
      <c r="M116" s="87">
        <v>1770</v>
      </c>
      <c r="N116" s="85">
        <v>1273.1679999999999</v>
      </c>
      <c r="O116" s="87">
        <v>1750</v>
      </c>
      <c r="P116" s="85">
        <v>1274.229</v>
      </c>
      <c r="Q116" s="87">
        <v>1770</v>
      </c>
      <c r="R116" s="85">
        <v>1273.82</v>
      </c>
      <c r="S116" s="87">
        <v>1770</v>
      </c>
      <c r="T116" s="85">
        <v>1274.171</v>
      </c>
      <c r="U116" s="87">
        <v>1760</v>
      </c>
      <c r="V116" s="85">
        <v>1272.365</v>
      </c>
      <c r="W116" s="87">
        <v>1770</v>
      </c>
      <c r="X116" s="85">
        <v>1272.2850000000001</v>
      </c>
      <c r="Y116" s="87">
        <v>1770</v>
      </c>
      <c r="Z116" s="85">
        <v>1271.0039999999999</v>
      </c>
      <c r="AA116" s="87">
        <v>1770</v>
      </c>
      <c r="AB116" s="85">
        <v>1270.2560000000001</v>
      </c>
      <c r="AC116" s="87">
        <v>1760</v>
      </c>
      <c r="AD116" s="85">
        <v>1194.7049999999999</v>
      </c>
      <c r="AE116" s="87">
        <v>1770</v>
      </c>
      <c r="AF116" s="85">
        <v>1195.646</v>
      </c>
      <c r="AG116" s="87">
        <v>1750</v>
      </c>
      <c r="AH116" s="85">
        <v>347.14299999999997</v>
      </c>
      <c r="AI116" s="87">
        <v>1750</v>
      </c>
      <c r="AJ116" s="85">
        <v>362.09399999999999</v>
      </c>
    </row>
    <row r="117" spans="1:36" ht="14.25" customHeight="1">
      <c r="A117" s="88">
        <v>1780</v>
      </c>
      <c r="B117" s="84">
        <v>723.46199999999999</v>
      </c>
      <c r="C117" s="88">
        <v>1790</v>
      </c>
      <c r="D117" s="85">
        <v>718.03099999999995</v>
      </c>
      <c r="E117" s="86">
        <v>1780</v>
      </c>
      <c r="F117" s="85">
        <v>1501.2840000000001</v>
      </c>
      <c r="G117" s="87">
        <v>1780</v>
      </c>
      <c r="H117" s="85">
        <v>1499.472</v>
      </c>
      <c r="I117" s="87">
        <v>1780</v>
      </c>
      <c r="J117" s="85">
        <v>1272.2629999999999</v>
      </c>
      <c r="K117" s="87">
        <v>1780</v>
      </c>
      <c r="L117" s="85">
        <v>1272.0150000000001</v>
      </c>
      <c r="M117" s="87">
        <v>1780</v>
      </c>
      <c r="N117" s="85">
        <v>1272.01</v>
      </c>
      <c r="O117" s="87">
        <v>1760</v>
      </c>
      <c r="P117" s="85">
        <v>1273.0719999999999</v>
      </c>
      <c r="Q117" s="87">
        <v>1780</v>
      </c>
      <c r="R117" s="85">
        <v>1272.664</v>
      </c>
      <c r="S117" s="87">
        <v>1780</v>
      </c>
      <c r="T117" s="85">
        <v>1273.0150000000001</v>
      </c>
      <c r="U117" s="87">
        <v>1770</v>
      </c>
      <c r="V117" s="85">
        <v>1271.211</v>
      </c>
      <c r="W117" s="87">
        <v>1780</v>
      </c>
      <c r="X117" s="85">
        <v>1271.1310000000001</v>
      </c>
      <c r="Y117" s="87">
        <v>1780</v>
      </c>
      <c r="Z117" s="85">
        <v>1269.848</v>
      </c>
      <c r="AA117" s="87">
        <v>1780</v>
      </c>
      <c r="AB117" s="85">
        <v>1269.104</v>
      </c>
      <c r="AC117" s="87">
        <v>1770</v>
      </c>
      <c r="AD117" s="85">
        <v>1193.5509999999999</v>
      </c>
      <c r="AE117" s="87">
        <v>1780</v>
      </c>
      <c r="AF117" s="85">
        <v>1194.4929999999999</v>
      </c>
      <c r="AG117" s="87">
        <v>1760</v>
      </c>
      <c r="AH117" s="85">
        <v>346.76799999999997</v>
      </c>
      <c r="AI117" s="87">
        <v>1760</v>
      </c>
      <c r="AJ117" s="85">
        <v>361.70499999999998</v>
      </c>
    </row>
    <row r="118" spans="1:36" ht="14.25" customHeight="1">
      <c r="A118" s="88">
        <v>1790</v>
      </c>
      <c r="B118" s="84">
        <v>722.702</v>
      </c>
      <c r="C118" s="88">
        <v>1800</v>
      </c>
      <c r="D118" s="85">
        <v>717.27800000000002</v>
      </c>
      <c r="E118" s="86">
        <v>1790</v>
      </c>
      <c r="F118" s="85">
        <v>1499.845</v>
      </c>
      <c r="G118" s="87">
        <v>1790</v>
      </c>
      <c r="H118" s="85">
        <v>1498.037</v>
      </c>
      <c r="I118" s="87">
        <v>1790</v>
      </c>
      <c r="J118" s="85">
        <v>1271.105</v>
      </c>
      <c r="K118" s="87">
        <v>1790</v>
      </c>
      <c r="L118" s="85">
        <v>1270.8579999999999</v>
      </c>
      <c r="M118" s="87">
        <v>1790</v>
      </c>
      <c r="N118" s="85">
        <v>1270.8530000000001</v>
      </c>
      <c r="O118" s="87">
        <v>1770</v>
      </c>
      <c r="P118" s="85">
        <v>1271.915</v>
      </c>
      <c r="Q118" s="87">
        <v>1790</v>
      </c>
      <c r="R118" s="85">
        <v>1271.5060000000001</v>
      </c>
      <c r="S118" s="87">
        <v>1790</v>
      </c>
      <c r="T118" s="85">
        <v>1271.8579999999999</v>
      </c>
      <c r="U118" s="87">
        <v>1780</v>
      </c>
      <c r="V118" s="85">
        <v>1270.057</v>
      </c>
      <c r="W118" s="87">
        <v>1790</v>
      </c>
      <c r="X118" s="85">
        <v>1269.9760000000001</v>
      </c>
      <c r="Y118" s="87">
        <v>1790</v>
      </c>
      <c r="Z118" s="85">
        <v>1268.693</v>
      </c>
      <c r="AA118" s="87">
        <v>1790</v>
      </c>
      <c r="AB118" s="89">
        <v>1267.951</v>
      </c>
      <c r="AC118" s="87">
        <v>1780</v>
      </c>
      <c r="AD118" s="85">
        <v>1192.396</v>
      </c>
      <c r="AE118" s="87">
        <v>1790</v>
      </c>
      <c r="AF118" s="85">
        <v>1193.3399999999999</v>
      </c>
      <c r="AG118" s="87">
        <v>1770</v>
      </c>
      <c r="AH118" s="85">
        <v>346.392</v>
      </c>
      <c r="AI118" s="87">
        <v>1770</v>
      </c>
      <c r="AJ118" s="85">
        <v>361.31599999999997</v>
      </c>
    </row>
    <row r="119" spans="1:36" ht="14.25" customHeight="1">
      <c r="A119" s="88">
        <v>1800</v>
      </c>
      <c r="B119" s="84">
        <v>721.94200000000001</v>
      </c>
      <c r="C119" s="88">
        <v>1810</v>
      </c>
      <c r="D119" s="85">
        <v>716.52499999999998</v>
      </c>
      <c r="E119" s="86">
        <v>1800</v>
      </c>
      <c r="F119" s="85">
        <v>1498.405</v>
      </c>
      <c r="G119" s="87">
        <v>1800</v>
      </c>
      <c r="H119" s="85">
        <v>1496.6020000000001</v>
      </c>
      <c r="I119" s="87">
        <v>1800</v>
      </c>
      <c r="J119" s="85">
        <v>1269.9469999999999</v>
      </c>
      <c r="K119" s="87">
        <v>1800</v>
      </c>
      <c r="L119" s="85">
        <v>1269.7</v>
      </c>
      <c r="M119" s="87">
        <v>1800</v>
      </c>
      <c r="N119" s="85">
        <v>1269.6949999999999</v>
      </c>
      <c r="O119" s="87">
        <v>1780</v>
      </c>
      <c r="P119" s="85">
        <v>1270.758</v>
      </c>
      <c r="Q119" s="87">
        <v>1800</v>
      </c>
      <c r="R119" s="85">
        <v>1270.3489999999999</v>
      </c>
      <c r="S119" s="87">
        <v>1800</v>
      </c>
      <c r="T119" s="85">
        <v>1270.702</v>
      </c>
      <c r="U119" s="87">
        <v>1790</v>
      </c>
      <c r="V119" s="85">
        <v>1268.903</v>
      </c>
      <c r="W119" s="87">
        <v>1800</v>
      </c>
      <c r="X119" s="85">
        <v>1268.8219999999999</v>
      </c>
      <c r="Y119" s="87">
        <v>1800</v>
      </c>
      <c r="Z119" s="85">
        <v>1267.537</v>
      </c>
      <c r="AA119" s="87">
        <v>1800</v>
      </c>
      <c r="AB119" s="89">
        <v>1266.798</v>
      </c>
      <c r="AC119" s="87">
        <v>1790</v>
      </c>
      <c r="AD119" s="85">
        <v>1191.24</v>
      </c>
      <c r="AE119" s="87">
        <v>1800</v>
      </c>
      <c r="AF119" s="85">
        <v>1192.1869999999999</v>
      </c>
      <c r="AG119" s="87">
        <v>1780</v>
      </c>
      <c r="AH119" s="85">
        <v>346.017</v>
      </c>
      <c r="AI119" s="87">
        <v>1780</v>
      </c>
      <c r="AJ119" s="85">
        <v>360.92700000000002</v>
      </c>
    </row>
    <row r="120" spans="1:36" ht="14.25" customHeight="1">
      <c r="A120" s="88">
        <v>1810</v>
      </c>
      <c r="B120" s="84">
        <v>721.18100000000004</v>
      </c>
      <c r="C120" s="88">
        <v>1820</v>
      </c>
      <c r="D120" s="85">
        <v>715.77099999999996</v>
      </c>
      <c r="E120" s="86">
        <v>1810</v>
      </c>
      <c r="F120" s="85">
        <v>1496.9659999999999</v>
      </c>
      <c r="G120" s="87">
        <v>1810</v>
      </c>
      <c r="H120" s="85">
        <v>1495.1659999999999</v>
      </c>
      <c r="I120" s="87">
        <v>1810</v>
      </c>
      <c r="J120" s="85">
        <v>1268.788</v>
      </c>
      <c r="K120" s="87">
        <v>1810</v>
      </c>
      <c r="L120" s="85">
        <v>1268.5419999999999</v>
      </c>
      <c r="M120" s="87">
        <v>1810</v>
      </c>
      <c r="N120" s="85">
        <v>1268.5360000000001</v>
      </c>
      <c r="O120" s="87">
        <v>1790</v>
      </c>
      <c r="P120" s="85">
        <v>1269.5999999999999</v>
      </c>
      <c r="Q120" s="87">
        <v>1810</v>
      </c>
      <c r="R120" s="85">
        <v>1269.191</v>
      </c>
      <c r="S120" s="87">
        <v>1810</v>
      </c>
      <c r="T120" s="85">
        <v>1269.5450000000001</v>
      </c>
      <c r="U120" s="87">
        <v>1800</v>
      </c>
      <c r="V120" s="85">
        <v>1267.749</v>
      </c>
      <c r="W120" s="87">
        <v>1810</v>
      </c>
      <c r="X120" s="85">
        <v>1267.6669999999999</v>
      </c>
      <c r="Y120" s="87">
        <v>1810</v>
      </c>
      <c r="Z120" s="85">
        <v>1266.3810000000001</v>
      </c>
      <c r="AA120" s="87">
        <v>1810</v>
      </c>
      <c r="AB120" s="85">
        <v>1265.644</v>
      </c>
      <c r="AC120" s="87">
        <v>1800</v>
      </c>
      <c r="AD120" s="85">
        <v>1190.085</v>
      </c>
      <c r="AE120" s="87">
        <v>1810</v>
      </c>
      <c r="AF120" s="85">
        <v>1191.0329999999999</v>
      </c>
      <c r="AG120" s="87">
        <v>1790</v>
      </c>
      <c r="AH120" s="85">
        <v>345.642</v>
      </c>
      <c r="AI120" s="87">
        <v>1790</v>
      </c>
      <c r="AJ120" s="85">
        <v>360.53699999999998</v>
      </c>
    </row>
    <row r="121" spans="1:36" ht="14.25" customHeight="1">
      <c r="A121" s="88">
        <v>1820</v>
      </c>
      <c r="B121" s="84">
        <v>720.42</v>
      </c>
      <c r="C121" s="88">
        <v>1830</v>
      </c>
      <c r="D121" s="85">
        <v>715.01800000000003</v>
      </c>
      <c r="E121" s="86">
        <v>1820</v>
      </c>
      <c r="F121" s="85">
        <v>1495.5250000000001</v>
      </c>
      <c r="G121" s="87">
        <v>1820</v>
      </c>
      <c r="H121" s="85">
        <v>1493.731</v>
      </c>
      <c r="I121" s="87">
        <v>1820</v>
      </c>
      <c r="J121" s="85">
        <v>1267.6289999999999</v>
      </c>
      <c r="K121" s="87">
        <v>1820</v>
      </c>
      <c r="L121" s="85">
        <v>1267.384</v>
      </c>
      <c r="M121" s="87">
        <v>1820</v>
      </c>
      <c r="N121" s="85">
        <v>1267.3779999999999</v>
      </c>
      <c r="O121" s="87">
        <v>1800</v>
      </c>
      <c r="P121" s="85">
        <v>1268.442</v>
      </c>
      <c r="Q121" s="87">
        <v>1820</v>
      </c>
      <c r="R121" s="89">
        <v>1268.0329999999999</v>
      </c>
      <c r="S121" s="87">
        <v>1820</v>
      </c>
      <c r="T121" s="85">
        <v>1268.3879999999999</v>
      </c>
      <c r="U121" s="87">
        <v>1810</v>
      </c>
      <c r="V121" s="85">
        <v>1266.5940000000001</v>
      </c>
      <c r="W121" s="87">
        <v>1820</v>
      </c>
      <c r="X121" s="85">
        <v>1266.5119999999999</v>
      </c>
      <c r="Y121" s="87">
        <v>1820</v>
      </c>
      <c r="Z121" s="85">
        <v>1265.2249999999999</v>
      </c>
      <c r="AA121" s="87">
        <v>1820</v>
      </c>
      <c r="AB121" s="85">
        <v>1264.491</v>
      </c>
      <c r="AC121" s="87">
        <v>1810</v>
      </c>
      <c r="AD121" s="85">
        <v>1188.9290000000001</v>
      </c>
      <c r="AE121" s="87">
        <v>1820</v>
      </c>
      <c r="AF121" s="85">
        <v>1189.8789999999999</v>
      </c>
      <c r="AG121" s="87">
        <v>1800</v>
      </c>
      <c r="AH121" s="85">
        <v>345.26600000000002</v>
      </c>
      <c r="AI121" s="87">
        <v>1800</v>
      </c>
      <c r="AJ121" s="85">
        <v>360.14800000000002</v>
      </c>
    </row>
    <row r="122" spans="1:36" ht="14.25" customHeight="1">
      <c r="A122" s="88">
        <v>1830</v>
      </c>
      <c r="B122" s="84">
        <v>719.65899999999999</v>
      </c>
      <c r="C122" s="88">
        <v>1840</v>
      </c>
      <c r="D122" s="85">
        <v>714.26400000000001</v>
      </c>
      <c r="E122" s="86">
        <v>1830</v>
      </c>
      <c r="F122" s="85">
        <v>1494.085</v>
      </c>
      <c r="G122" s="87">
        <v>1830</v>
      </c>
      <c r="H122" s="85">
        <v>1492.2950000000001</v>
      </c>
      <c r="I122" s="87">
        <v>1830</v>
      </c>
      <c r="J122" s="85">
        <v>1266.47</v>
      </c>
      <c r="K122" s="87">
        <v>1830</v>
      </c>
      <c r="L122" s="85">
        <v>1266.2249999999999</v>
      </c>
      <c r="M122" s="87">
        <v>1830</v>
      </c>
      <c r="N122" s="85">
        <v>1266.2190000000001</v>
      </c>
      <c r="O122" s="87">
        <v>1810</v>
      </c>
      <c r="P122" s="85">
        <v>1267.2840000000001</v>
      </c>
      <c r="Q122" s="87">
        <v>1830</v>
      </c>
      <c r="R122" s="89">
        <v>1266.875</v>
      </c>
      <c r="S122" s="87">
        <v>1830</v>
      </c>
      <c r="T122" s="85">
        <v>1267.231</v>
      </c>
      <c r="U122" s="87">
        <v>1820</v>
      </c>
      <c r="V122" s="85">
        <v>1265.4390000000001</v>
      </c>
      <c r="W122" s="87">
        <v>1830</v>
      </c>
      <c r="X122" s="85">
        <v>1265.357</v>
      </c>
      <c r="Y122" s="87">
        <v>1830</v>
      </c>
      <c r="Z122" s="85">
        <v>1264.068</v>
      </c>
      <c r="AA122" s="87">
        <v>1830</v>
      </c>
      <c r="AB122" s="85">
        <v>1263.337</v>
      </c>
      <c r="AC122" s="87">
        <v>1820</v>
      </c>
      <c r="AD122" s="85">
        <v>1187.7729999999999</v>
      </c>
      <c r="AE122" s="87">
        <v>1830</v>
      </c>
      <c r="AF122" s="85">
        <v>1188.7249999999999</v>
      </c>
      <c r="AG122" s="87">
        <v>1810</v>
      </c>
      <c r="AH122" s="85">
        <v>344.89</v>
      </c>
      <c r="AI122" s="87">
        <v>1810</v>
      </c>
      <c r="AJ122" s="85">
        <v>359.75799999999998</v>
      </c>
    </row>
    <row r="123" spans="1:36" ht="14.25" customHeight="1">
      <c r="A123" s="88">
        <v>1840</v>
      </c>
      <c r="B123" s="84">
        <v>718.89800000000002</v>
      </c>
      <c r="C123" s="88">
        <v>1850</v>
      </c>
      <c r="D123" s="85">
        <v>713.51</v>
      </c>
      <c r="E123" s="86">
        <v>1840</v>
      </c>
      <c r="F123" s="85">
        <v>1492.644</v>
      </c>
      <c r="G123" s="87">
        <v>1840</v>
      </c>
      <c r="H123" s="85">
        <v>1490.8589999999999</v>
      </c>
      <c r="I123" s="87">
        <v>1840</v>
      </c>
      <c r="J123" s="85">
        <v>1265.31</v>
      </c>
      <c r="K123" s="87">
        <v>1840</v>
      </c>
      <c r="L123" s="85">
        <v>1265.067</v>
      </c>
      <c r="M123" s="87">
        <v>1840</v>
      </c>
      <c r="N123" s="85">
        <v>1265.06</v>
      </c>
      <c r="O123" s="87">
        <v>1820</v>
      </c>
      <c r="P123" s="85">
        <v>1266.125</v>
      </c>
      <c r="Q123" s="87">
        <v>1840</v>
      </c>
      <c r="R123" s="85">
        <v>1265.7159999999999</v>
      </c>
      <c r="S123" s="87">
        <v>1840</v>
      </c>
      <c r="T123" s="85">
        <v>1266.0730000000001</v>
      </c>
      <c r="U123" s="87">
        <v>1830</v>
      </c>
      <c r="V123" s="85">
        <v>1264.2840000000001</v>
      </c>
      <c r="W123" s="87">
        <v>1840</v>
      </c>
      <c r="X123" s="85">
        <v>1264.201</v>
      </c>
      <c r="Y123" s="87">
        <v>1840</v>
      </c>
      <c r="Z123" s="85">
        <v>1262.9110000000001</v>
      </c>
      <c r="AA123" s="87">
        <v>1840</v>
      </c>
      <c r="AB123" s="85">
        <v>1262.183</v>
      </c>
      <c r="AC123" s="87">
        <v>1830</v>
      </c>
      <c r="AD123" s="85">
        <v>1186.617</v>
      </c>
      <c r="AE123" s="87">
        <v>1840</v>
      </c>
      <c r="AF123" s="85">
        <v>1187.57</v>
      </c>
      <c r="AG123" s="87">
        <v>1820</v>
      </c>
      <c r="AH123" s="85">
        <v>344.51499999999999</v>
      </c>
      <c r="AI123" s="87">
        <v>1820</v>
      </c>
      <c r="AJ123" s="85">
        <v>359.36900000000003</v>
      </c>
    </row>
    <row r="124" spans="1:36" ht="14.25" customHeight="1">
      <c r="A124" s="88">
        <v>1850</v>
      </c>
      <c r="B124" s="84">
        <v>718.13599999999997</v>
      </c>
      <c r="C124" s="88">
        <v>1860</v>
      </c>
      <c r="D124" s="85">
        <v>712.75599999999997</v>
      </c>
      <c r="E124" s="86">
        <v>1850</v>
      </c>
      <c r="F124" s="85">
        <v>1491.203</v>
      </c>
      <c r="G124" s="87">
        <v>1850</v>
      </c>
      <c r="H124" s="85">
        <v>1489.422</v>
      </c>
      <c r="I124" s="87">
        <v>1850</v>
      </c>
      <c r="J124" s="85">
        <v>1264.1500000000001</v>
      </c>
      <c r="K124" s="87">
        <v>1850</v>
      </c>
      <c r="L124" s="85">
        <v>1263.9079999999999</v>
      </c>
      <c r="M124" s="87">
        <v>1850</v>
      </c>
      <c r="N124" s="85">
        <v>1263.9010000000001</v>
      </c>
      <c r="O124" s="87">
        <v>1830</v>
      </c>
      <c r="P124" s="85">
        <v>1264.9670000000001</v>
      </c>
      <c r="Q124" s="87">
        <v>1850</v>
      </c>
      <c r="R124" s="85">
        <v>1264.558</v>
      </c>
      <c r="S124" s="87">
        <v>1850</v>
      </c>
      <c r="T124" s="85">
        <v>1264.9159999999999</v>
      </c>
      <c r="U124" s="87">
        <v>1840</v>
      </c>
      <c r="V124" s="85">
        <v>1263.1279999999999</v>
      </c>
      <c r="W124" s="87">
        <v>1850</v>
      </c>
      <c r="X124" s="85">
        <v>1263.0450000000001</v>
      </c>
      <c r="Y124" s="87">
        <v>1850</v>
      </c>
      <c r="Z124" s="85">
        <v>1261.7539999999999</v>
      </c>
      <c r="AA124" s="87">
        <v>1850</v>
      </c>
      <c r="AB124" s="85">
        <v>1261.029</v>
      </c>
      <c r="AC124" s="87">
        <v>1840</v>
      </c>
      <c r="AD124" s="85">
        <v>1185.46</v>
      </c>
      <c r="AE124" s="87">
        <v>1850</v>
      </c>
      <c r="AF124" s="85">
        <v>1186.415</v>
      </c>
      <c r="AG124" s="87">
        <v>1830</v>
      </c>
      <c r="AH124" s="85">
        <v>344.13900000000001</v>
      </c>
      <c r="AI124" s="87">
        <v>1830</v>
      </c>
      <c r="AJ124" s="85">
        <v>358.97899999999998</v>
      </c>
    </row>
    <row r="125" spans="1:36" ht="14.25" customHeight="1">
      <c r="A125" s="88">
        <v>1860</v>
      </c>
      <c r="B125" s="84">
        <v>717.375</v>
      </c>
      <c r="C125" s="88">
        <v>1870</v>
      </c>
      <c r="D125" s="85">
        <v>712.00099999999998</v>
      </c>
      <c r="E125" s="86">
        <v>1860</v>
      </c>
      <c r="F125" s="85">
        <v>1489.7619999999999</v>
      </c>
      <c r="G125" s="87">
        <v>1860</v>
      </c>
      <c r="H125" s="85">
        <v>1487.9849999999999</v>
      </c>
      <c r="I125" s="87">
        <v>1860</v>
      </c>
      <c r="J125" s="85">
        <v>1262.99</v>
      </c>
      <c r="K125" s="87">
        <v>1860</v>
      </c>
      <c r="L125" s="85">
        <v>1262.748</v>
      </c>
      <c r="M125" s="87">
        <v>1860</v>
      </c>
      <c r="N125" s="85">
        <v>1262.741</v>
      </c>
      <c r="O125" s="87">
        <v>1840</v>
      </c>
      <c r="P125" s="85">
        <v>1263.808</v>
      </c>
      <c r="Q125" s="87">
        <v>1860</v>
      </c>
      <c r="R125" s="85">
        <v>1263.3989999999999</v>
      </c>
      <c r="S125" s="87">
        <v>1860</v>
      </c>
      <c r="T125" s="85">
        <v>1263.758</v>
      </c>
      <c r="U125" s="87">
        <v>1850</v>
      </c>
      <c r="V125" s="85">
        <v>1261.973</v>
      </c>
      <c r="W125" s="87">
        <v>1860</v>
      </c>
      <c r="X125" s="85">
        <v>1261.8889999999999</v>
      </c>
      <c r="Y125" s="87">
        <v>1860</v>
      </c>
      <c r="Z125" s="85">
        <v>1260.597</v>
      </c>
      <c r="AA125" s="87">
        <v>1860</v>
      </c>
      <c r="AB125" s="85">
        <v>1259.874</v>
      </c>
      <c r="AC125" s="87">
        <v>1850</v>
      </c>
      <c r="AD125" s="85">
        <v>1184.3040000000001</v>
      </c>
      <c r="AE125" s="87">
        <v>1860</v>
      </c>
      <c r="AF125" s="85">
        <v>1185.26</v>
      </c>
      <c r="AG125" s="87">
        <v>1840</v>
      </c>
      <c r="AH125" s="85">
        <v>343.76299999999998</v>
      </c>
      <c r="AI125" s="87">
        <v>1840</v>
      </c>
      <c r="AJ125" s="85">
        <v>358.589</v>
      </c>
    </row>
    <row r="126" spans="1:36" ht="14.25" customHeight="1">
      <c r="A126" s="88">
        <v>1870</v>
      </c>
      <c r="B126" s="84">
        <v>716.61300000000006</v>
      </c>
      <c r="C126" s="88">
        <v>1880</v>
      </c>
      <c r="D126" s="85">
        <v>711.24699999999996</v>
      </c>
      <c r="E126" s="86">
        <v>1870</v>
      </c>
      <c r="F126" s="85">
        <v>1488.32</v>
      </c>
      <c r="G126" s="87">
        <v>1870</v>
      </c>
      <c r="H126" s="85">
        <v>1486.548</v>
      </c>
      <c r="I126" s="87">
        <v>1870</v>
      </c>
      <c r="J126" s="85">
        <v>1261.83</v>
      </c>
      <c r="K126" s="87">
        <v>1870</v>
      </c>
      <c r="L126" s="85">
        <v>1261.5889999999999</v>
      </c>
      <c r="M126" s="87">
        <v>1870</v>
      </c>
      <c r="N126" s="85">
        <v>1261.5820000000001</v>
      </c>
      <c r="O126" s="87">
        <v>1850</v>
      </c>
      <c r="P126" s="85">
        <v>1262.6489999999999</v>
      </c>
      <c r="Q126" s="87">
        <v>1870</v>
      </c>
      <c r="R126" s="85">
        <v>1262.24</v>
      </c>
      <c r="S126" s="87">
        <v>1870</v>
      </c>
      <c r="T126" s="85">
        <v>1262.5989999999999</v>
      </c>
      <c r="U126" s="87">
        <v>1860</v>
      </c>
      <c r="V126" s="85">
        <v>1260.817</v>
      </c>
      <c r="W126" s="87">
        <v>1870</v>
      </c>
      <c r="X126" s="85">
        <v>1260.7329999999999</v>
      </c>
      <c r="Y126" s="87">
        <v>1870</v>
      </c>
      <c r="Z126" s="85">
        <v>1259.44</v>
      </c>
      <c r="AA126" s="87">
        <v>1870</v>
      </c>
      <c r="AB126" s="85">
        <v>1258.7190000000001</v>
      </c>
      <c r="AC126" s="87">
        <v>1860</v>
      </c>
      <c r="AD126" s="85">
        <v>1183.1469999999999</v>
      </c>
      <c r="AE126" s="87">
        <v>1870</v>
      </c>
      <c r="AF126" s="85">
        <v>1184.105</v>
      </c>
      <c r="AG126" s="87">
        <v>1850</v>
      </c>
      <c r="AH126" s="85">
        <v>343.387</v>
      </c>
      <c r="AI126" s="87">
        <v>1850</v>
      </c>
      <c r="AJ126" s="85">
        <v>358.2</v>
      </c>
    </row>
    <row r="127" spans="1:36" ht="14.25" customHeight="1">
      <c r="A127" s="88">
        <v>1880</v>
      </c>
      <c r="B127" s="84">
        <v>715.851</v>
      </c>
      <c r="C127" s="88">
        <v>1890</v>
      </c>
      <c r="D127" s="85">
        <v>710.49199999999996</v>
      </c>
      <c r="E127" s="86">
        <v>1880</v>
      </c>
      <c r="F127" s="85">
        <v>1486.8779999999999</v>
      </c>
      <c r="G127" s="87">
        <v>1880</v>
      </c>
      <c r="H127" s="85">
        <v>1485.11</v>
      </c>
      <c r="I127" s="87">
        <v>1880</v>
      </c>
      <c r="J127" s="85">
        <v>1260.67</v>
      </c>
      <c r="K127" s="87">
        <v>1880</v>
      </c>
      <c r="L127" s="85">
        <v>1260.4290000000001</v>
      </c>
      <c r="M127" s="87">
        <v>1880</v>
      </c>
      <c r="N127" s="85">
        <v>1260.422</v>
      </c>
      <c r="O127" s="87">
        <v>1860</v>
      </c>
      <c r="P127" s="85">
        <v>1261.489</v>
      </c>
      <c r="Q127" s="87">
        <v>1880</v>
      </c>
      <c r="R127" s="85">
        <v>1261.08</v>
      </c>
      <c r="S127" s="87">
        <v>1880</v>
      </c>
      <c r="T127" s="85">
        <v>1261.441</v>
      </c>
      <c r="U127" s="87">
        <v>1870</v>
      </c>
      <c r="V127" s="85">
        <v>1259.6610000000001</v>
      </c>
      <c r="W127" s="87">
        <v>1880</v>
      </c>
      <c r="X127" s="85">
        <v>1259.576</v>
      </c>
      <c r="Y127" s="87">
        <v>1880</v>
      </c>
      <c r="Z127" s="85">
        <v>1258.2819999999999</v>
      </c>
      <c r="AA127" s="87">
        <v>1880</v>
      </c>
      <c r="AB127" s="85">
        <v>1257.5640000000001</v>
      </c>
      <c r="AC127" s="87">
        <v>1870</v>
      </c>
      <c r="AD127" s="85">
        <v>1181.989</v>
      </c>
      <c r="AE127" s="87">
        <v>1880</v>
      </c>
      <c r="AF127" s="85">
        <v>1182.95</v>
      </c>
      <c r="AG127" s="87">
        <v>1860</v>
      </c>
      <c r="AH127" s="85">
        <v>343.01100000000002</v>
      </c>
      <c r="AI127" s="87">
        <v>1860</v>
      </c>
      <c r="AJ127" s="85">
        <v>357.81</v>
      </c>
    </row>
    <row r="128" spans="1:36" ht="14.25" customHeight="1">
      <c r="A128" s="88">
        <v>1890</v>
      </c>
      <c r="B128" s="84">
        <v>715.08900000000006</v>
      </c>
      <c r="C128" s="88">
        <v>1900</v>
      </c>
      <c r="D128" s="85">
        <v>709.73699999999997</v>
      </c>
      <c r="E128" s="86">
        <v>1890</v>
      </c>
      <c r="F128" s="85">
        <v>1485.4359999999999</v>
      </c>
      <c r="G128" s="87">
        <v>1890</v>
      </c>
      <c r="H128" s="85">
        <v>1483.673</v>
      </c>
      <c r="I128" s="87">
        <v>1890</v>
      </c>
      <c r="J128" s="85">
        <v>1259.509</v>
      </c>
      <c r="K128" s="87">
        <v>1890</v>
      </c>
      <c r="L128" s="85">
        <v>1259.269</v>
      </c>
      <c r="M128" s="87">
        <v>1890</v>
      </c>
      <c r="N128" s="85">
        <v>1259.261</v>
      </c>
      <c r="O128" s="87">
        <v>1870</v>
      </c>
      <c r="P128" s="85">
        <v>1260.33</v>
      </c>
      <c r="Q128" s="87">
        <v>1890</v>
      </c>
      <c r="R128" s="85">
        <v>1259.921</v>
      </c>
      <c r="S128" s="87">
        <v>1890</v>
      </c>
      <c r="T128" s="85">
        <v>1260.2819999999999</v>
      </c>
      <c r="U128" s="87">
        <v>1880</v>
      </c>
      <c r="V128" s="85">
        <v>1258.5039999999999</v>
      </c>
      <c r="W128" s="87">
        <v>1890</v>
      </c>
      <c r="X128" s="85">
        <v>1258.42</v>
      </c>
      <c r="Y128" s="87">
        <v>1890</v>
      </c>
      <c r="Z128" s="85">
        <v>1257.124</v>
      </c>
      <c r="AA128" s="87">
        <v>1890</v>
      </c>
      <c r="AB128" s="85">
        <v>1256.4090000000001</v>
      </c>
      <c r="AC128" s="87">
        <v>1880</v>
      </c>
      <c r="AD128" s="85">
        <v>1180.8320000000001</v>
      </c>
      <c r="AE128" s="87">
        <v>1890</v>
      </c>
      <c r="AF128" s="85">
        <v>1181.7940000000001</v>
      </c>
      <c r="AG128" s="87">
        <v>1870</v>
      </c>
      <c r="AH128" s="85">
        <v>342.63499999999999</v>
      </c>
      <c r="AI128" s="87">
        <v>1870</v>
      </c>
      <c r="AJ128" s="85">
        <v>357.42</v>
      </c>
    </row>
    <row r="129" spans="1:36" ht="14.25" customHeight="1">
      <c r="A129" s="88">
        <v>1900</v>
      </c>
      <c r="B129" s="84">
        <v>714.327</v>
      </c>
      <c r="C129" s="88">
        <v>1910</v>
      </c>
      <c r="D129" s="85">
        <v>708.98199999999997</v>
      </c>
      <c r="E129" s="86">
        <v>1900</v>
      </c>
      <c r="F129" s="85">
        <v>1483.9929999999999</v>
      </c>
      <c r="G129" s="87">
        <v>1900</v>
      </c>
      <c r="H129" s="85">
        <v>1482.2349999999999</v>
      </c>
      <c r="I129" s="87">
        <v>1900</v>
      </c>
      <c r="J129" s="85">
        <v>1258.348</v>
      </c>
      <c r="K129" s="87">
        <v>1900</v>
      </c>
      <c r="L129" s="85">
        <v>1258.1089999999999</v>
      </c>
      <c r="M129" s="87">
        <v>1900</v>
      </c>
      <c r="N129" s="85">
        <v>1258.1010000000001</v>
      </c>
      <c r="O129" s="87">
        <v>1880</v>
      </c>
      <c r="P129" s="85">
        <v>1259.17</v>
      </c>
      <c r="Q129" s="87">
        <v>1900</v>
      </c>
      <c r="R129" s="85">
        <v>1258.761</v>
      </c>
      <c r="S129" s="87">
        <v>1900</v>
      </c>
      <c r="T129" s="85">
        <v>1259.123</v>
      </c>
      <c r="U129" s="87">
        <v>1890</v>
      </c>
      <c r="V129" s="85">
        <v>1257.348</v>
      </c>
      <c r="W129" s="87">
        <v>1900</v>
      </c>
      <c r="X129" s="85">
        <v>1257.2619999999999</v>
      </c>
      <c r="Y129" s="87">
        <v>1900</v>
      </c>
      <c r="Z129" s="85">
        <v>1255.9659999999999</v>
      </c>
      <c r="AA129" s="87">
        <v>1900</v>
      </c>
      <c r="AB129" s="85">
        <v>1255.2539999999999</v>
      </c>
      <c r="AC129" s="87">
        <v>1890</v>
      </c>
      <c r="AD129" s="85">
        <v>1179.674</v>
      </c>
      <c r="AE129" s="87">
        <v>1900</v>
      </c>
      <c r="AF129" s="85">
        <v>1180.6379999999999</v>
      </c>
      <c r="AG129" s="87">
        <v>1880</v>
      </c>
      <c r="AH129" s="85">
        <v>342.25799999999998</v>
      </c>
      <c r="AI129" s="87">
        <v>1880</v>
      </c>
      <c r="AJ129" s="85">
        <v>357.029</v>
      </c>
    </row>
    <row r="130" spans="1:36" ht="14.25" customHeight="1">
      <c r="A130" s="88">
        <v>1910</v>
      </c>
      <c r="B130" s="84">
        <v>713.56399999999996</v>
      </c>
      <c r="C130" s="88">
        <v>1920</v>
      </c>
      <c r="D130" s="85">
        <v>708.226</v>
      </c>
      <c r="E130" s="86">
        <v>1910</v>
      </c>
      <c r="F130" s="85">
        <v>1482.5509999999999</v>
      </c>
      <c r="G130" s="87">
        <v>1910</v>
      </c>
      <c r="H130" s="85">
        <v>1480.796</v>
      </c>
      <c r="I130" s="87">
        <v>1910</v>
      </c>
      <c r="J130" s="85">
        <v>1257.1869999999999</v>
      </c>
      <c r="K130" s="87">
        <v>1910</v>
      </c>
      <c r="L130" s="85">
        <v>1256.9490000000001</v>
      </c>
      <c r="M130" s="87">
        <v>1910</v>
      </c>
      <c r="N130" s="85">
        <v>1256.94</v>
      </c>
      <c r="O130" s="87">
        <v>1890</v>
      </c>
      <c r="P130" s="85">
        <v>1258.01</v>
      </c>
      <c r="Q130" s="87">
        <v>1910</v>
      </c>
      <c r="R130" s="85">
        <v>1257.6010000000001</v>
      </c>
      <c r="S130" s="87">
        <v>1910</v>
      </c>
      <c r="T130" s="85">
        <v>1257.9639999999999</v>
      </c>
      <c r="U130" s="87">
        <v>1900</v>
      </c>
      <c r="V130" s="85">
        <v>1256.191</v>
      </c>
      <c r="W130" s="87">
        <v>1910</v>
      </c>
      <c r="X130" s="85">
        <v>1256.105</v>
      </c>
      <c r="Y130" s="87">
        <v>1910</v>
      </c>
      <c r="Z130" s="85">
        <v>1254.807</v>
      </c>
      <c r="AA130" s="87">
        <v>1910</v>
      </c>
      <c r="AB130" s="85">
        <v>1254.098</v>
      </c>
      <c r="AC130" s="87">
        <v>1900</v>
      </c>
      <c r="AD130" s="85">
        <v>1178.5160000000001</v>
      </c>
      <c r="AE130" s="87">
        <v>1910</v>
      </c>
      <c r="AF130" s="85">
        <v>1179.482</v>
      </c>
      <c r="AG130" s="87">
        <v>1890</v>
      </c>
      <c r="AH130" s="85">
        <v>341.88200000000001</v>
      </c>
      <c r="AI130" s="87">
        <v>1890</v>
      </c>
      <c r="AJ130" s="85">
        <v>356.63900000000001</v>
      </c>
    </row>
    <row r="131" spans="1:36" ht="14.25" customHeight="1">
      <c r="A131" s="88">
        <v>1920</v>
      </c>
      <c r="B131" s="84">
        <v>712.80100000000004</v>
      </c>
      <c r="C131" s="88">
        <v>1930</v>
      </c>
      <c r="D131" s="85">
        <v>707.471</v>
      </c>
      <c r="E131" s="86">
        <v>1920</v>
      </c>
      <c r="F131" s="85">
        <v>1481.107</v>
      </c>
      <c r="G131" s="87">
        <v>1920</v>
      </c>
      <c r="H131" s="85">
        <v>1479.3579999999999</v>
      </c>
      <c r="I131" s="87">
        <v>1920</v>
      </c>
      <c r="J131" s="85">
        <v>1256.0260000000001</v>
      </c>
      <c r="K131" s="87">
        <v>1920</v>
      </c>
      <c r="L131" s="85">
        <v>1255.788</v>
      </c>
      <c r="M131" s="87">
        <v>1920</v>
      </c>
      <c r="N131" s="85">
        <v>1255.779</v>
      </c>
      <c r="O131" s="87">
        <v>1900</v>
      </c>
      <c r="P131" s="85">
        <v>1256.8489999999999</v>
      </c>
      <c r="Q131" s="87">
        <v>1920</v>
      </c>
      <c r="R131" s="85">
        <v>1256.44</v>
      </c>
      <c r="S131" s="87">
        <v>1920</v>
      </c>
      <c r="T131" s="85">
        <v>1256.8050000000001</v>
      </c>
      <c r="U131" s="87">
        <v>1910</v>
      </c>
      <c r="V131" s="85">
        <v>1255.0340000000001</v>
      </c>
      <c r="W131" s="87">
        <v>1920</v>
      </c>
      <c r="X131" s="85">
        <v>1254.9480000000001</v>
      </c>
      <c r="Y131" s="87">
        <v>1920</v>
      </c>
      <c r="Z131" s="85">
        <v>1253.6479999999999</v>
      </c>
      <c r="AA131" s="87">
        <v>1920</v>
      </c>
      <c r="AB131" s="85">
        <v>1252.942</v>
      </c>
      <c r="AC131" s="87">
        <v>1910</v>
      </c>
      <c r="AD131" s="85">
        <v>1177.3579999999999</v>
      </c>
      <c r="AE131" s="87">
        <v>1920</v>
      </c>
      <c r="AF131" s="85">
        <v>1178.326</v>
      </c>
      <c r="AG131" s="87">
        <v>1900</v>
      </c>
      <c r="AH131" s="85">
        <v>341.50599999999997</v>
      </c>
      <c r="AI131" s="87">
        <v>1900</v>
      </c>
      <c r="AJ131" s="85">
        <v>356.24900000000002</v>
      </c>
    </row>
    <row r="132" spans="1:36" ht="14.25" customHeight="1">
      <c r="A132" s="88">
        <v>1930</v>
      </c>
      <c r="B132" s="84">
        <v>712.03800000000001</v>
      </c>
      <c r="C132" s="88">
        <v>1940</v>
      </c>
      <c r="D132" s="85">
        <v>706.71500000000003</v>
      </c>
      <c r="E132" s="86">
        <v>1930</v>
      </c>
      <c r="F132" s="85">
        <v>1479.664</v>
      </c>
      <c r="G132" s="87">
        <v>1930</v>
      </c>
      <c r="H132" s="85">
        <v>1477.9190000000001</v>
      </c>
      <c r="I132" s="87">
        <v>1930</v>
      </c>
      <c r="J132" s="85">
        <v>1254.864</v>
      </c>
      <c r="K132" s="87">
        <v>1930</v>
      </c>
      <c r="L132" s="85">
        <v>1254.627</v>
      </c>
      <c r="M132" s="87">
        <v>1930</v>
      </c>
      <c r="N132" s="85">
        <v>1254.6179999999999</v>
      </c>
      <c r="O132" s="87">
        <v>1910</v>
      </c>
      <c r="P132" s="85">
        <v>1255.6890000000001</v>
      </c>
      <c r="Q132" s="87">
        <v>1930</v>
      </c>
      <c r="R132" s="85">
        <v>1255.28</v>
      </c>
      <c r="S132" s="87">
        <v>1930</v>
      </c>
      <c r="T132" s="85">
        <v>1255.645</v>
      </c>
      <c r="U132" s="87">
        <v>1920</v>
      </c>
      <c r="V132" s="85">
        <v>1253.876</v>
      </c>
      <c r="W132" s="87">
        <v>1930</v>
      </c>
      <c r="X132" s="85">
        <v>1253.79</v>
      </c>
      <c r="Y132" s="87">
        <v>1930</v>
      </c>
      <c r="Z132" s="85">
        <v>1252.49</v>
      </c>
      <c r="AA132" s="87">
        <v>1930</v>
      </c>
      <c r="AB132" s="85">
        <v>1251.7860000000001</v>
      </c>
      <c r="AC132" s="87">
        <v>1920</v>
      </c>
      <c r="AD132" s="85">
        <v>1176.2</v>
      </c>
      <c r="AE132" s="87">
        <v>1930</v>
      </c>
      <c r="AF132" s="85">
        <v>1177.1690000000001</v>
      </c>
      <c r="AG132" s="87">
        <v>1910</v>
      </c>
      <c r="AH132" s="85">
        <v>341.12900000000002</v>
      </c>
      <c r="AI132" s="87">
        <v>1910</v>
      </c>
      <c r="AJ132" s="85">
        <v>355.858</v>
      </c>
    </row>
    <row r="133" spans="1:36" ht="14.25" customHeight="1">
      <c r="A133" s="88">
        <v>1940</v>
      </c>
      <c r="B133" s="84">
        <v>711.27499999999998</v>
      </c>
      <c r="C133" s="88">
        <v>1950</v>
      </c>
      <c r="D133" s="85">
        <v>705.95899999999995</v>
      </c>
      <c r="E133" s="86">
        <v>1940</v>
      </c>
      <c r="F133" s="85">
        <v>1478.22</v>
      </c>
      <c r="G133" s="87">
        <v>1940</v>
      </c>
      <c r="H133" s="85">
        <v>1476.479</v>
      </c>
      <c r="I133" s="87">
        <v>1940</v>
      </c>
      <c r="J133" s="85">
        <v>1253.702</v>
      </c>
      <c r="K133" s="87">
        <v>1940</v>
      </c>
      <c r="L133" s="85">
        <v>1253.4659999999999</v>
      </c>
      <c r="M133" s="87">
        <v>1940</v>
      </c>
      <c r="N133" s="85">
        <v>1253.4570000000001</v>
      </c>
      <c r="O133" s="87">
        <v>1920</v>
      </c>
      <c r="P133" s="85">
        <v>1254.528</v>
      </c>
      <c r="Q133" s="87">
        <v>1940</v>
      </c>
      <c r="R133" s="85">
        <v>1254.1189999999999</v>
      </c>
      <c r="S133" s="87">
        <v>1940</v>
      </c>
      <c r="T133" s="85">
        <v>1254.4849999999999</v>
      </c>
      <c r="U133" s="87">
        <v>1930</v>
      </c>
      <c r="V133" s="85">
        <v>1252.7180000000001</v>
      </c>
      <c r="W133" s="87">
        <v>1940</v>
      </c>
      <c r="X133" s="85">
        <v>1252.6320000000001</v>
      </c>
      <c r="Y133" s="87">
        <v>1940</v>
      </c>
      <c r="Z133" s="85">
        <v>1251.33</v>
      </c>
      <c r="AA133" s="87">
        <v>1940</v>
      </c>
      <c r="AB133" s="85">
        <v>1250.6289999999999</v>
      </c>
      <c r="AC133" s="87">
        <v>1930</v>
      </c>
      <c r="AD133" s="85">
        <v>1175.0409999999999</v>
      </c>
      <c r="AE133" s="87">
        <v>1940</v>
      </c>
      <c r="AF133" s="85">
        <v>1176.0119999999999</v>
      </c>
      <c r="AG133" s="87">
        <v>1920</v>
      </c>
      <c r="AH133" s="85">
        <v>340.75299999999999</v>
      </c>
      <c r="AI133" s="87">
        <v>1920</v>
      </c>
      <c r="AJ133" s="85">
        <v>355.46800000000002</v>
      </c>
    </row>
    <row r="134" spans="1:36" ht="14.25" customHeight="1">
      <c r="A134" s="88">
        <v>1950</v>
      </c>
      <c r="B134" s="84">
        <v>710.51199999999994</v>
      </c>
      <c r="C134" s="88">
        <v>1960</v>
      </c>
      <c r="D134" s="85">
        <v>705.20299999999997</v>
      </c>
      <c r="E134" s="86">
        <v>1950</v>
      </c>
      <c r="F134" s="85">
        <v>1476.7760000000001</v>
      </c>
      <c r="G134" s="87">
        <v>1950</v>
      </c>
      <c r="H134" s="85">
        <v>1475.04</v>
      </c>
      <c r="I134" s="87">
        <v>1950</v>
      </c>
      <c r="J134" s="85">
        <v>1252.54</v>
      </c>
      <c r="K134" s="87">
        <v>1950</v>
      </c>
      <c r="L134" s="85">
        <v>1252.3050000000001</v>
      </c>
      <c r="M134" s="87">
        <v>1950</v>
      </c>
      <c r="N134" s="85">
        <v>1252.2950000000001</v>
      </c>
      <c r="O134" s="87">
        <v>1930</v>
      </c>
      <c r="P134" s="85">
        <v>1253.367</v>
      </c>
      <c r="Q134" s="87">
        <v>1950</v>
      </c>
      <c r="R134" s="85">
        <v>1252.9580000000001</v>
      </c>
      <c r="S134" s="87">
        <v>1950</v>
      </c>
      <c r="T134" s="85">
        <v>1253.325</v>
      </c>
      <c r="U134" s="87">
        <v>1940</v>
      </c>
      <c r="V134" s="85">
        <v>1251.5609999999999</v>
      </c>
      <c r="W134" s="87">
        <v>1950</v>
      </c>
      <c r="X134" s="85">
        <v>1251.4739999999999</v>
      </c>
      <c r="Y134" s="87">
        <v>1950</v>
      </c>
      <c r="Z134" s="85">
        <v>1250.171</v>
      </c>
      <c r="AA134" s="87">
        <v>1950</v>
      </c>
      <c r="AB134" s="85">
        <v>1249.472</v>
      </c>
      <c r="AC134" s="87">
        <v>1940</v>
      </c>
      <c r="AD134" s="85">
        <v>1173.8820000000001</v>
      </c>
      <c r="AE134" s="87">
        <v>1950</v>
      </c>
      <c r="AF134" s="85">
        <v>1174.855</v>
      </c>
      <c r="AG134" s="87">
        <v>1930</v>
      </c>
      <c r="AH134" s="85">
        <v>340.37599999999998</v>
      </c>
      <c r="AI134" s="87">
        <v>1930</v>
      </c>
      <c r="AJ134" s="85">
        <v>355.077</v>
      </c>
    </row>
    <row r="135" spans="1:36" ht="14.25" customHeight="1">
      <c r="A135" s="88">
        <v>1960</v>
      </c>
      <c r="B135" s="84">
        <v>709.74800000000005</v>
      </c>
      <c r="C135" s="88">
        <v>1970</v>
      </c>
      <c r="D135" s="85">
        <v>704.44600000000003</v>
      </c>
      <c r="E135" s="86">
        <v>1960</v>
      </c>
      <c r="F135" s="85">
        <v>1475.3320000000001</v>
      </c>
      <c r="G135" s="87">
        <v>1960</v>
      </c>
      <c r="H135" s="85">
        <v>1473.6</v>
      </c>
      <c r="I135" s="87">
        <v>1960</v>
      </c>
      <c r="J135" s="85">
        <v>1251.3779999999999</v>
      </c>
      <c r="K135" s="87">
        <v>1960</v>
      </c>
      <c r="L135" s="85">
        <v>1251.143</v>
      </c>
      <c r="M135" s="87">
        <v>1960</v>
      </c>
      <c r="N135" s="85">
        <v>1251.133</v>
      </c>
      <c r="O135" s="87">
        <v>1940</v>
      </c>
      <c r="P135" s="85">
        <v>1252.2049999999999</v>
      </c>
      <c r="Q135" s="87">
        <v>1960</v>
      </c>
      <c r="R135" s="85">
        <v>1251.797</v>
      </c>
      <c r="S135" s="87">
        <v>1960</v>
      </c>
      <c r="T135" s="85">
        <v>1252.164</v>
      </c>
      <c r="U135" s="87">
        <v>1950</v>
      </c>
      <c r="V135" s="85">
        <v>1250.402</v>
      </c>
      <c r="W135" s="87">
        <v>1960</v>
      </c>
      <c r="X135" s="85">
        <v>1250.3150000000001</v>
      </c>
      <c r="Y135" s="87">
        <v>1960</v>
      </c>
      <c r="Z135" s="85">
        <v>1249.011</v>
      </c>
      <c r="AA135" s="87">
        <v>1960</v>
      </c>
      <c r="AB135" s="85">
        <v>1248.3150000000001</v>
      </c>
      <c r="AC135" s="87">
        <v>1950</v>
      </c>
      <c r="AD135" s="85">
        <v>1172.723</v>
      </c>
      <c r="AE135" s="87">
        <v>1960</v>
      </c>
      <c r="AF135" s="85">
        <v>1173.6969999999999</v>
      </c>
      <c r="AG135" s="87">
        <v>1940</v>
      </c>
      <c r="AH135" s="85">
        <v>339.99900000000002</v>
      </c>
      <c r="AI135" s="87">
        <v>1940</v>
      </c>
      <c r="AJ135" s="85">
        <v>354.68700000000001</v>
      </c>
    </row>
    <row r="136" spans="1:36" ht="14.25" customHeight="1">
      <c r="A136" s="88">
        <v>1970</v>
      </c>
      <c r="B136" s="84">
        <v>708.98400000000004</v>
      </c>
      <c r="C136" s="88">
        <v>1980</v>
      </c>
      <c r="D136" s="85">
        <v>703.69</v>
      </c>
      <c r="E136" s="86">
        <v>1970</v>
      </c>
      <c r="F136" s="85">
        <v>1473.8879999999999</v>
      </c>
      <c r="G136" s="87">
        <v>1970</v>
      </c>
      <c r="H136" s="85">
        <v>1472.16</v>
      </c>
      <c r="I136" s="87">
        <v>1970</v>
      </c>
      <c r="J136" s="85">
        <v>1250.2149999999999</v>
      </c>
      <c r="K136" s="87">
        <v>1970</v>
      </c>
      <c r="L136" s="85">
        <v>1249.981</v>
      </c>
      <c r="M136" s="87">
        <v>1970</v>
      </c>
      <c r="N136" s="85">
        <v>1249.971</v>
      </c>
      <c r="O136" s="87">
        <v>1950</v>
      </c>
      <c r="P136" s="85">
        <v>1251.0440000000001</v>
      </c>
      <c r="Q136" s="87">
        <v>1970</v>
      </c>
      <c r="R136" s="85">
        <v>1250.635</v>
      </c>
      <c r="S136" s="87">
        <v>1970</v>
      </c>
      <c r="T136" s="85">
        <v>1251.0039999999999</v>
      </c>
      <c r="U136" s="87">
        <v>1960</v>
      </c>
      <c r="V136" s="85">
        <v>1249.2439999999999</v>
      </c>
      <c r="W136" s="87">
        <v>1970</v>
      </c>
      <c r="X136" s="85">
        <v>1249.1559999999999</v>
      </c>
      <c r="Y136" s="87">
        <v>1970</v>
      </c>
      <c r="Z136" s="85">
        <v>1247.8510000000001</v>
      </c>
      <c r="AA136" s="87">
        <v>1970</v>
      </c>
      <c r="AB136" s="85">
        <v>1247.1579999999999</v>
      </c>
      <c r="AC136" s="87">
        <v>1960</v>
      </c>
      <c r="AD136" s="85">
        <v>1171.5640000000001</v>
      </c>
      <c r="AE136" s="87">
        <v>1970</v>
      </c>
      <c r="AF136" s="85">
        <v>1172.54</v>
      </c>
      <c r="AG136" s="87">
        <v>1950</v>
      </c>
      <c r="AH136" s="85">
        <v>339.62200000000001</v>
      </c>
      <c r="AI136" s="87">
        <v>1950</v>
      </c>
      <c r="AJ136" s="85">
        <v>354.29599999999999</v>
      </c>
    </row>
    <row r="137" spans="1:36" ht="14.25" customHeight="1">
      <c r="A137" s="88">
        <v>1980</v>
      </c>
      <c r="B137" s="84">
        <v>708.22</v>
      </c>
      <c r="C137" s="88">
        <v>1990</v>
      </c>
      <c r="D137" s="85">
        <v>702.93299999999999</v>
      </c>
      <c r="E137" s="86">
        <v>1980</v>
      </c>
      <c r="F137" s="85">
        <v>1472.443</v>
      </c>
      <c r="G137" s="87">
        <v>1980</v>
      </c>
      <c r="H137" s="85">
        <v>1470.7190000000001</v>
      </c>
      <c r="I137" s="87">
        <v>1980</v>
      </c>
      <c r="J137" s="85">
        <v>1249.0530000000001</v>
      </c>
      <c r="K137" s="87">
        <v>1980</v>
      </c>
      <c r="L137" s="85">
        <v>1248.819</v>
      </c>
      <c r="M137" s="87">
        <v>1980</v>
      </c>
      <c r="N137" s="85">
        <v>1248.809</v>
      </c>
      <c r="O137" s="87">
        <v>1960</v>
      </c>
      <c r="P137" s="85">
        <v>1249.8820000000001</v>
      </c>
      <c r="Q137" s="87">
        <v>1980</v>
      </c>
      <c r="R137" s="85">
        <v>1249.473</v>
      </c>
      <c r="S137" s="87">
        <v>1980</v>
      </c>
      <c r="T137" s="85">
        <v>1249.8430000000001</v>
      </c>
      <c r="U137" s="87">
        <v>1970</v>
      </c>
      <c r="V137" s="85">
        <v>1248.085</v>
      </c>
      <c r="W137" s="87">
        <v>1980</v>
      </c>
      <c r="X137" s="85">
        <v>1247.9970000000001</v>
      </c>
      <c r="Y137" s="87">
        <v>1980</v>
      </c>
      <c r="Z137" s="85">
        <v>1246.691</v>
      </c>
      <c r="AA137" s="87">
        <v>1980</v>
      </c>
      <c r="AB137" s="85">
        <v>1246.001</v>
      </c>
      <c r="AC137" s="87">
        <v>1970</v>
      </c>
      <c r="AD137" s="85">
        <v>1170.404</v>
      </c>
      <c r="AE137" s="87">
        <v>1980</v>
      </c>
      <c r="AF137" s="85">
        <v>1171.3820000000001</v>
      </c>
      <c r="AG137" s="87">
        <v>1960</v>
      </c>
      <c r="AH137" s="85">
        <v>339.245</v>
      </c>
      <c r="AI137" s="87">
        <v>1960</v>
      </c>
      <c r="AJ137" s="85">
        <v>353.90499999999997</v>
      </c>
    </row>
    <row r="138" spans="1:36" ht="14.25" customHeight="1">
      <c r="A138" s="88">
        <v>1990</v>
      </c>
      <c r="B138" s="84">
        <v>707.45600000000002</v>
      </c>
      <c r="C138" s="88">
        <v>2000</v>
      </c>
      <c r="D138" s="85">
        <v>702.17600000000004</v>
      </c>
      <c r="E138" s="86">
        <v>1990</v>
      </c>
      <c r="F138" s="85">
        <v>1470.998</v>
      </c>
      <c r="G138" s="87">
        <v>1990</v>
      </c>
      <c r="H138" s="85">
        <v>1469.279</v>
      </c>
      <c r="I138" s="87">
        <v>1990</v>
      </c>
      <c r="J138" s="85">
        <v>1247.8900000000001</v>
      </c>
      <c r="K138" s="87">
        <v>1990</v>
      </c>
      <c r="L138" s="85">
        <v>1247.6569999999999</v>
      </c>
      <c r="M138" s="87">
        <v>1990</v>
      </c>
      <c r="N138" s="85">
        <v>1247.646</v>
      </c>
      <c r="O138" s="87">
        <v>1970</v>
      </c>
      <c r="P138" s="85">
        <v>1248.72</v>
      </c>
      <c r="Q138" s="87">
        <v>1990</v>
      </c>
      <c r="R138" s="85">
        <v>1248.3109999999999</v>
      </c>
      <c r="S138" s="87">
        <v>1990</v>
      </c>
      <c r="T138" s="85">
        <v>1248.682</v>
      </c>
      <c r="U138" s="87">
        <v>1980</v>
      </c>
      <c r="V138" s="85">
        <v>1246.9269999999999</v>
      </c>
      <c r="W138" s="87">
        <v>1990</v>
      </c>
      <c r="X138" s="85">
        <v>1246.838</v>
      </c>
      <c r="Y138" s="87">
        <v>1990</v>
      </c>
      <c r="Z138" s="85">
        <v>1245.5309999999999</v>
      </c>
      <c r="AA138" s="87">
        <v>1990</v>
      </c>
      <c r="AB138" s="85">
        <v>1244.8430000000001</v>
      </c>
      <c r="AC138" s="87">
        <v>1980</v>
      </c>
      <c r="AD138" s="85">
        <v>1169.2439999999999</v>
      </c>
      <c r="AE138" s="87">
        <v>1990</v>
      </c>
      <c r="AF138" s="85">
        <v>1170.2239999999999</v>
      </c>
      <c r="AG138" s="87">
        <v>1970</v>
      </c>
      <c r="AH138" s="85">
        <v>338.86799999999999</v>
      </c>
      <c r="AI138" s="87">
        <v>1970</v>
      </c>
      <c r="AJ138" s="85">
        <v>353.51400000000001</v>
      </c>
    </row>
    <row r="139" spans="1:36" ht="14.25" customHeight="1">
      <c r="A139" s="88">
        <v>2000</v>
      </c>
      <c r="B139" s="84">
        <v>706.69200000000001</v>
      </c>
      <c r="C139" s="88">
        <v>2010</v>
      </c>
      <c r="D139" s="85">
        <v>701.41800000000001</v>
      </c>
      <c r="E139" s="86">
        <v>2000</v>
      </c>
      <c r="F139" s="85">
        <v>1469.5519999999999</v>
      </c>
      <c r="G139" s="87">
        <v>2000</v>
      </c>
      <c r="H139" s="85">
        <v>1467.837</v>
      </c>
      <c r="I139" s="87">
        <v>2000</v>
      </c>
      <c r="J139" s="85">
        <v>1246.7260000000001</v>
      </c>
      <c r="K139" s="87">
        <v>2000</v>
      </c>
      <c r="L139" s="85">
        <v>1246.4939999999999</v>
      </c>
      <c r="M139" s="87">
        <v>2000</v>
      </c>
      <c r="N139" s="85">
        <v>1246.4839999999999</v>
      </c>
      <c r="O139" s="87">
        <v>1980</v>
      </c>
      <c r="P139" s="85">
        <v>1247.558</v>
      </c>
      <c r="Q139" s="87">
        <v>2000</v>
      </c>
      <c r="R139" s="85">
        <v>1247.1489999999999</v>
      </c>
      <c r="S139" s="87">
        <v>2000</v>
      </c>
      <c r="T139" s="85">
        <v>1247.52</v>
      </c>
      <c r="U139" s="87">
        <v>1990</v>
      </c>
      <c r="V139" s="85">
        <v>1245.768</v>
      </c>
      <c r="W139" s="87">
        <v>2000</v>
      </c>
      <c r="X139" s="85">
        <v>1245.6790000000001</v>
      </c>
      <c r="Y139" s="87">
        <v>2000</v>
      </c>
      <c r="Z139" s="85">
        <v>1244.3699999999999</v>
      </c>
      <c r="AA139" s="87">
        <v>2000</v>
      </c>
      <c r="AB139" s="85">
        <v>1243.6849999999999</v>
      </c>
      <c r="AC139" s="87">
        <v>1990</v>
      </c>
      <c r="AD139" s="85">
        <v>1168.0840000000001</v>
      </c>
      <c r="AE139" s="87">
        <v>2000</v>
      </c>
      <c r="AF139" s="85">
        <v>1169.0650000000001</v>
      </c>
      <c r="AG139" s="87">
        <v>1980</v>
      </c>
      <c r="AH139" s="85">
        <v>338.49099999999999</v>
      </c>
      <c r="AI139" s="87">
        <v>1980</v>
      </c>
      <c r="AJ139" s="85">
        <v>353.12299999999999</v>
      </c>
    </row>
    <row r="140" spans="1:36" ht="14.25" customHeight="1">
      <c r="A140" s="88">
        <v>2010</v>
      </c>
      <c r="B140" s="84">
        <v>705.92700000000002</v>
      </c>
      <c r="C140" s="88">
        <v>2020</v>
      </c>
      <c r="D140" s="85">
        <v>700.66099999999994</v>
      </c>
      <c r="E140" s="86">
        <v>2010</v>
      </c>
      <c r="F140" s="85">
        <v>1468.106</v>
      </c>
      <c r="G140" s="87">
        <v>2010</v>
      </c>
      <c r="H140" s="85">
        <v>1466.396</v>
      </c>
      <c r="I140" s="87">
        <v>2010</v>
      </c>
      <c r="J140" s="85">
        <v>1245.5630000000001</v>
      </c>
      <c r="K140" s="87">
        <v>2010</v>
      </c>
      <c r="L140" s="85">
        <v>1245.3309999999999</v>
      </c>
      <c r="M140" s="87">
        <v>2010</v>
      </c>
      <c r="N140" s="85">
        <v>1245.32</v>
      </c>
      <c r="O140" s="87">
        <v>1990</v>
      </c>
      <c r="P140" s="85">
        <v>1246.395</v>
      </c>
      <c r="Q140" s="87">
        <v>2010</v>
      </c>
      <c r="R140" s="85">
        <v>1245.9860000000001</v>
      </c>
      <c r="S140" s="87">
        <v>2010</v>
      </c>
      <c r="T140" s="85">
        <v>1246.3589999999999</v>
      </c>
      <c r="U140" s="87">
        <v>2000</v>
      </c>
      <c r="V140" s="85">
        <v>1244.6079999999999</v>
      </c>
      <c r="W140" s="87">
        <v>2010</v>
      </c>
      <c r="X140" s="85">
        <v>1244.519</v>
      </c>
      <c r="Y140" s="87">
        <v>2010</v>
      </c>
      <c r="Z140" s="85">
        <v>1243.2090000000001</v>
      </c>
      <c r="AA140" s="87">
        <v>2010</v>
      </c>
      <c r="AB140" s="85">
        <v>1242.527</v>
      </c>
      <c r="AC140" s="87">
        <v>2000</v>
      </c>
      <c r="AD140" s="85">
        <v>1166.924</v>
      </c>
      <c r="AE140" s="87">
        <v>2010</v>
      </c>
      <c r="AF140" s="85">
        <v>1167.9069999999999</v>
      </c>
      <c r="AG140" s="87">
        <v>1990</v>
      </c>
      <c r="AH140" s="85">
        <v>338.11399999999998</v>
      </c>
      <c r="AI140" s="87">
        <v>1990</v>
      </c>
      <c r="AJ140" s="85">
        <v>352.73200000000003</v>
      </c>
    </row>
    <row r="141" spans="1:36" ht="14.25" customHeight="1">
      <c r="A141" s="88">
        <v>2020</v>
      </c>
      <c r="B141" s="84">
        <v>705.16300000000001</v>
      </c>
      <c r="C141" s="88">
        <v>2030</v>
      </c>
      <c r="D141" s="85">
        <v>699.90300000000002</v>
      </c>
      <c r="E141" s="86">
        <v>2020</v>
      </c>
      <c r="F141" s="85">
        <v>1466.66</v>
      </c>
      <c r="G141" s="87">
        <v>2020</v>
      </c>
      <c r="H141" s="85">
        <v>1464.9549999999999</v>
      </c>
      <c r="I141" s="87">
        <v>2020</v>
      </c>
      <c r="J141" s="85">
        <v>1244.3989999999999</v>
      </c>
      <c r="K141" s="87">
        <v>2020</v>
      </c>
      <c r="L141" s="85">
        <v>1244.1679999999999</v>
      </c>
      <c r="M141" s="87">
        <v>2020</v>
      </c>
      <c r="N141" s="85">
        <v>1244.1569999999999</v>
      </c>
      <c r="O141" s="87">
        <v>2000</v>
      </c>
      <c r="P141" s="85">
        <v>1245.2329999999999</v>
      </c>
      <c r="Q141" s="87">
        <v>2020</v>
      </c>
      <c r="R141" s="85">
        <v>1244.8240000000001</v>
      </c>
      <c r="S141" s="87">
        <v>2020</v>
      </c>
      <c r="T141" s="85">
        <v>1245.1969999999999</v>
      </c>
      <c r="U141" s="87">
        <v>2010</v>
      </c>
      <c r="V141" s="85">
        <v>1243.4490000000001</v>
      </c>
      <c r="W141" s="87">
        <v>2020</v>
      </c>
      <c r="X141" s="85">
        <v>1243.3589999999999</v>
      </c>
      <c r="Y141" s="87">
        <v>2020</v>
      </c>
      <c r="Z141" s="85">
        <v>1242.048</v>
      </c>
      <c r="AA141" s="87">
        <v>2020</v>
      </c>
      <c r="AB141" s="85">
        <v>1241.3679999999999</v>
      </c>
      <c r="AC141" s="87">
        <v>2010</v>
      </c>
      <c r="AD141" s="85">
        <v>1165.7629999999999</v>
      </c>
      <c r="AE141" s="87">
        <v>2020</v>
      </c>
      <c r="AF141" s="85">
        <v>1166.748</v>
      </c>
      <c r="AG141" s="87">
        <v>2000</v>
      </c>
      <c r="AH141" s="85">
        <v>337.73599999999999</v>
      </c>
      <c r="AI141" s="87">
        <v>2000</v>
      </c>
      <c r="AJ141" s="85">
        <v>352.34</v>
      </c>
    </row>
    <row r="142" spans="1:36" ht="14.25" customHeight="1">
      <c r="A142" s="88">
        <v>2030</v>
      </c>
      <c r="B142" s="84">
        <v>704.39800000000002</v>
      </c>
      <c r="C142" s="88">
        <v>2040</v>
      </c>
      <c r="D142" s="85">
        <v>699.14599999999996</v>
      </c>
      <c r="E142" s="86">
        <v>2030</v>
      </c>
      <c r="F142" s="85">
        <v>1465.2139999999999</v>
      </c>
      <c r="G142" s="87">
        <v>2030</v>
      </c>
      <c r="H142" s="85">
        <v>1463.5129999999999</v>
      </c>
      <c r="I142" s="87">
        <v>2030</v>
      </c>
      <c r="J142" s="85">
        <v>1243.2349999999999</v>
      </c>
      <c r="K142" s="87">
        <v>2030</v>
      </c>
      <c r="L142" s="85">
        <v>1243.0050000000001</v>
      </c>
      <c r="M142" s="87">
        <v>2030</v>
      </c>
      <c r="N142" s="85">
        <v>1242.9939999999999</v>
      </c>
      <c r="O142" s="87">
        <v>2010</v>
      </c>
      <c r="P142" s="85">
        <v>1244.07</v>
      </c>
      <c r="Q142" s="87">
        <v>2030</v>
      </c>
      <c r="R142" s="85">
        <v>1243.6610000000001</v>
      </c>
      <c r="S142" s="87">
        <v>2030</v>
      </c>
      <c r="T142" s="85">
        <v>1244.0350000000001</v>
      </c>
      <c r="U142" s="87">
        <v>2020</v>
      </c>
      <c r="V142" s="85">
        <v>1242.289</v>
      </c>
      <c r="W142" s="87">
        <v>2030</v>
      </c>
      <c r="X142" s="85">
        <v>1242.1990000000001</v>
      </c>
      <c r="Y142" s="87">
        <v>2030</v>
      </c>
      <c r="Z142" s="85">
        <v>1240.8869999999999</v>
      </c>
      <c r="AA142" s="87">
        <v>2030</v>
      </c>
      <c r="AB142" s="85">
        <v>1240.21</v>
      </c>
      <c r="AC142" s="87">
        <v>2020</v>
      </c>
      <c r="AD142" s="85">
        <v>1164.6030000000001</v>
      </c>
      <c r="AE142" s="87">
        <v>2030</v>
      </c>
      <c r="AF142" s="85">
        <v>1165.5889999999999</v>
      </c>
      <c r="AG142" s="87">
        <v>2010</v>
      </c>
      <c r="AH142" s="85">
        <v>337.35899999999998</v>
      </c>
      <c r="AI142" s="87">
        <v>2010</v>
      </c>
      <c r="AJ142" s="85">
        <v>351.94900000000001</v>
      </c>
    </row>
    <row r="143" spans="1:36" ht="14.25" customHeight="1">
      <c r="A143" s="88">
        <v>2040</v>
      </c>
      <c r="B143" s="84">
        <v>703.63300000000004</v>
      </c>
      <c r="C143" s="88">
        <v>2050</v>
      </c>
      <c r="D143" s="85">
        <v>698.38699999999994</v>
      </c>
      <c r="E143" s="86">
        <v>2040</v>
      </c>
      <c r="F143" s="85">
        <v>1463.7670000000001</v>
      </c>
      <c r="G143" s="87">
        <v>2040</v>
      </c>
      <c r="H143" s="85">
        <v>1462.07</v>
      </c>
      <c r="I143" s="87">
        <v>2040</v>
      </c>
      <c r="J143" s="85">
        <v>1242.0709999999999</v>
      </c>
      <c r="K143" s="87">
        <v>2040</v>
      </c>
      <c r="L143" s="85">
        <v>1241.8409999999999</v>
      </c>
      <c r="M143" s="87">
        <v>2040</v>
      </c>
      <c r="N143" s="85">
        <v>1241.83</v>
      </c>
      <c r="O143" s="87">
        <v>2020</v>
      </c>
      <c r="P143" s="85">
        <v>1242.9059999999999</v>
      </c>
      <c r="Q143" s="87">
        <v>2040</v>
      </c>
      <c r="R143" s="85">
        <v>1242.4970000000001</v>
      </c>
      <c r="S143" s="87">
        <v>2040</v>
      </c>
      <c r="T143" s="85">
        <v>1242.8720000000001</v>
      </c>
      <c r="U143" s="87">
        <v>2030</v>
      </c>
      <c r="V143" s="85">
        <v>1241.1289999999999</v>
      </c>
      <c r="W143" s="87">
        <v>2040</v>
      </c>
      <c r="X143" s="85">
        <v>1241.038</v>
      </c>
      <c r="Y143" s="87">
        <v>2040</v>
      </c>
      <c r="Z143" s="85">
        <v>1239.7249999999999</v>
      </c>
      <c r="AA143" s="87">
        <v>2040</v>
      </c>
      <c r="AB143" s="85">
        <v>1239.0509999999999</v>
      </c>
      <c r="AC143" s="87">
        <v>2030</v>
      </c>
      <c r="AD143" s="85">
        <v>1163.442</v>
      </c>
      <c r="AE143" s="87">
        <v>2040</v>
      </c>
      <c r="AF143" s="85">
        <v>1164.4290000000001</v>
      </c>
      <c r="AG143" s="87">
        <v>2020</v>
      </c>
      <c r="AH143" s="85">
        <v>336.98099999999999</v>
      </c>
      <c r="AI143" s="87">
        <v>2020</v>
      </c>
      <c r="AJ143" s="85">
        <v>351.55799999999999</v>
      </c>
    </row>
    <row r="144" spans="1:36" ht="14.25" customHeight="1">
      <c r="A144" s="88">
        <v>2050</v>
      </c>
      <c r="B144" s="84">
        <v>702.86699999999996</v>
      </c>
      <c r="C144" s="88">
        <v>2060</v>
      </c>
      <c r="D144" s="85">
        <v>697.62900000000002</v>
      </c>
      <c r="E144" s="86">
        <v>2050</v>
      </c>
      <c r="F144" s="85">
        <v>1462.3209999999999</v>
      </c>
      <c r="G144" s="87">
        <v>2050</v>
      </c>
      <c r="H144" s="85">
        <v>1460.6279999999999</v>
      </c>
      <c r="I144" s="87">
        <v>2050</v>
      </c>
      <c r="J144" s="85">
        <v>1240.9059999999999</v>
      </c>
      <c r="K144" s="87">
        <v>2050</v>
      </c>
      <c r="L144" s="85">
        <v>1240.6769999999999</v>
      </c>
      <c r="M144" s="87">
        <v>2050</v>
      </c>
      <c r="N144" s="85">
        <v>1240.6659999999999</v>
      </c>
      <c r="O144" s="87">
        <v>2030</v>
      </c>
      <c r="P144" s="85">
        <v>1241.7429999999999</v>
      </c>
      <c r="Q144" s="87">
        <v>2050</v>
      </c>
      <c r="R144" s="85">
        <v>1241.3340000000001</v>
      </c>
      <c r="S144" s="87">
        <v>2050</v>
      </c>
      <c r="T144" s="85">
        <v>1241.71</v>
      </c>
      <c r="U144" s="87">
        <v>2040</v>
      </c>
      <c r="V144" s="85">
        <v>1239.9680000000001</v>
      </c>
      <c r="W144" s="87">
        <v>2050</v>
      </c>
      <c r="X144" s="85">
        <v>1239.8779999999999</v>
      </c>
      <c r="Y144" s="87">
        <v>2050</v>
      </c>
      <c r="Z144" s="85">
        <v>1238.5640000000001</v>
      </c>
      <c r="AA144" s="87">
        <v>2050</v>
      </c>
      <c r="AB144" s="85">
        <v>1237.8910000000001</v>
      </c>
      <c r="AC144" s="87">
        <v>2040</v>
      </c>
      <c r="AD144" s="85">
        <v>1162.28</v>
      </c>
      <c r="AE144" s="87">
        <v>2050</v>
      </c>
      <c r="AF144" s="85">
        <v>1163.27</v>
      </c>
      <c r="AG144" s="87">
        <v>2030</v>
      </c>
      <c r="AH144" s="85">
        <v>336.60399999999998</v>
      </c>
      <c r="AI144" s="87">
        <v>2030</v>
      </c>
      <c r="AJ144" s="85">
        <v>351.166</v>
      </c>
    </row>
    <row r="145" spans="1:36" ht="14.25" customHeight="1">
      <c r="A145" s="88">
        <v>2060</v>
      </c>
      <c r="B145" s="84">
        <v>702.10199999999998</v>
      </c>
      <c r="C145" s="88">
        <v>2070</v>
      </c>
      <c r="D145" s="85">
        <v>696.87099999999998</v>
      </c>
      <c r="E145" s="86">
        <v>2060</v>
      </c>
      <c r="F145" s="85">
        <v>1460.873</v>
      </c>
      <c r="G145" s="87">
        <v>2060</v>
      </c>
      <c r="H145" s="85">
        <v>1459.1849999999999</v>
      </c>
      <c r="I145" s="87">
        <v>2060</v>
      </c>
      <c r="J145" s="85">
        <v>1239.742</v>
      </c>
      <c r="K145" s="87">
        <v>2060</v>
      </c>
      <c r="L145" s="85">
        <v>1239.5129999999999</v>
      </c>
      <c r="M145" s="87">
        <v>2060</v>
      </c>
      <c r="N145" s="85">
        <v>1239.502</v>
      </c>
      <c r="O145" s="87">
        <v>2040</v>
      </c>
      <c r="P145" s="85">
        <v>1240.579</v>
      </c>
      <c r="Q145" s="87">
        <v>2060</v>
      </c>
      <c r="R145" s="85">
        <v>1240.17</v>
      </c>
      <c r="S145" s="87">
        <v>2060</v>
      </c>
      <c r="T145" s="85">
        <v>1240.547</v>
      </c>
      <c r="U145" s="87">
        <v>2050</v>
      </c>
      <c r="V145" s="85">
        <v>1238.808</v>
      </c>
      <c r="W145" s="87">
        <v>2060</v>
      </c>
      <c r="X145" s="85">
        <v>1238.7170000000001</v>
      </c>
      <c r="Y145" s="87">
        <v>2060</v>
      </c>
      <c r="Z145" s="85">
        <v>1237.402</v>
      </c>
      <c r="AA145" s="87">
        <v>2060</v>
      </c>
      <c r="AB145" s="85">
        <v>1236.732</v>
      </c>
      <c r="AC145" s="87">
        <v>2050</v>
      </c>
      <c r="AD145" s="85">
        <v>1161.1189999999999</v>
      </c>
      <c r="AE145" s="87">
        <v>2060</v>
      </c>
      <c r="AF145" s="85">
        <v>1162.1099999999999</v>
      </c>
      <c r="AG145" s="87">
        <v>2040</v>
      </c>
      <c r="AH145" s="85">
        <v>336.226</v>
      </c>
      <c r="AI145" s="87">
        <v>2040</v>
      </c>
      <c r="AJ145" s="85">
        <v>350.77499999999998</v>
      </c>
    </row>
    <row r="146" spans="1:36" ht="14.25" customHeight="1">
      <c r="A146" s="88">
        <v>2070</v>
      </c>
      <c r="B146" s="84">
        <v>701.33600000000001</v>
      </c>
      <c r="C146" s="88">
        <v>2080</v>
      </c>
      <c r="D146" s="85">
        <v>696.11199999999997</v>
      </c>
      <c r="E146" s="86">
        <v>2070</v>
      </c>
      <c r="F146" s="85">
        <v>1459.4259999999999</v>
      </c>
      <c r="G146" s="87">
        <v>2070</v>
      </c>
      <c r="H146" s="85">
        <v>1457.742</v>
      </c>
      <c r="I146" s="87">
        <v>2070</v>
      </c>
      <c r="J146" s="85">
        <v>1238.577</v>
      </c>
      <c r="K146" s="87">
        <v>2070</v>
      </c>
      <c r="L146" s="85">
        <v>1238.3489999999999</v>
      </c>
      <c r="M146" s="87">
        <v>2070</v>
      </c>
      <c r="N146" s="85">
        <v>1238.337</v>
      </c>
      <c r="O146" s="87">
        <v>2050</v>
      </c>
      <c r="P146" s="85">
        <v>1239.415</v>
      </c>
      <c r="Q146" s="87">
        <v>2070</v>
      </c>
      <c r="R146" s="85">
        <v>1239.0060000000001</v>
      </c>
      <c r="S146" s="87">
        <v>2070</v>
      </c>
      <c r="T146" s="85">
        <v>1239.384</v>
      </c>
      <c r="U146" s="87">
        <v>2060</v>
      </c>
      <c r="V146" s="85">
        <v>1237.6469999999999</v>
      </c>
      <c r="W146" s="87">
        <v>2070</v>
      </c>
      <c r="X146" s="85">
        <v>1237.556</v>
      </c>
      <c r="Y146" s="87">
        <v>2070</v>
      </c>
      <c r="Z146" s="85">
        <v>1236.239</v>
      </c>
      <c r="AA146" s="87">
        <v>2070</v>
      </c>
      <c r="AB146" s="85">
        <v>1235.5719999999999</v>
      </c>
      <c r="AC146" s="87">
        <v>2060</v>
      </c>
      <c r="AD146" s="85">
        <v>1159.9570000000001</v>
      </c>
      <c r="AE146" s="87">
        <v>2070</v>
      </c>
      <c r="AF146" s="85">
        <v>1160.95</v>
      </c>
      <c r="AG146" s="87">
        <v>2050</v>
      </c>
      <c r="AH146" s="85">
        <v>335.84800000000001</v>
      </c>
      <c r="AI146" s="87">
        <v>2050</v>
      </c>
      <c r="AJ146" s="85">
        <v>350.38299999999998</v>
      </c>
    </row>
    <row r="147" spans="1:36" ht="14.25" customHeight="1">
      <c r="A147" s="88">
        <v>2080</v>
      </c>
      <c r="B147" s="84">
        <v>700.57</v>
      </c>
      <c r="C147" s="88">
        <v>2090</v>
      </c>
      <c r="D147" s="85">
        <v>695.35299999999995</v>
      </c>
      <c r="E147" s="86">
        <v>2080</v>
      </c>
      <c r="F147" s="85">
        <v>1457.9780000000001</v>
      </c>
      <c r="G147" s="87">
        <v>2080</v>
      </c>
      <c r="H147" s="85">
        <v>1456.298</v>
      </c>
      <c r="I147" s="87">
        <v>2080</v>
      </c>
      <c r="J147" s="85">
        <v>1237.412</v>
      </c>
      <c r="K147" s="87">
        <v>2080</v>
      </c>
      <c r="L147" s="85">
        <v>1237.184</v>
      </c>
      <c r="M147" s="87">
        <v>2080</v>
      </c>
      <c r="N147" s="85">
        <v>1237.172</v>
      </c>
      <c r="O147" s="87">
        <v>2060</v>
      </c>
      <c r="P147" s="85">
        <v>1238.251</v>
      </c>
      <c r="Q147" s="87">
        <v>2080</v>
      </c>
      <c r="R147" s="85">
        <v>1237.8420000000001</v>
      </c>
      <c r="S147" s="87">
        <v>2080</v>
      </c>
      <c r="T147" s="85">
        <v>1238.221</v>
      </c>
      <c r="U147" s="87">
        <v>2070</v>
      </c>
      <c r="V147" s="85">
        <v>1236.4860000000001</v>
      </c>
      <c r="W147" s="87">
        <v>2080</v>
      </c>
      <c r="X147" s="85">
        <v>1236.394</v>
      </c>
      <c r="Y147" s="87">
        <v>2080</v>
      </c>
      <c r="Z147" s="85">
        <v>1235.077</v>
      </c>
      <c r="AA147" s="87">
        <v>2080</v>
      </c>
      <c r="AB147" s="85">
        <v>1234.412</v>
      </c>
      <c r="AC147" s="87">
        <v>2070</v>
      </c>
      <c r="AD147" s="85">
        <v>1158.7950000000001</v>
      </c>
      <c r="AE147" s="87">
        <v>2080</v>
      </c>
      <c r="AF147" s="85">
        <v>1159.79</v>
      </c>
      <c r="AG147" s="87">
        <v>2060</v>
      </c>
      <c r="AH147" s="85">
        <v>335.47</v>
      </c>
      <c r="AI147" s="87">
        <v>2060</v>
      </c>
      <c r="AJ147" s="85">
        <v>349.99099999999999</v>
      </c>
    </row>
    <row r="148" spans="1:36" ht="14.25" customHeight="1">
      <c r="A148" s="88">
        <v>2090</v>
      </c>
      <c r="B148" s="84">
        <v>699.80399999999997</v>
      </c>
      <c r="C148" s="88">
        <v>2100</v>
      </c>
      <c r="D148" s="85">
        <v>694.59400000000005</v>
      </c>
      <c r="E148" s="86">
        <v>2090</v>
      </c>
      <c r="F148" s="85">
        <v>1456.53</v>
      </c>
      <c r="G148" s="87">
        <v>2090</v>
      </c>
      <c r="H148" s="85">
        <v>1454.855</v>
      </c>
      <c r="I148" s="87">
        <v>2090</v>
      </c>
      <c r="J148" s="85">
        <v>1236.2460000000001</v>
      </c>
      <c r="K148" s="87">
        <v>2090</v>
      </c>
      <c r="L148" s="85">
        <v>1236.019</v>
      </c>
      <c r="M148" s="87">
        <v>2090</v>
      </c>
      <c r="N148" s="85">
        <v>1236.0070000000001</v>
      </c>
      <c r="O148" s="87">
        <v>2070</v>
      </c>
      <c r="P148" s="85">
        <v>1237.087</v>
      </c>
      <c r="Q148" s="87">
        <v>2090</v>
      </c>
      <c r="R148" s="85">
        <v>1236.6780000000001</v>
      </c>
      <c r="S148" s="87">
        <v>2090</v>
      </c>
      <c r="T148" s="85">
        <v>1237.057</v>
      </c>
      <c r="U148" s="87">
        <v>2080</v>
      </c>
      <c r="V148" s="85">
        <v>1235.325</v>
      </c>
      <c r="W148" s="87">
        <v>2090</v>
      </c>
      <c r="X148" s="85">
        <v>1235.2329999999999</v>
      </c>
      <c r="Y148" s="87">
        <v>2090</v>
      </c>
      <c r="Z148" s="85">
        <v>1233.914</v>
      </c>
      <c r="AA148" s="87">
        <v>2090</v>
      </c>
      <c r="AB148" s="85">
        <v>1233.252</v>
      </c>
      <c r="AC148" s="87">
        <v>2080</v>
      </c>
      <c r="AD148" s="85">
        <v>1157.633</v>
      </c>
      <c r="AE148" s="87">
        <v>2090</v>
      </c>
      <c r="AF148" s="85">
        <v>1158.6289999999999</v>
      </c>
      <c r="AG148" s="87">
        <v>2070</v>
      </c>
      <c r="AH148" s="85">
        <v>335.09199999999998</v>
      </c>
      <c r="AI148" s="87">
        <v>2070</v>
      </c>
      <c r="AJ148" s="85">
        <v>349.59899999999999</v>
      </c>
    </row>
    <row r="149" spans="1:36" ht="14.25" customHeight="1">
      <c r="A149" s="88">
        <v>2100</v>
      </c>
      <c r="B149" s="84">
        <v>699.03800000000001</v>
      </c>
      <c r="C149" s="88">
        <v>2110</v>
      </c>
      <c r="D149" s="85">
        <v>693.83500000000004</v>
      </c>
      <c r="E149" s="86">
        <v>2100</v>
      </c>
      <c r="F149" s="85">
        <v>1455.0820000000001</v>
      </c>
      <c r="G149" s="87">
        <v>2100</v>
      </c>
      <c r="H149" s="85">
        <v>1453.4110000000001</v>
      </c>
      <c r="I149" s="87">
        <v>2100</v>
      </c>
      <c r="J149" s="85">
        <v>1235.0809999999999</v>
      </c>
      <c r="K149" s="87">
        <v>2100</v>
      </c>
      <c r="L149" s="85">
        <v>1234.854</v>
      </c>
      <c r="M149" s="87">
        <v>2100</v>
      </c>
      <c r="N149" s="85">
        <v>1234.8420000000001</v>
      </c>
      <c r="O149" s="87">
        <v>2080</v>
      </c>
      <c r="P149" s="85">
        <v>1235.922</v>
      </c>
      <c r="Q149" s="87">
        <v>2100</v>
      </c>
      <c r="R149" s="85">
        <v>1235.5129999999999</v>
      </c>
      <c r="S149" s="87">
        <v>2100</v>
      </c>
      <c r="T149" s="85">
        <v>1235.893</v>
      </c>
      <c r="U149" s="87">
        <v>2090</v>
      </c>
      <c r="V149" s="85">
        <v>1234.163</v>
      </c>
      <c r="W149" s="87">
        <v>2100</v>
      </c>
      <c r="X149" s="85">
        <v>1234.0709999999999</v>
      </c>
      <c r="Y149" s="87">
        <v>2100</v>
      </c>
      <c r="Z149" s="85">
        <v>1232.751</v>
      </c>
      <c r="AA149" s="87">
        <v>2100</v>
      </c>
      <c r="AB149" s="85">
        <v>1232.0920000000001</v>
      </c>
      <c r="AC149" s="87">
        <v>2090</v>
      </c>
      <c r="AD149" s="85">
        <v>1156.47</v>
      </c>
      <c r="AE149" s="87">
        <v>2100</v>
      </c>
      <c r="AF149" s="85">
        <v>1157.4680000000001</v>
      </c>
      <c r="AG149" s="87">
        <v>2080</v>
      </c>
      <c r="AH149" s="85">
        <v>334.714</v>
      </c>
      <c r="AI149" s="87">
        <v>2080</v>
      </c>
      <c r="AJ149" s="85">
        <v>349.20699999999999</v>
      </c>
    </row>
    <row r="150" spans="1:36" ht="14.25" customHeight="1">
      <c r="A150" s="88">
        <v>2110</v>
      </c>
      <c r="B150" s="84">
        <v>698.27200000000005</v>
      </c>
      <c r="C150" s="88">
        <v>2120</v>
      </c>
      <c r="D150" s="85">
        <v>693.07500000000005</v>
      </c>
      <c r="E150" s="86">
        <v>2110</v>
      </c>
      <c r="F150" s="85">
        <v>1453.633</v>
      </c>
      <c r="G150" s="87">
        <v>2110</v>
      </c>
      <c r="H150" s="85">
        <v>1451.9659999999999</v>
      </c>
      <c r="I150" s="87">
        <v>2110</v>
      </c>
      <c r="J150" s="85">
        <v>1233.915</v>
      </c>
      <c r="K150" s="87">
        <v>2110</v>
      </c>
      <c r="L150" s="85">
        <v>1233.6890000000001</v>
      </c>
      <c r="M150" s="87">
        <v>2110</v>
      </c>
      <c r="N150" s="85">
        <v>1233.6769999999999</v>
      </c>
      <c r="O150" s="87">
        <v>2090</v>
      </c>
      <c r="P150" s="85">
        <v>1234.7570000000001</v>
      </c>
      <c r="Q150" s="87">
        <v>2110</v>
      </c>
      <c r="R150" s="85">
        <v>1234.348</v>
      </c>
      <c r="S150" s="87">
        <v>2110</v>
      </c>
      <c r="T150" s="85">
        <v>1234.729</v>
      </c>
      <c r="U150" s="87">
        <v>2100</v>
      </c>
      <c r="V150" s="85">
        <v>1233.002</v>
      </c>
      <c r="W150" s="87">
        <v>2110</v>
      </c>
      <c r="X150" s="85">
        <v>1232.9079999999999</v>
      </c>
      <c r="Y150" s="87">
        <v>2110</v>
      </c>
      <c r="Z150" s="85">
        <v>1231.588</v>
      </c>
      <c r="AA150" s="87">
        <v>2110</v>
      </c>
      <c r="AB150" s="85">
        <v>1230.931</v>
      </c>
      <c r="AC150" s="87">
        <v>2100</v>
      </c>
      <c r="AD150" s="85">
        <v>1155.307</v>
      </c>
      <c r="AE150" s="87">
        <v>2110</v>
      </c>
      <c r="AF150" s="85">
        <v>1156.307</v>
      </c>
      <c r="AG150" s="87">
        <v>2090</v>
      </c>
      <c r="AH150" s="85">
        <v>334.33600000000001</v>
      </c>
      <c r="AI150" s="87">
        <v>2090</v>
      </c>
      <c r="AJ150" s="85">
        <v>348.815</v>
      </c>
    </row>
    <row r="151" spans="1:36" ht="14.25" customHeight="1">
      <c r="A151" s="88">
        <v>2120</v>
      </c>
      <c r="B151" s="84">
        <v>697.505</v>
      </c>
      <c r="C151" s="88">
        <v>2130</v>
      </c>
      <c r="D151" s="85">
        <v>692.31600000000003</v>
      </c>
      <c r="E151" s="86">
        <v>2120</v>
      </c>
      <c r="F151" s="85">
        <v>1452.184</v>
      </c>
      <c r="G151" s="87">
        <v>2120</v>
      </c>
      <c r="H151" s="85">
        <v>1450.5219999999999</v>
      </c>
      <c r="I151" s="87">
        <v>2120</v>
      </c>
      <c r="J151" s="85">
        <v>1232.749</v>
      </c>
      <c r="K151" s="87">
        <v>2120</v>
      </c>
      <c r="L151" s="85">
        <v>1232.5229999999999</v>
      </c>
      <c r="M151" s="87">
        <v>2120</v>
      </c>
      <c r="N151" s="85">
        <v>1232.511</v>
      </c>
      <c r="O151" s="87">
        <v>2100</v>
      </c>
      <c r="P151" s="85">
        <v>1233.5920000000001</v>
      </c>
      <c r="Q151" s="87">
        <v>2120</v>
      </c>
      <c r="R151" s="85">
        <v>1233.183</v>
      </c>
      <c r="S151" s="87">
        <v>2120</v>
      </c>
      <c r="T151" s="85">
        <v>1233.5650000000001</v>
      </c>
      <c r="U151" s="87">
        <v>2110</v>
      </c>
      <c r="V151" s="85">
        <v>1231.8389999999999</v>
      </c>
      <c r="W151" s="87">
        <v>2120</v>
      </c>
      <c r="X151" s="85">
        <v>1231.7460000000001</v>
      </c>
      <c r="Y151" s="87">
        <v>2120</v>
      </c>
      <c r="Z151" s="85">
        <v>1230.424</v>
      </c>
      <c r="AA151" s="87">
        <v>2120</v>
      </c>
      <c r="AB151" s="85">
        <v>1229.77</v>
      </c>
      <c r="AC151" s="87">
        <v>2110</v>
      </c>
      <c r="AD151" s="85">
        <v>1154.144</v>
      </c>
      <c r="AE151" s="87">
        <v>2120</v>
      </c>
      <c r="AF151" s="85">
        <v>1155.146</v>
      </c>
      <c r="AG151" s="87">
        <v>2100</v>
      </c>
      <c r="AH151" s="85">
        <v>333.95800000000003</v>
      </c>
      <c r="AI151" s="87">
        <v>2100</v>
      </c>
      <c r="AJ151" s="85">
        <v>348.423</v>
      </c>
    </row>
    <row r="152" spans="1:36" ht="14.25" customHeight="1">
      <c r="A152" s="88">
        <v>2130</v>
      </c>
      <c r="B152" s="84">
        <v>696.73800000000006</v>
      </c>
      <c r="C152" s="88">
        <v>2140</v>
      </c>
      <c r="D152" s="85">
        <v>691.55600000000004</v>
      </c>
      <c r="E152" s="86">
        <v>2130</v>
      </c>
      <c r="F152" s="85">
        <v>1450.7349999999999</v>
      </c>
      <c r="G152" s="87">
        <v>2130</v>
      </c>
      <c r="H152" s="85">
        <v>1449.077</v>
      </c>
      <c r="I152" s="87">
        <v>2130</v>
      </c>
      <c r="J152" s="85">
        <v>1231.5820000000001</v>
      </c>
      <c r="K152" s="87">
        <v>2130</v>
      </c>
      <c r="L152" s="85">
        <v>1231.357</v>
      </c>
      <c r="M152" s="87">
        <v>2130</v>
      </c>
      <c r="N152" s="85">
        <v>1231.345</v>
      </c>
      <c r="O152" s="87">
        <v>2110</v>
      </c>
      <c r="P152" s="85">
        <v>1232.4269999999999</v>
      </c>
      <c r="Q152" s="87">
        <v>2130</v>
      </c>
      <c r="R152" s="85">
        <v>1232.0170000000001</v>
      </c>
      <c r="S152" s="87">
        <v>2130</v>
      </c>
      <c r="T152" s="85">
        <v>1232.4000000000001</v>
      </c>
      <c r="U152" s="87">
        <v>2120</v>
      </c>
      <c r="V152" s="85">
        <v>1230.6769999999999</v>
      </c>
      <c r="W152" s="87">
        <v>2130</v>
      </c>
      <c r="X152" s="85">
        <v>1230.5830000000001</v>
      </c>
      <c r="Y152" s="87">
        <v>2130</v>
      </c>
      <c r="Z152" s="85">
        <v>1229.261</v>
      </c>
      <c r="AA152" s="87">
        <v>2130</v>
      </c>
      <c r="AB152" s="85">
        <v>1228.6089999999999</v>
      </c>
      <c r="AC152" s="87">
        <v>2120</v>
      </c>
      <c r="AD152" s="85">
        <v>1152.981</v>
      </c>
      <c r="AE152" s="87">
        <v>2130</v>
      </c>
      <c r="AF152" s="85">
        <v>1153.9839999999999</v>
      </c>
      <c r="AG152" s="87">
        <v>2110</v>
      </c>
      <c r="AH152" s="85">
        <v>333.57900000000001</v>
      </c>
      <c r="AI152" s="87">
        <v>2110</v>
      </c>
      <c r="AJ152" s="85">
        <v>348.03100000000001</v>
      </c>
    </row>
    <row r="153" spans="1:36" ht="14.25" customHeight="1">
      <c r="A153" s="88">
        <v>2140</v>
      </c>
      <c r="B153" s="84">
        <v>695.971</v>
      </c>
      <c r="C153" s="88">
        <v>2150</v>
      </c>
      <c r="D153" s="85">
        <v>690.79600000000005</v>
      </c>
      <c r="E153" s="86">
        <v>2140</v>
      </c>
      <c r="F153" s="85">
        <v>1449.2850000000001</v>
      </c>
      <c r="G153" s="87">
        <v>2140</v>
      </c>
      <c r="H153" s="85">
        <v>1447.6320000000001</v>
      </c>
      <c r="I153" s="87">
        <v>2140</v>
      </c>
      <c r="J153" s="85">
        <v>1230.4159999999999</v>
      </c>
      <c r="K153" s="87">
        <v>2140</v>
      </c>
      <c r="L153" s="85">
        <v>1230.191</v>
      </c>
      <c r="M153" s="87">
        <v>2140</v>
      </c>
      <c r="N153" s="85">
        <v>1230.1790000000001</v>
      </c>
      <c r="O153" s="87">
        <v>2120</v>
      </c>
      <c r="P153" s="85">
        <v>1231.261</v>
      </c>
      <c r="Q153" s="87">
        <v>2140</v>
      </c>
      <c r="R153" s="85">
        <v>1230.8520000000001</v>
      </c>
      <c r="S153" s="87">
        <v>2140</v>
      </c>
      <c r="T153" s="85">
        <v>1231.2360000000001</v>
      </c>
      <c r="U153" s="87">
        <v>2130</v>
      </c>
      <c r="V153" s="85">
        <v>1229.5150000000001</v>
      </c>
      <c r="W153" s="87">
        <v>2140</v>
      </c>
      <c r="X153" s="85">
        <v>1229.42</v>
      </c>
      <c r="Y153" s="87">
        <v>2140</v>
      </c>
      <c r="Z153" s="85">
        <v>1228.097</v>
      </c>
      <c r="AA153" s="87">
        <v>2140</v>
      </c>
      <c r="AB153" s="85">
        <v>1227.4480000000001</v>
      </c>
      <c r="AC153" s="87">
        <v>2130</v>
      </c>
      <c r="AD153" s="85">
        <v>1151.818</v>
      </c>
      <c r="AE153" s="87">
        <v>2140</v>
      </c>
      <c r="AF153" s="85">
        <v>1152.8230000000001</v>
      </c>
      <c r="AG153" s="87">
        <v>2120</v>
      </c>
      <c r="AH153" s="85">
        <v>333.20100000000002</v>
      </c>
      <c r="AI153" s="87">
        <v>2120</v>
      </c>
      <c r="AJ153" s="85">
        <v>347.63799999999998</v>
      </c>
    </row>
    <row r="154" spans="1:36" ht="14.25" customHeight="1">
      <c r="A154" s="88">
        <v>2150</v>
      </c>
      <c r="B154" s="84">
        <v>695.20399999999995</v>
      </c>
      <c r="C154" s="88">
        <v>2160</v>
      </c>
      <c r="D154" s="85">
        <v>690.03599999999994</v>
      </c>
      <c r="E154" s="86">
        <v>2150</v>
      </c>
      <c r="F154" s="85">
        <v>1447.836</v>
      </c>
      <c r="G154" s="87">
        <v>2150</v>
      </c>
      <c r="H154" s="85">
        <v>1446.1859999999999</v>
      </c>
      <c r="I154" s="87">
        <v>2150</v>
      </c>
      <c r="J154" s="85">
        <v>1229.249</v>
      </c>
      <c r="K154" s="87">
        <v>2150</v>
      </c>
      <c r="L154" s="85">
        <v>1229.0250000000001</v>
      </c>
      <c r="M154" s="87">
        <v>2150</v>
      </c>
      <c r="N154" s="85">
        <v>1229.0119999999999</v>
      </c>
      <c r="O154" s="87">
        <v>2130</v>
      </c>
      <c r="P154" s="85">
        <v>1230.095</v>
      </c>
      <c r="Q154" s="87">
        <v>2150</v>
      </c>
      <c r="R154" s="85">
        <v>1229.6859999999999</v>
      </c>
      <c r="S154" s="87">
        <v>2150</v>
      </c>
      <c r="T154" s="85">
        <v>1230.0709999999999</v>
      </c>
      <c r="U154" s="87">
        <v>2140</v>
      </c>
      <c r="V154" s="85">
        <v>1228.3520000000001</v>
      </c>
      <c r="W154" s="87">
        <v>2150</v>
      </c>
      <c r="X154" s="85">
        <v>1228.2570000000001</v>
      </c>
      <c r="Y154" s="87">
        <v>2150</v>
      </c>
      <c r="Z154" s="85">
        <v>1226.932</v>
      </c>
      <c r="AA154" s="87">
        <v>2150</v>
      </c>
      <c r="AB154" s="85">
        <v>1226.2860000000001</v>
      </c>
      <c r="AC154" s="87">
        <v>2140</v>
      </c>
      <c r="AD154" s="85">
        <v>1150.654</v>
      </c>
      <c r="AE154" s="87">
        <v>2150</v>
      </c>
      <c r="AF154" s="85">
        <v>1151.6610000000001</v>
      </c>
      <c r="AG154" s="87">
        <v>2130</v>
      </c>
      <c r="AH154" s="85">
        <v>332.822</v>
      </c>
      <c r="AI154" s="87">
        <v>2130</v>
      </c>
      <c r="AJ154" s="85">
        <v>347.24599999999998</v>
      </c>
    </row>
    <row r="155" spans="1:36" ht="14.25" customHeight="1">
      <c r="A155" s="88">
        <v>2160</v>
      </c>
      <c r="B155" s="84">
        <v>694.43600000000004</v>
      </c>
      <c r="C155" s="88">
        <v>2170</v>
      </c>
      <c r="D155" s="85">
        <v>689.27499999999998</v>
      </c>
      <c r="E155" s="86">
        <v>2160</v>
      </c>
      <c r="F155" s="85">
        <v>1446.385</v>
      </c>
      <c r="G155" s="87">
        <v>2160</v>
      </c>
      <c r="H155" s="85">
        <v>1444.74</v>
      </c>
      <c r="I155" s="87">
        <v>2160</v>
      </c>
      <c r="J155" s="85">
        <v>1228.0820000000001</v>
      </c>
      <c r="K155" s="87">
        <v>2160</v>
      </c>
      <c r="L155" s="85">
        <v>1227.8589999999999</v>
      </c>
      <c r="M155" s="87">
        <v>2160</v>
      </c>
      <c r="N155" s="85">
        <v>1227.846</v>
      </c>
      <c r="O155" s="87">
        <v>2140</v>
      </c>
      <c r="P155" s="85">
        <v>1228.9290000000001</v>
      </c>
      <c r="Q155" s="87">
        <v>2160</v>
      </c>
      <c r="R155" s="85">
        <v>1228.52</v>
      </c>
      <c r="S155" s="87">
        <v>2160</v>
      </c>
      <c r="T155" s="85">
        <v>1228.905</v>
      </c>
      <c r="U155" s="87">
        <v>2150</v>
      </c>
      <c r="V155" s="85">
        <v>1227.1890000000001</v>
      </c>
      <c r="W155" s="87">
        <v>2160</v>
      </c>
      <c r="X155" s="85">
        <v>1227.0940000000001</v>
      </c>
      <c r="Y155" s="87">
        <v>2160</v>
      </c>
      <c r="Z155" s="85">
        <v>1225.768</v>
      </c>
      <c r="AA155" s="87">
        <v>2160</v>
      </c>
      <c r="AB155" s="85">
        <v>1225.124</v>
      </c>
      <c r="AC155" s="87">
        <v>2150</v>
      </c>
      <c r="AD155" s="85">
        <v>1149.49</v>
      </c>
      <c r="AE155" s="87">
        <v>2160</v>
      </c>
      <c r="AF155" s="85">
        <v>1150.498</v>
      </c>
      <c r="AG155" s="87">
        <v>2140</v>
      </c>
      <c r="AH155" s="85">
        <v>332.44400000000002</v>
      </c>
      <c r="AI155" s="87">
        <v>2140</v>
      </c>
      <c r="AJ155" s="85">
        <v>346.85300000000001</v>
      </c>
    </row>
    <row r="156" spans="1:36" ht="14.25" customHeight="1">
      <c r="A156" s="88">
        <v>2170</v>
      </c>
      <c r="B156" s="84">
        <v>693.66899999999998</v>
      </c>
      <c r="C156" s="88">
        <v>2180</v>
      </c>
      <c r="D156" s="85">
        <v>688.51400000000001</v>
      </c>
      <c r="E156" s="86">
        <v>2170</v>
      </c>
      <c r="F156" s="85">
        <v>1444.9349999999999</v>
      </c>
      <c r="G156" s="87">
        <v>2170</v>
      </c>
      <c r="H156" s="85">
        <v>1443.2940000000001</v>
      </c>
      <c r="I156" s="87">
        <v>2170</v>
      </c>
      <c r="J156" s="85">
        <v>1226.915</v>
      </c>
      <c r="K156" s="87">
        <v>2170</v>
      </c>
      <c r="L156" s="85">
        <v>1226.692</v>
      </c>
      <c r="M156" s="87">
        <v>2170</v>
      </c>
      <c r="N156" s="85">
        <v>1226.6790000000001</v>
      </c>
      <c r="O156" s="87">
        <v>2150</v>
      </c>
      <c r="P156" s="85">
        <v>1227.7629999999999</v>
      </c>
      <c r="Q156" s="87">
        <v>2170</v>
      </c>
      <c r="R156" s="85">
        <v>1227.3530000000001</v>
      </c>
      <c r="S156" s="87">
        <v>2170</v>
      </c>
      <c r="T156" s="85">
        <v>1227.74</v>
      </c>
      <c r="U156" s="87">
        <v>2160</v>
      </c>
      <c r="V156" s="85">
        <v>1226.0260000000001</v>
      </c>
      <c r="W156" s="87">
        <v>2170</v>
      </c>
      <c r="X156" s="85">
        <v>1225.93</v>
      </c>
      <c r="Y156" s="87">
        <v>2170</v>
      </c>
      <c r="Z156" s="85">
        <v>1224.6030000000001</v>
      </c>
      <c r="AA156" s="87">
        <v>2170</v>
      </c>
      <c r="AB156" s="85">
        <v>1223.962</v>
      </c>
      <c r="AC156" s="87">
        <v>2160</v>
      </c>
      <c r="AD156" s="85">
        <v>1148.326</v>
      </c>
      <c r="AE156" s="87">
        <v>2170</v>
      </c>
      <c r="AF156" s="85">
        <v>1149.336</v>
      </c>
      <c r="AG156" s="87">
        <v>2150</v>
      </c>
      <c r="AH156" s="85">
        <v>332.065</v>
      </c>
      <c r="AI156" s="87">
        <v>2150</v>
      </c>
      <c r="AJ156" s="85">
        <v>346.46100000000001</v>
      </c>
    </row>
    <row r="157" spans="1:36" ht="14.25" customHeight="1">
      <c r="A157" s="88">
        <v>2180</v>
      </c>
      <c r="B157" s="84">
        <v>692.90099999999995</v>
      </c>
      <c r="C157" s="88">
        <v>2190</v>
      </c>
      <c r="D157" s="85">
        <v>687.75400000000002</v>
      </c>
      <c r="E157" s="86">
        <v>2180</v>
      </c>
      <c r="F157" s="85">
        <v>1443.4839999999999</v>
      </c>
      <c r="G157" s="87">
        <v>2180</v>
      </c>
      <c r="H157" s="85">
        <v>1441.848</v>
      </c>
      <c r="I157" s="87">
        <v>2180</v>
      </c>
      <c r="J157" s="85">
        <v>1225.7470000000001</v>
      </c>
      <c r="K157" s="87">
        <v>2180</v>
      </c>
      <c r="L157" s="85">
        <v>1225.5250000000001</v>
      </c>
      <c r="M157" s="87">
        <v>2180</v>
      </c>
      <c r="N157" s="85">
        <v>1225.5119999999999</v>
      </c>
      <c r="O157" s="87">
        <v>2160</v>
      </c>
      <c r="P157" s="85">
        <v>1226.596</v>
      </c>
      <c r="Q157" s="87">
        <v>2180</v>
      </c>
      <c r="R157" s="85">
        <v>1226.1869999999999</v>
      </c>
      <c r="S157" s="87">
        <v>2180</v>
      </c>
      <c r="T157" s="85">
        <v>1226.5740000000001</v>
      </c>
      <c r="U157" s="87">
        <v>2170</v>
      </c>
      <c r="V157" s="85">
        <v>1224.8620000000001</v>
      </c>
      <c r="W157" s="87">
        <v>2180</v>
      </c>
      <c r="X157" s="85">
        <v>1224.7660000000001</v>
      </c>
      <c r="Y157" s="87">
        <v>2180</v>
      </c>
      <c r="Z157" s="85">
        <v>1223.4380000000001</v>
      </c>
      <c r="AA157" s="87">
        <v>2180</v>
      </c>
      <c r="AB157" s="85">
        <v>1222.8</v>
      </c>
      <c r="AC157" s="87">
        <v>2170</v>
      </c>
      <c r="AD157" s="85">
        <v>1147.162</v>
      </c>
      <c r="AE157" s="87">
        <v>2180</v>
      </c>
      <c r="AF157" s="85">
        <v>1148.173</v>
      </c>
      <c r="AG157" s="87">
        <v>2160</v>
      </c>
      <c r="AH157" s="85">
        <v>331.68599999999998</v>
      </c>
      <c r="AI157" s="87">
        <v>2160</v>
      </c>
      <c r="AJ157" s="85">
        <v>346.06799999999998</v>
      </c>
    </row>
    <row r="158" spans="1:36" ht="14.25" customHeight="1">
      <c r="A158" s="88">
        <v>2190</v>
      </c>
      <c r="B158" s="84">
        <v>692.13300000000004</v>
      </c>
      <c r="C158" s="88">
        <v>2200</v>
      </c>
      <c r="D158" s="85">
        <v>686.99300000000005</v>
      </c>
      <c r="E158" s="86">
        <v>2190</v>
      </c>
      <c r="F158" s="85">
        <v>1442.0329999999999</v>
      </c>
      <c r="G158" s="87">
        <v>2190</v>
      </c>
      <c r="H158" s="85">
        <v>1440.4010000000001</v>
      </c>
      <c r="I158" s="87">
        <v>2190</v>
      </c>
      <c r="J158" s="85">
        <v>1224.58</v>
      </c>
      <c r="K158" s="87">
        <v>2190</v>
      </c>
      <c r="L158" s="85">
        <v>1224.357</v>
      </c>
      <c r="M158" s="87">
        <v>2190</v>
      </c>
      <c r="N158" s="85">
        <v>1224.3440000000001</v>
      </c>
      <c r="O158" s="87">
        <v>2170</v>
      </c>
      <c r="P158" s="85">
        <v>1225.4290000000001</v>
      </c>
      <c r="Q158" s="87">
        <v>2190</v>
      </c>
      <c r="R158" s="85">
        <v>1225.02</v>
      </c>
      <c r="S158" s="87">
        <v>2190</v>
      </c>
      <c r="T158" s="85">
        <v>1225.4079999999999</v>
      </c>
      <c r="U158" s="87">
        <v>2180</v>
      </c>
      <c r="V158" s="85">
        <v>1223.6990000000001</v>
      </c>
      <c r="W158" s="87">
        <v>2190</v>
      </c>
      <c r="X158" s="85">
        <v>1223.6020000000001</v>
      </c>
      <c r="Y158" s="87">
        <v>2190</v>
      </c>
      <c r="Z158" s="85">
        <v>1222.2729999999999</v>
      </c>
      <c r="AA158" s="87">
        <v>2190</v>
      </c>
      <c r="AB158" s="85">
        <v>1221.6369999999999</v>
      </c>
      <c r="AC158" s="87">
        <v>2180</v>
      </c>
      <c r="AD158" s="85">
        <v>1145.9970000000001</v>
      </c>
      <c r="AE158" s="87">
        <v>2190</v>
      </c>
      <c r="AF158" s="85">
        <v>1147.01</v>
      </c>
      <c r="AG158" s="87">
        <v>2170</v>
      </c>
      <c r="AH158" s="85">
        <v>331.30700000000002</v>
      </c>
      <c r="AI158" s="87">
        <v>2170</v>
      </c>
      <c r="AJ158" s="85">
        <v>345.67500000000001</v>
      </c>
    </row>
    <row r="159" spans="1:36" ht="14.25" customHeight="1">
      <c r="A159" s="88">
        <v>2200</v>
      </c>
      <c r="B159" s="84">
        <v>691.36500000000001</v>
      </c>
      <c r="C159" s="88">
        <v>2210</v>
      </c>
      <c r="D159" s="85">
        <v>686.23099999999999</v>
      </c>
      <c r="E159" s="86">
        <v>2200</v>
      </c>
      <c r="F159" s="85">
        <v>1440.5820000000001</v>
      </c>
      <c r="G159" s="87">
        <v>2200</v>
      </c>
      <c r="H159" s="85">
        <v>1438.954</v>
      </c>
      <c r="I159" s="87">
        <v>2200</v>
      </c>
      <c r="J159" s="85">
        <v>1223.4110000000001</v>
      </c>
      <c r="K159" s="87">
        <v>2200</v>
      </c>
      <c r="L159" s="85">
        <v>1223.19</v>
      </c>
      <c r="M159" s="87">
        <v>2200</v>
      </c>
      <c r="N159" s="85">
        <v>1223.1769999999999</v>
      </c>
      <c r="O159" s="87">
        <v>2180</v>
      </c>
      <c r="P159" s="85">
        <v>1224.2619999999999</v>
      </c>
      <c r="Q159" s="87">
        <v>2200</v>
      </c>
      <c r="R159" s="85">
        <v>1223.8530000000001</v>
      </c>
      <c r="S159" s="87">
        <v>2200</v>
      </c>
      <c r="T159" s="85">
        <v>1224.242</v>
      </c>
      <c r="U159" s="87">
        <v>2190</v>
      </c>
      <c r="V159" s="85">
        <v>1222.5350000000001</v>
      </c>
      <c r="W159" s="87">
        <v>2200</v>
      </c>
      <c r="X159" s="85">
        <v>1222.4380000000001</v>
      </c>
      <c r="Y159" s="87">
        <v>2200</v>
      </c>
      <c r="Z159" s="85">
        <v>1221.1079999999999</v>
      </c>
      <c r="AA159" s="87">
        <v>2200</v>
      </c>
      <c r="AB159" s="85">
        <v>1220.4739999999999</v>
      </c>
      <c r="AC159" s="87">
        <v>2190</v>
      </c>
      <c r="AD159" s="85">
        <v>1144.8320000000001</v>
      </c>
      <c r="AE159" s="87">
        <v>2200</v>
      </c>
      <c r="AF159" s="85">
        <v>1145.847</v>
      </c>
      <c r="AG159" s="87">
        <v>2180</v>
      </c>
      <c r="AH159" s="85">
        <v>330.928</v>
      </c>
      <c r="AI159" s="87">
        <v>2180</v>
      </c>
      <c r="AJ159" s="85">
        <v>345.28199999999998</v>
      </c>
    </row>
    <row r="160" spans="1:36" ht="14.25" customHeight="1">
      <c r="A160" s="88">
        <v>2210</v>
      </c>
      <c r="B160" s="84">
        <v>690.59699999999998</v>
      </c>
      <c r="C160" s="88">
        <v>2220</v>
      </c>
      <c r="D160" s="85">
        <v>685.47</v>
      </c>
      <c r="E160" s="86">
        <v>2210</v>
      </c>
      <c r="F160" s="85">
        <v>1439.1310000000001</v>
      </c>
      <c r="G160" s="87">
        <v>2210</v>
      </c>
      <c r="H160" s="85">
        <v>1437.5070000000001</v>
      </c>
      <c r="I160" s="87">
        <v>2210</v>
      </c>
      <c r="J160" s="85">
        <v>1222.2429999999999</v>
      </c>
      <c r="K160" s="87">
        <v>2210</v>
      </c>
      <c r="L160" s="85">
        <v>1222.0219999999999</v>
      </c>
      <c r="M160" s="87">
        <v>2210</v>
      </c>
      <c r="N160" s="85">
        <v>1222.009</v>
      </c>
      <c r="O160" s="87">
        <v>2190</v>
      </c>
      <c r="P160" s="85">
        <v>1223.095</v>
      </c>
      <c r="Q160" s="87">
        <v>2210</v>
      </c>
      <c r="R160" s="85">
        <v>1222.6859999999999</v>
      </c>
      <c r="S160" s="87">
        <v>2210</v>
      </c>
      <c r="T160" s="85">
        <v>1223.075</v>
      </c>
      <c r="U160" s="87">
        <v>2200</v>
      </c>
      <c r="V160" s="85">
        <v>1221.3699999999999</v>
      </c>
      <c r="W160" s="87">
        <v>2210</v>
      </c>
      <c r="X160" s="85">
        <v>1221.2729999999999</v>
      </c>
      <c r="Y160" s="87">
        <v>2210</v>
      </c>
      <c r="Z160" s="85">
        <v>1219.942</v>
      </c>
      <c r="AA160" s="87">
        <v>2210</v>
      </c>
      <c r="AB160" s="85">
        <v>1219.3109999999999</v>
      </c>
      <c r="AC160" s="87">
        <v>2200</v>
      </c>
      <c r="AD160" s="85">
        <v>1143.6669999999999</v>
      </c>
      <c r="AE160" s="87">
        <v>2210</v>
      </c>
      <c r="AF160" s="85">
        <v>1144.684</v>
      </c>
      <c r="AG160" s="87">
        <v>2190</v>
      </c>
      <c r="AH160" s="85">
        <v>330.54899999999998</v>
      </c>
      <c r="AI160" s="87">
        <v>2190</v>
      </c>
      <c r="AJ160" s="85">
        <v>344.88900000000001</v>
      </c>
    </row>
    <row r="161" spans="1:36" ht="14.25" customHeight="1">
      <c r="A161" s="88">
        <v>2220</v>
      </c>
      <c r="B161" s="84">
        <v>689.82799999999997</v>
      </c>
      <c r="C161" s="88">
        <v>2230</v>
      </c>
      <c r="D161" s="85">
        <v>684.70799999999997</v>
      </c>
      <c r="E161" s="86">
        <v>2220</v>
      </c>
      <c r="F161" s="85">
        <v>1437.6790000000001</v>
      </c>
      <c r="G161" s="87">
        <v>2220</v>
      </c>
      <c r="H161" s="85">
        <v>1436.059</v>
      </c>
      <c r="I161" s="87">
        <v>2220</v>
      </c>
      <c r="J161" s="85">
        <v>1221.075</v>
      </c>
      <c r="K161" s="87">
        <v>2220</v>
      </c>
      <c r="L161" s="85">
        <v>1220.854</v>
      </c>
      <c r="M161" s="87">
        <v>2220</v>
      </c>
      <c r="N161" s="85">
        <v>1220.8409999999999</v>
      </c>
      <c r="O161" s="87">
        <v>2200</v>
      </c>
      <c r="P161" s="85">
        <v>1221.9269999999999</v>
      </c>
      <c r="Q161" s="87">
        <v>2220</v>
      </c>
      <c r="R161" s="85">
        <v>1221.518</v>
      </c>
      <c r="S161" s="87">
        <v>2220</v>
      </c>
      <c r="T161" s="85">
        <v>1221.9090000000001</v>
      </c>
      <c r="U161" s="87">
        <v>2210</v>
      </c>
      <c r="V161" s="85">
        <v>1220.2059999999999</v>
      </c>
      <c r="W161" s="87">
        <v>2220</v>
      </c>
      <c r="X161" s="85">
        <v>1220.1079999999999</v>
      </c>
      <c r="Y161" s="87">
        <v>2220</v>
      </c>
      <c r="Z161" s="85">
        <v>1218.7760000000001</v>
      </c>
      <c r="AA161" s="87">
        <v>2220</v>
      </c>
      <c r="AB161" s="85">
        <v>1218.1479999999999</v>
      </c>
      <c r="AC161" s="87">
        <v>2210</v>
      </c>
      <c r="AD161" s="85">
        <v>1142.502</v>
      </c>
      <c r="AE161" s="87">
        <v>2220</v>
      </c>
      <c r="AF161" s="85">
        <v>1143.52</v>
      </c>
      <c r="AG161" s="87">
        <v>2200</v>
      </c>
      <c r="AH161" s="85">
        <v>330.17</v>
      </c>
      <c r="AI161" s="87">
        <v>2200</v>
      </c>
      <c r="AJ161" s="85">
        <v>344.49599999999998</v>
      </c>
    </row>
    <row r="162" spans="1:36" ht="14.25" customHeight="1">
      <c r="A162" s="88">
        <v>2230</v>
      </c>
      <c r="B162" s="84">
        <v>689.05899999999997</v>
      </c>
      <c r="C162" s="88">
        <v>2240</v>
      </c>
      <c r="D162" s="85">
        <v>683.94600000000003</v>
      </c>
      <c r="E162" s="86">
        <v>2230</v>
      </c>
      <c r="F162" s="85">
        <v>1436.2270000000001</v>
      </c>
      <c r="G162" s="87">
        <v>2230</v>
      </c>
      <c r="H162" s="85">
        <v>1434.6110000000001</v>
      </c>
      <c r="I162" s="87">
        <v>2230</v>
      </c>
      <c r="J162" s="85">
        <v>1219.9059999999999</v>
      </c>
      <c r="K162" s="87">
        <v>2230</v>
      </c>
      <c r="L162" s="85">
        <v>1219.6859999999999</v>
      </c>
      <c r="M162" s="87">
        <v>2230</v>
      </c>
      <c r="N162" s="85">
        <v>1219.673</v>
      </c>
      <c r="O162" s="87">
        <v>2210</v>
      </c>
      <c r="P162" s="85">
        <v>1220.76</v>
      </c>
      <c r="Q162" s="87">
        <v>2230</v>
      </c>
      <c r="R162" s="85">
        <v>1220.3499999999999</v>
      </c>
      <c r="S162" s="87">
        <v>2230</v>
      </c>
      <c r="T162" s="85">
        <v>1220.742</v>
      </c>
      <c r="U162" s="87">
        <v>2220</v>
      </c>
      <c r="V162" s="85">
        <v>1219.0409999999999</v>
      </c>
      <c r="W162" s="87">
        <v>2230</v>
      </c>
      <c r="X162" s="85">
        <v>1218.943</v>
      </c>
      <c r="Y162" s="87">
        <v>2230</v>
      </c>
      <c r="Z162" s="85">
        <v>1217.6099999999999</v>
      </c>
      <c r="AA162" s="87">
        <v>2230</v>
      </c>
      <c r="AB162" s="85">
        <v>1216.9839999999999</v>
      </c>
      <c r="AC162" s="87">
        <v>2220</v>
      </c>
      <c r="AD162" s="85">
        <v>1141.336</v>
      </c>
      <c r="AE162" s="87">
        <v>2230</v>
      </c>
      <c r="AF162" s="85">
        <v>1142.356</v>
      </c>
      <c r="AG162" s="87">
        <v>2210</v>
      </c>
      <c r="AH162" s="85">
        <v>329.791</v>
      </c>
      <c r="AI162" s="87">
        <v>2210</v>
      </c>
      <c r="AJ162" s="85">
        <v>344.10300000000001</v>
      </c>
    </row>
    <row r="163" spans="1:36" ht="14.25" customHeight="1">
      <c r="A163" s="88">
        <v>2240</v>
      </c>
      <c r="B163" s="84">
        <v>688.29</v>
      </c>
      <c r="C163" s="88">
        <v>2250</v>
      </c>
      <c r="D163" s="85">
        <v>683.18399999999997</v>
      </c>
      <c r="E163" s="86">
        <v>2240</v>
      </c>
      <c r="F163" s="85">
        <v>1434.7739999999999</v>
      </c>
      <c r="G163" s="87">
        <v>2240</v>
      </c>
      <c r="H163" s="85">
        <v>1433.163</v>
      </c>
      <c r="I163" s="87">
        <v>2240</v>
      </c>
      <c r="J163" s="85">
        <v>1218.7370000000001</v>
      </c>
      <c r="K163" s="87">
        <v>2240</v>
      </c>
      <c r="L163" s="85">
        <v>1218.5170000000001</v>
      </c>
      <c r="M163" s="87">
        <v>2240</v>
      </c>
      <c r="N163" s="85">
        <v>1218.5039999999999</v>
      </c>
      <c r="O163" s="87">
        <v>2220</v>
      </c>
      <c r="P163" s="85">
        <v>1219.5920000000001</v>
      </c>
      <c r="Q163" s="87">
        <v>2240</v>
      </c>
      <c r="R163" s="85">
        <v>1219.182</v>
      </c>
      <c r="S163" s="87">
        <v>2240</v>
      </c>
      <c r="T163" s="85">
        <v>1219.575</v>
      </c>
      <c r="U163" s="87">
        <v>2230</v>
      </c>
      <c r="V163" s="85">
        <v>1217.876</v>
      </c>
      <c r="W163" s="87">
        <v>2240</v>
      </c>
      <c r="X163" s="85">
        <v>1217.778</v>
      </c>
      <c r="Y163" s="87">
        <v>2240</v>
      </c>
      <c r="Z163" s="85">
        <v>1216.443</v>
      </c>
      <c r="AA163" s="87">
        <v>2240</v>
      </c>
      <c r="AB163" s="85">
        <v>1215.8209999999999</v>
      </c>
      <c r="AC163" s="87">
        <v>2230</v>
      </c>
      <c r="AD163" s="85">
        <v>1140.17</v>
      </c>
      <c r="AE163" s="87">
        <v>2240</v>
      </c>
      <c r="AF163" s="85">
        <v>1141.192</v>
      </c>
      <c r="AG163" s="87">
        <v>2220</v>
      </c>
      <c r="AH163" s="85">
        <v>329.411</v>
      </c>
      <c r="AI163" s="87">
        <v>2220</v>
      </c>
      <c r="AJ163" s="85">
        <v>343.71</v>
      </c>
    </row>
    <row r="164" spans="1:36" ht="14.25" customHeight="1">
      <c r="A164" s="88">
        <v>2250</v>
      </c>
      <c r="B164" s="84">
        <v>687.52099999999996</v>
      </c>
      <c r="C164" s="88">
        <v>2260</v>
      </c>
      <c r="D164" s="85">
        <v>682.42200000000003</v>
      </c>
      <c r="E164" s="86">
        <v>2250</v>
      </c>
      <c r="F164" s="85">
        <v>1433.3209999999999</v>
      </c>
      <c r="G164" s="87">
        <v>2250</v>
      </c>
      <c r="H164" s="85">
        <v>1431.7149999999999</v>
      </c>
      <c r="I164" s="87">
        <v>2250</v>
      </c>
      <c r="J164" s="85">
        <v>1217.568</v>
      </c>
      <c r="K164" s="87">
        <v>2250</v>
      </c>
      <c r="L164" s="85">
        <v>1217.3489999999999</v>
      </c>
      <c r="M164" s="87">
        <v>2250</v>
      </c>
      <c r="N164" s="85">
        <v>1217.335</v>
      </c>
      <c r="O164" s="87">
        <v>2230</v>
      </c>
      <c r="P164" s="85">
        <v>1218.423</v>
      </c>
      <c r="Q164" s="87">
        <v>2250</v>
      </c>
      <c r="R164" s="85">
        <v>1218.0139999999999</v>
      </c>
      <c r="S164" s="87">
        <v>2250</v>
      </c>
      <c r="T164" s="85">
        <v>1218.4069999999999</v>
      </c>
      <c r="U164" s="87">
        <v>2240</v>
      </c>
      <c r="V164" s="85">
        <v>1216.711</v>
      </c>
      <c r="W164" s="87">
        <v>2250</v>
      </c>
      <c r="X164" s="85">
        <v>1216.6120000000001</v>
      </c>
      <c r="Y164" s="87">
        <v>2250</v>
      </c>
      <c r="Z164" s="85">
        <v>1215.277</v>
      </c>
      <c r="AA164" s="87">
        <v>2250</v>
      </c>
      <c r="AB164" s="85">
        <v>1214.6569999999999</v>
      </c>
      <c r="AC164" s="87">
        <v>2240</v>
      </c>
      <c r="AD164" s="85">
        <v>1139.0039999999999</v>
      </c>
      <c r="AE164" s="87">
        <v>2250</v>
      </c>
      <c r="AF164" s="85">
        <v>1140.027</v>
      </c>
      <c r="AG164" s="87">
        <v>2230</v>
      </c>
      <c r="AH164" s="85">
        <v>329.03199999999998</v>
      </c>
      <c r="AI164" s="87">
        <v>2230</v>
      </c>
      <c r="AJ164" s="85">
        <v>343.31599999999997</v>
      </c>
    </row>
    <row r="165" spans="1:36" ht="14.25" customHeight="1">
      <c r="A165" s="88">
        <v>2260</v>
      </c>
      <c r="B165" s="84">
        <v>686.75199999999995</v>
      </c>
      <c r="C165" s="88">
        <v>2270</v>
      </c>
      <c r="D165" s="85">
        <v>681.66</v>
      </c>
      <c r="E165" s="86">
        <v>2260</v>
      </c>
      <c r="F165" s="85">
        <v>1431.8679999999999</v>
      </c>
      <c r="G165" s="87">
        <v>2260</v>
      </c>
      <c r="H165" s="85">
        <v>1430.2660000000001</v>
      </c>
      <c r="I165" s="87">
        <v>2260</v>
      </c>
      <c r="J165" s="85">
        <v>1216.3989999999999</v>
      </c>
      <c r="K165" s="87">
        <v>2260</v>
      </c>
      <c r="L165" s="85">
        <v>1216.18</v>
      </c>
      <c r="M165" s="87">
        <v>2260</v>
      </c>
      <c r="N165" s="85">
        <v>1216.1659999999999</v>
      </c>
      <c r="O165" s="87">
        <v>2240</v>
      </c>
      <c r="P165" s="85">
        <v>1217.2550000000001</v>
      </c>
      <c r="Q165" s="87">
        <v>2260</v>
      </c>
      <c r="R165" s="85">
        <v>1216.845</v>
      </c>
      <c r="S165" s="87">
        <v>2260</v>
      </c>
      <c r="T165" s="85">
        <v>1217.239</v>
      </c>
      <c r="U165" s="87">
        <v>2250</v>
      </c>
      <c r="V165" s="85">
        <v>1215.546</v>
      </c>
      <c r="W165" s="87">
        <v>2260</v>
      </c>
      <c r="X165" s="85">
        <v>1215.4469999999999</v>
      </c>
      <c r="Y165" s="87">
        <v>2260</v>
      </c>
      <c r="Z165" s="85">
        <v>1214.1099999999999</v>
      </c>
      <c r="AA165" s="87">
        <v>2260</v>
      </c>
      <c r="AB165" s="85">
        <v>1213.492</v>
      </c>
      <c r="AC165" s="87">
        <v>2250</v>
      </c>
      <c r="AD165" s="85">
        <v>1137.838</v>
      </c>
      <c r="AE165" s="87">
        <v>2260</v>
      </c>
      <c r="AF165" s="85">
        <v>1138.8630000000001</v>
      </c>
      <c r="AG165" s="87">
        <v>2240</v>
      </c>
      <c r="AH165" s="85">
        <v>328.65199999999999</v>
      </c>
      <c r="AI165" s="87">
        <v>2240</v>
      </c>
      <c r="AJ165" s="85">
        <v>342.923</v>
      </c>
    </row>
    <row r="166" spans="1:36" ht="14.25" customHeight="1">
      <c r="A166" s="88">
        <v>2270</v>
      </c>
      <c r="B166" s="84">
        <v>685.98199999999997</v>
      </c>
      <c r="C166" s="88">
        <v>2280</v>
      </c>
      <c r="D166" s="85">
        <v>680.89700000000005</v>
      </c>
      <c r="E166" s="86">
        <v>2270</v>
      </c>
      <c r="F166" s="85">
        <v>1430.415</v>
      </c>
      <c r="G166" s="87">
        <v>2270</v>
      </c>
      <c r="H166" s="85">
        <v>1428.817</v>
      </c>
      <c r="I166" s="87">
        <v>2270</v>
      </c>
      <c r="J166" s="85">
        <v>1215.229</v>
      </c>
      <c r="K166" s="87">
        <v>2270</v>
      </c>
      <c r="L166" s="85">
        <v>1215.01</v>
      </c>
      <c r="M166" s="87">
        <v>2270</v>
      </c>
      <c r="N166" s="85">
        <v>1214.9970000000001</v>
      </c>
      <c r="O166" s="87">
        <v>2250</v>
      </c>
      <c r="P166" s="85">
        <v>1216.086</v>
      </c>
      <c r="Q166" s="87">
        <v>2270</v>
      </c>
      <c r="R166" s="85">
        <v>1215.6769999999999</v>
      </c>
      <c r="S166" s="87">
        <v>2270</v>
      </c>
      <c r="T166" s="85">
        <v>1216.0719999999999</v>
      </c>
      <c r="U166" s="87">
        <v>2260</v>
      </c>
      <c r="V166" s="85">
        <v>1214.3800000000001</v>
      </c>
      <c r="W166" s="87">
        <v>2270</v>
      </c>
      <c r="X166" s="85">
        <v>1214.2809999999999</v>
      </c>
      <c r="Y166" s="87">
        <v>2270</v>
      </c>
      <c r="Z166" s="85">
        <v>1212.943</v>
      </c>
      <c r="AA166" s="87">
        <v>2270</v>
      </c>
      <c r="AB166" s="85">
        <v>1212.328</v>
      </c>
      <c r="AC166" s="87">
        <v>2260</v>
      </c>
      <c r="AD166" s="85">
        <v>1136.671</v>
      </c>
      <c r="AE166" s="87">
        <v>2270</v>
      </c>
      <c r="AF166" s="85">
        <v>1137.6980000000001</v>
      </c>
      <c r="AG166" s="87">
        <v>2250</v>
      </c>
      <c r="AH166" s="85">
        <v>328.27300000000002</v>
      </c>
      <c r="AI166" s="87">
        <v>2250</v>
      </c>
      <c r="AJ166" s="85">
        <v>342.529</v>
      </c>
    </row>
    <row r="167" spans="1:36" ht="14.25" customHeight="1">
      <c r="A167" s="88">
        <v>2280</v>
      </c>
      <c r="B167" s="84">
        <v>685.21299999999997</v>
      </c>
      <c r="C167" s="88">
        <v>2290</v>
      </c>
      <c r="D167" s="85">
        <v>680.13400000000001</v>
      </c>
      <c r="E167" s="86">
        <v>2280</v>
      </c>
      <c r="F167" s="85">
        <v>1428.961</v>
      </c>
      <c r="G167" s="87">
        <v>2280</v>
      </c>
      <c r="H167" s="85">
        <v>1427.367</v>
      </c>
      <c r="I167" s="87">
        <v>2280</v>
      </c>
      <c r="J167" s="85">
        <v>1214.059</v>
      </c>
      <c r="K167" s="87">
        <v>2280</v>
      </c>
      <c r="L167" s="85">
        <v>1213.8409999999999</v>
      </c>
      <c r="M167" s="87">
        <v>2280</v>
      </c>
      <c r="N167" s="85">
        <v>1213.827</v>
      </c>
      <c r="O167" s="87">
        <v>2260</v>
      </c>
      <c r="P167" s="85">
        <v>1214.9169999999999</v>
      </c>
      <c r="Q167" s="87">
        <v>2280</v>
      </c>
      <c r="R167" s="85">
        <v>1214.508</v>
      </c>
      <c r="S167" s="87">
        <v>2280</v>
      </c>
      <c r="T167" s="85">
        <v>1214.903</v>
      </c>
      <c r="U167" s="87">
        <v>2270</v>
      </c>
      <c r="V167" s="85">
        <v>1213.2139999999999</v>
      </c>
      <c r="W167" s="87">
        <v>2280</v>
      </c>
      <c r="X167" s="85">
        <v>1213.114</v>
      </c>
      <c r="Y167" s="87">
        <v>2280</v>
      </c>
      <c r="Z167" s="85">
        <v>1211.7760000000001</v>
      </c>
      <c r="AA167" s="87">
        <v>2280</v>
      </c>
      <c r="AB167" s="85">
        <v>1211.163</v>
      </c>
      <c r="AC167" s="87">
        <v>2270</v>
      </c>
      <c r="AD167" s="85">
        <v>1135.5039999999999</v>
      </c>
      <c r="AE167" s="87">
        <v>2280</v>
      </c>
      <c r="AF167" s="85">
        <v>1136.5329999999999</v>
      </c>
      <c r="AG167" s="87">
        <v>2260</v>
      </c>
      <c r="AH167" s="85">
        <v>327.89299999999997</v>
      </c>
      <c r="AI167" s="87">
        <v>2260</v>
      </c>
      <c r="AJ167" s="85">
        <v>342.13600000000002</v>
      </c>
    </row>
    <row r="168" spans="1:36" ht="14.25" customHeight="1">
      <c r="A168" s="88">
        <v>2290</v>
      </c>
      <c r="B168" s="84">
        <v>684.44299999999998</v>
      </c>
      <c r="C168" s="88">
        <v>2300</v>
      </c>
      <c r="D168" s="85">
        <v>679.37099999999998</v>
      </c>
      <c r="E168" s="86">
        <v>2290</v>
      </c>
      <c r="F168" s="85">
        <v>1427.508</v>
      </c>
      <c r="G168" s="87">
        <v>2290</v>
      </c>
      <c r="H168" s="85">
        <v>1425.9179999999999</v>
      </c>
      <c r="I168" s="87">
        <v>2290</v>
      </c>
      <c r="J168" s="85">
        <v>1212.8889999999999</v>
      </c>
      <c r="K168" s="87">
        <v>2290</v>
      </c>
      <c r="L168" s="85">
        <v>1212.671</v>
      </c>
      <c r="M168" s="87">
        <v>2290</v>
      </c>
      <c r="N168" s="85">
        <v>1212.6579999999999</v>
      </c>
      <c r="O168" s="87">
        <v>2270</v>
      </c>
      <c r="P168" s="85">
        <v>1213.748</v>
      </c>
      <c r="Q168" s="87">
        <v>2290</v>
      </c>
      <c r="R168" s="85">
        <v>1213.338</v>
      </c>
      <c r="S168" s="87">
        <v>2290</v>
      </c>
      <c r="T168" s="85">
        <v>1213.7349999999999</v>
      </c>
      <c r="U168" s="87">
        <v>2280</v>
      </c>
      <c r="V168" s="85">
        <v>1212.048</v>
      </c>
      <c r="W168" s="87">
        <v>2290</v>
      </c>
      <c r="X168" s="85">
        <v>1211.9480000000001</v>
      </c>
      <c r="Y168" s="87">
        <v>2290</v>
      </c>
      <c r="Z168" s="85">
        <v>1210.6079999999999</v>
      </c>
      <c r="AA168" s="87">
        <v>2290</v>
      </c>
      <c r="AB168" s="85">
        <v>1209.998</v>
      </c>
      <c r="AC168" s="87">
        <v>2280</v>
      </c>
      <c r="AD168" s="85">
        <v>1134.337</v>
      </c>
      <c r="AE168" s="87">
        <v>2290</v>
      </c>
      <c r="AF168" s="85">
        <v>1135.367</v>
      </c>
      <c r="AG168" s="87">
        <v>2270</v>
      </c>
      <c r="AH168" s="85">
        <v>327.51299999999998</v>
      </c>
      <c r="AI168" s="87">
        <v>2270</v>
      </c>
      <c r="AJ168" s="85">
        <v>341.74200000000002</v>
      </c>
    </row>
    <row r="169" spans="1:36" ht="14.25" customHeight="1">
      <c r="A169" s="88">
        <v>2300</v>
      </c>
      <c r="B169" s="84">
        <v>683.673</v>
      </c>
      <c r="C169" s="88">
        <v>2310</v>
      </c>
      <c r="D169" s="85">
        <v>678.60799999999995</v>
      </c>
      <c r="E169" s="86">
        <v>2300</v>
      </c>
      <c r="F169" s="85">
        <v>1426.0530000000001</v>
      </c>
      <c r="G169" s="87">
        <v>2300</v>
      </c>
      <c r="H169" s="85">
        <v>1424.4680000000001</v>
      </c>
      <c r="I169" s="87">
        <v>2300</v>
      </c>
      <c r="J169" s="85">
        <v>1211.7190000000001</v>
      </c>
      <c r="K169" s="87">
        <v>2300</v>
      </c>
      <c r="L169" s="85">
        <v>1211.501</v>
      </c>
      <c r="M169" s="87">
        <v>2300</v>
      </c>
      <c r="N169" s="85">
        <v>1211.4880000000001</v>
      </c>
      <c r="O169" s="87">
        <v>2280</v>
      </c>
      <c r="P169" s="85">
        <v>1212.579</v>
      </c>
      <c r="Q169" s="87">
        <v>2300</v>
      </c>
      <c r="R169" s="85">
        <v>1212.1690000000001</v>
      </c>
      <c r="S169" s="87">
        <v>2300</v>
      </c>
      <c r="T169" s="85">
        <v>1212.566</v>
      </c>
      <c r="U169" s="87">
        <v>2290</v>
      </c>
      <c r="V169" s="85">
        <v>1210.8820000000001</v>
      </c>
      <c r="W169" s="87">
        <v>2300</v>
      </c>
      <c r="X169" s="85">
        <v>1210.7809999999999</v>
      </c>
      <c r="Y169" s="87">
        <v>2300</v>
      </c>
      <c r="Z169" s="85">
        <v>1209.44</v>
      </c>
      <c r="AA169" s="87">
        <v>2300</v>
      </c>
      <c r="AB169" s="85">
        <v>1208.8330000000001</v>
      </c>
      <c r="AC169" s="87">
        <v>2290</v>
      </c>
      <c r="AD169" s="85">
        <v>1133.17</v>
      </c>
      <c r="AE169" s="87">
        <v>2300</v>
      </c>
      <c r="AF169" s="85">
        <v>1134.201</v>
      </c>
      <c r="AG169" s="87">
        <v>2280</v>
      </c>
      <c r="AH169" s="85">
        <v>327.13299999999998</v>
      </c>
      <c r="AI169" s="87">
        <v>2280</v>
      </c>
      <c r="AJ169" s="85">
        <v>341.34800000000001</v>
      </c>
    </row>
    <row r="170" spans="1:36" ht="14.25" customHeight="1">
      <c r="A170" s="88">
        <v>2310</v>
      </c>
      <c r="B170" s="84">
        <v>682.90300000000002</v>
      </c>
      <c r="C170" s="88">
        <v>2320</v>
      </c>
      <c r="D170" s="85">
        <v>677.84400000000005</v>
      </c>
      <c r="E170" s="86">
        <v>2310</v>
      </c>
      <c r="F170" s="85">
        <v>1424.5989999999999</v>
      </c>
      <c r="G170" s="87">
        <v>2310</v>
      </c>
      <c r="H170" s="85">
        <v>1423.0170000000001</v>
      </c>
      <c r="I170" s="87">
        <v>2310</v>
      </c>
      <c r="J170" s="85">
        <v>1210.548</v>
      </c>
      <c r="K170" s="87">
        <v>2310</v>
      </c>
      <c r="L170" s="85">
        <v>1210.3309999999999</v>
      </c>
      <c r="M170" s="87">
        <v>2310</v>
      </c>
      <c r="N170" s="85">
        <v>1210.317</v>
      </c>
      <c r="O170" s="87">
        <v>2290</v>
      </c>
      <c r="P170" s="85">
        <v>1211.4090000000001</v>
      </c>
      <c r="Q170" s="87">
        <v>2310</v>
      </c>
      <c r="R170" s="85">
        <v>1210.999</v>
      </c>
      <c r="S170" s="87">
        <v>2310</v>
      </c>
      <c r="T170" s="85">
        <v>1211.3969999999999</v>
      </c>
      <c r="U170" s="87">
        <v>2300</v>
      </c>
      <c r="V170" s="85">
        <v>1209.7149999999999</v>
      </c>
      <c r="W170" s="87">
        <v>2310</v>
      </c>
      <c r="X170" s="85">
        <v>1209.614</v>
      </c>
      <c r="Y170" s="87">
        <v>2310</v>
      </c>
      <c r="Z170" s="85">
        <v>1208.2719999999999</v>
      </c>
      <c r="AA170" s="87">
        <v>2310</v>
      </c>
      <c r="AB170" s="85">
        <v>1207.6669999999999</v>
      </c>
      <c r="AC170" s="87">
        <v>2300</v>
      </c>
      <c r="AD170" s="85">
        <v>1132.0029999999999</v>
      </c>
      <c r="AE170" s="87">
        <v>2310</v>
      </c>
      <c r="AF170" s="85">
        <v>1133.0360000000001</v>
      </c>
      <c r="AG170" s="87">
        <v>2290</v>
      </c>
      <c r="AH170" s="85">
        <v>326.75299999999999</v>
      </c>
      <c r="AI170" s="87">
        <v>2290</v>
      </c>
      <c r="AJ170" s="85">
        <v>340.95400000000001</v>
      </c>
    </row>
    <row r="171" spans="1:36" ht="14.25" customHeight="1">
      <c r="A171" s="88">
        <v>2320</v>
      </c>
      <c r="B171" s="84">
        <v>682.13300000000004</v>
      </c>
      <c r="C171" s="88">
        <v>2330</v>
      </c>
      <c r="D171" s="85">
        <v>677.08299999999997</v>
      </c>
      <c r="E171" s="86">
        <v>2320</v>
      </c>
      <c r="F171" s="85">
        <v>1423.144</v>
      </c>
      <c r="G171" s="87">
        <v>2320</v>
      </c>
      <c r="H171" s="85">
        <v>1421.567</v>
      </c>
      <c r="I171" s="87">
        <v>2320</v>
      </c>
      <c r="J171" s="85">
        <v>1209.377</v>
      </c>
      <c r="K171" s="87">
        <v>2320</v>
      </c>
      <c r="L171" s="85">
        <v>1209.162</v>
      </c>
      <c r="M171" s="87">
        <v>2320</v>
      </c>
      <c r="N171" s="85">
        <v>1209.1489999999999</v>
      </c>
      <c r="O171" s="87">
        <v>2300</v>
      </c>
      <c r="P171" s="85">
        <v>1210.239</v>
      </c>
      <c r="Q171" s="87">
        <v>2320</v>
      </c>
      <c r="R171" s="85">
        <v>1209.829</v>
      </c>
      <c r="S171" s="87">
        <v>2320</v>
      </c>
      <c r="T171" s="85">
        <v>1210.2280000000001</v>
      </c>
      <c r="U171" s="87">
        <v>2310</v>
      </c>
      <c r="V171" s="85">
        <v>1208.548</v>
      </c>
      <c r="W171" s="87">
        <v>2320</v>
      </c>
      <c r="X171" s="85">
        <v>1208.4469999999999</v>
      </c>
      <c r="Y171" s="87">
        <v>2320</v>
      </c>
      <c r="Z171" s="85">
        <v>1207.104</v>
      </c>
      <c r="AA171" s="87">
        <v>2320</v>
      </c>
      <c r="AB171" s="85">
        <v>1206.501</v>
      </c>
      <c r="AC171" s="87">
        <v>2310</v>
      </c>
      <c r="AD171" s="85">
        <v>1130.837</v>
      </c>
      <c r="AE171" s="87">
        <v>2320</v>
      </c>
      <c r="AF171" s="85">
        <v>1131.8689999999999</v>
      </c>
      <c r="AG171" s="87">
        <v>2300</v>
      </c>
      <c r="AH171" s="85">
        <v>326.37299999999999</v>
      </c>
      <c r="AI171" s="87">
        <v>2300</v>
      </c>
      <c r="AJ171" s="85">
        <v>340.56</v>
      </c>
    </row>
    <row r="172" spans="1:36" ht="14.25" customHeight="1">
      <c r="A172" s="88">
        <v>2330</v>
      </c>
      <c r="B172" s="84">
        <v>681.36500000000001</v>
      </c>
      <c r="C172" s="88">
        <v>2340</v>
      </c>
      <c r="D172" s="85">
        <v>676.322</v>
      </c>
      <c r="E172" s="86">
        <v>2330</v>
      </c>
      <c r="F172" s="85">
        <v>1421.691</v>
      </c>
      <c r="G172" s="87">
        <v>2330</v>
      </c>
      <c r="H172" s="85">
        <v>1420.117</v>
      </c>
      <c r="I172" s="87">
        <v>2330</v>
      </c>
      <c r="J172" s="85">
        <v>1208.2070000000001</v>
      </c>
      <c r="K172" s="87">
        <v>2330</v>
      </c>
      <c r="L172" s="85">
        <v>1207.9939999999999</v>
      </c>
      <c r="M172" s="87">
        <v>2330</v>
      </c>
      <c r="N172" s="85">
        <v>1207.981</v>
      </c>
      <c r="O172" s="87">
        <v>2310</v>
      </c>
      <c r="P172" s="85">
        <v>1209.0709999999999</v>
      </c>
      <c r="Q172" s="87">
        <v>2330</v>
      </c>
      <c r="R172" s="85">
        <v>1208.6610000000001</v>
      </c>
      <c r="S172" s="87">
        <v>2330</v>
      </c>
      <c r="T172" s="85">
        <v>1209.06</v>
      </c>
      <c r="U172" s="87">
        <v>2320</v>
      </c>
      <c r="V172" s="85">
        <v>1207.3820000000001</v>
      </c>
      <c r="W172" s="87">
        <v>2330</v>
      </c>
      <c r="X172" s="85">
        <v>1207.2819999999999</v>
      </c>
      <c r="Y172" s="87">
        <v>2330</v>
      </c>
      <c r="Z172" s="85">
        <v>1205.9380000000001</v>
      </c>
      <c r="AA172" s="87">
        <v>2330</v>
      </c>
      <c r="AB172" s="85">
        <v>1205.336</v>
      </c>
      <c r="AC172" s="87">
        <v>2320</v>
      </c>
      <c r="AD172" s="85">
        <v>1129.672</v>
      </c>
      <c r="AE172" s="87">
        <v>2330</v>
      </c>
      <c r="AF172" s="85">
        <v>1130.704</v>
      </c>
      <c r="AG172" s="87">
        <v>2310</v>
      </c>
      <c r="AH172" s="85">
        <v>325.99299999999999</v>
      </c>
      <c r="AI172" s="87">
        <v>2310</v>
      </c>
      <c r="AJ172" s="85">
        <v>340.166</v>
      </c>
    </row>
    <row r="173" spans="1:36" ht="14.25" customHeight="1">
      <c r="A173" s="88">
        <v>2340</v>
      </c>
      <c r="B173" s="84">
        <v>680.59699999999998</v>
      </c>
      <c r="C173" s="88">
        <v>2350</v>
      </c>
      <c r="D173" s="85">
        <v>675.56100000000004</v>
      </c>
      <c r="E173" s="86">
        <v>2340</v>
      </c>
      <c r="F173" s="85">
        <v>1420.239</v>
      </c>
      <c r="G173" s="87">
        <v>2340</v>
      </c>
      <c r="H173" s="85">
        <v>1418.6690000000001</v>
      </c>
      <c r="I173" s="87">
        <v>2340</v>
      </c>
      <c r="J173" s="85">
        <v>1207.038</v>
      </c>
      <c r="K173" s="87">
        <v>2340</v>
      </c>
      <c r="L173" s="85">
        <v>1206.826</v>
      </c>
      <c r="M173" s="87">
        <v>2340</v>
      </c>
      <c r="N173" s="85">
        <v>1206.8130000000001</v>
      </c>
      <c r="O173" s="87">
        <v>2320</v>
      </c>
      <c r="P173" s="85">
        <v>1207.903</v>
      </c>
      <c r="Q173" s="87">
        <v>2340</v>
      </c>
      <c r="R173" s="85">
        <v>1207.4939999999999</v>
      </c>
      <c r="S173" s="87">
        <v>2340</v>
      </c>
      <c r="T173" s="85">
        <v>1207.893</v>
      </c>
      <c r="U173" s="87">
        <v>2330</v>
      </c>
      <c r="V173" s="85">
        <v>1206.2170000000001</v>
      </c>
      <c r="W173" s="87">
        <v>2340</v>
      </c>
      <c r="X173" s="85">
        <v>1206.117</v>
      </c>
      <c r="Y173" s="87">
        <v>2340</v>
      </c>
      <c r="Z173" s="85">
        <v>1204.7719999999999</v>
      </c>
      <c r="AA173" s="87">
        <v>2340</v>
      </c>
      <c r="AB173" s="85">
        <v>1204.172</v>
      </c>
      <c r="AC173" s="87">
        <v>2330</v>
      </c>
      <c r="AD173" s="85">
        <v>1128.5060000000001</v>
      </c>
      <c r="AE173" s="87">
        <v>2340</v>
      </c>
      <c r="AF173" s="85">
        <v>1129.54</v>
      </c>
      <c r="AG173" s="87">
        <v>2320</v>
      </c>
      <c r="AH173" s="85">
        <v>325.613</v>
      </c>
      <c r="AI173" s="87">
        <v>2320</v>
      </c>
      <c r="AJ173" s="85">
        <v>339.77199999999999</v>
      </c>
    </row>
    <row r="174" spans="1:36" ht="14.25" customHeight="1">
      <c r="A174" s="88">
        <v>2350</v>
      </c>
      <c r="B174" s="84">
        <v>679.82899999999995</v>
      </c>
      <c r="C174" s="88">
        <v>2360</v>
      </c>
      <c r="D174" s="85">
        <v>674.79899999999998</v>
      </c>
      <c r="E174" s="86">
        <v>2350</v>
      </c>
      <c r="F174" s="85">
        <v>1418.7860000000001</v>
      </c>
      <c r="G174" s="87">
        <v>2350</v>
      </c>
      <c r="H174" s="85">
        <v>1417.221</v>
      </c>
      <c r="I174" s="87">
        <v>2350</v>
      </c>
      <c r="J174" s="85">
        <v>1205.8699999999999</v>
      </c>
      <c r="K174" s="87">
        <v>2350</v>
      </c>
      <c r="L174" s="85">
        <v>1205.6579999999999</v>
      </c>
      <c r="M174" s="87">
        <v>2350</v>
      </c>
      <c r="N174" s="85">
        <v>1205.645</v>
      </c>
      <c r="O174" s="87">
        <v>2330</v>
      </c>
      <c r="P174" s="85">
        <v>1206.7360000000001</v>
      </c>
      <c r="Q174" s="87">
        <v>2350</v>
      </c>
      <c r="R174" s="85">
        <v>1206.326</v>
      </c>
      <c r="S174" s="87">
        <v>2350</v>
      </c>
      <c r="T174" s="85">
        <v>1206.7270000000001</v>
      </c>
      <c r="U174" s="87">
        <v>2340</v>
      </c>
      <c r="V174" s="85">
        <v>1205.0530000000001</v>
      </c>
      <c r="W174" s="87">
        <v>2350</v>
      </c>
      <c r="X174" s="85">
        <v>1204.952</v>
      </c>
      <c r="Y174" s="87">
        <v>2350</v>
      </c>
      <c r="Z174" s="85">
        <v>1203.606</v>
      </c>
      <c r="AA174" s="87">
        <v>2350</v>
      </c>
      <c r="AB174" s="85">
        <v>1203.009</v>
      </c>
      <c r="AC174" s="87">
        <v>2340</v>
      </c>
      <c r="AD174" s="85">
        <v>1127.3409999999999</v>
      </c>
      <c r="AE174" s="87">
        <v>2350</v>
      </c>
      <c r="AF174" s="85">
        <v>1128.376</v>
      </c>
      <c r="AG174" s="87">
        <v>2330</v>
      </c>
      <c r="AH174" s="85">
        <v>325.23200000000003</v>
      </c>
      <c r="AI174" s="87">
        <v>2330</v>
      </c>
      <c r="AJ174" s="85">
        <v>339.37799999999999</v>
      </c>
    </row>
    <row r="175" spans="1:36" ht="14.25" customHeight="1">
      <c r="A175" s="88">
        <v>2360</v>
      </c>
      <c r="B175" s="84">
        <v>679.06100000000004</v>
      </c>
      <c r="C175" s="88">
        <v>2370</v>
      </c>
      <c r="D175" s="85">
        <v>674.03800000000001</v>
      </c>
      <c r="E175" s="86">
        <v>2360</v>
      </c>
      <c r="F175" s="85">
        <v>1417.3330000000001</v>
      </c>
      <c r="G175" s="87">
        <v>2360</v>
      </c>
      <c r="H175" s="85">
        <v>1415.7719999999999</v>
      </c>
      <c r="I175" s="87">
        <v>2360</v>
      </c>
      <c r="J175" s="85">
        <v>1204.701</v>
      </c>
      <c r="K175" s="87">
        <v>2360</v>
      </c>
      <c r="L175" s="85">
        <v>1204.49</v>
      </c>
      <c r="M175" s="87">
        <v>2360</v>
      </c>
      <c r="N175" s="85">
        <v>1204.4760000000001</v>
      </c>
      <c r="O175" s="87">
        <v>2340</v>
      </c>
      <c r="P175" s="85">
        <v>1205.568</v>
      </c>
      <c r="Q175" s="87">
        <v>2360</v>
      </c>
      <c r="R175" s="85">
        <v>1205.1579999999999</v>
      </c>
      <c r="S175" s="87">
        <v>2360</v>
      </c>
      <c r="T175" s="85">
        <v>1205.56</v>
      </c>
      <c r="U175" s="87">
        <v>2350</v>
      </c>
      <c r="V175" s="85">
        <v>1203.8879999999999</v>
      </c>
      <c r="W175" s="87">
        <v>2360</v>
      </c>
      <c r="X175" s="85">
        <v>1203.787</v>
      </c>
      <c r="Y175" s="87">
        <v>2360</v>
      </c>
      <c r="Z175" s="85">
        <v>1202.44</v>
      </c>
      <c r="AA175" s="87">
        <v>2360</v>
      </c>
      <c r="AB175" s="85">
        <v>1201.845</v>
      </c>
      <c r="AC175" s="87">
        <v>2350</v>
      </c>
      <c r="AD175" s="85">
        <v>1126.175</v>
      </c>
      <c r="AE175" s="87">
        <v>2360</v>
      </c>
      <c r="AF175" s="85">
        <v>1127.212</v>
      </c>
      <c r="AG175" s="87">
        <v>2340</v>
      </c>
      <c r="AH175" s="85">
        <v>324.85199999999998</v>
      </c>
      <c r="AI175" s="87">
        <v>2340</v>
      </c>
      <c r="AJ175" s="85">
        <v>338.983</v>
      </c>
    </row>
    <row r="176" spans="1:36" ht="14.25" customHeight="1">
      <c r="A176" s="88">
        <v>2370</v>
      </c>
      <c r="B176" s="84">
        <v>678.29200000000003</v>
      </c>
      <c r="C176" s="88">
        <v>2380</v>
      </c>
      <c r="D176" s="85">
        <v>673.27499999999998</v>
      </c>
      <c r="E176" s="86">
        <v>2370</v>
      </c>
      <c r="F176" s="85">
        <v>1415.88</v>
      </c>
      <c r="G176" s="87">
        <v>2370</v>
      </c>
      <c r="H176" s="85">
        <v>1414.3230000000001</v>
      </c>
      <c r="I176" s="87">
        <v>2370</v>
      </c>
      <c r="J176" s="85">
        <v>1203.5319999999999</v>
      </c>
      <c r="K176" s="87">
        <v>2370</v>
      </c>
      <c r="L176" s="85">
        <v>1203.32</v>
      </c>
      <c r="M176" s="87">
        <v>2370</v>
      </c>
      <c r="N176" s="85">
        <v>1203.306</v>
      </c>
      <c r="O176" s="87">
        <v>2350</v>
      </c>
      <c r="P176" s="85">
        <v>1204.4000000000001</v>
      </c>
      <c r="Q176" s="87">
        <v>2370</v>
      </c>
      <c r="R176" s="85">
        <v>1203.99</v>
      </c>
      <c r="S176" s="87">
        <v>2370</v>
      </c>
      <c r="T176" s="85">
        <v>1204.3920000000001</v>
      </c>
      <c r="U176" s="87">
        <v>2360</v>
      </c>
      <c r="V176" s="85">
        <v>1202.723</v>
      </c>
      <c r="W176" s="87">
        <v>2370</v>
      </c>
      <c r="X176" s="85">
        <v>1202.6210000000001</v>
      </c>
      <c r="Y176" s="87">
        <v>2370</v>
      </c>
      <c r="Z176" s="85">
        <v>1201.2729999999999</v>
      </c>
      <c r="AA176" s="87">
        <v>2370</v>
      </c>
      <c r="AB176" s="85">
        <v>1200.681</v>
      </c>
      <c r="AC176" s="87">
        <v>2360</v>
      </c>
      <c r="AD176" s="85">
        <v>1125.0070000000001</v>
      </c>
      <c r="AE176" s="87">
        <v>2370</v>
      </c>
      <c r="AF176" s="85">
        <v>1126.047</v>
      </c>
      <c r="AG176" s="87">
        <v>2350</v>
      </c>
      <c r="AH176" s="85">
        <v>324.471</v>
      </c>
      <c r="AI176" s="87">
        <v>2350</v>
      </c>
      <c r="AJ176" s="85">
        <v>338.589</v>
      </c>
    </row>
    <row r="177" spans="1:36" ht="14.25" customHeight="1">
      <c r="A177" s="88">
        <v>2380</v>
      </c>
      <c r="B177" s="84">
        <v>677.52099999999996</v>
      </c>
      <c r="C177" s="88">
        <v>2390</v>
      </c>
      <c r="D177" s="85">
        <v>672.51</v>
      </c>
      <c r="E177" s="86">
        <v>2380</v>
      </c>
      <c r="F177" s="85">
        <v>1414.424</v>
      </c>
      <c r="G177" s="87">
        <v>2380</v>
      </c>
      <c r="H177" s="85">
        <v>1412.8720000000001</v>
      </c>
      <c r="I177" s="87">
        <v>2380</v>
      </c>
      <c r="J177" s="85">
        <v>1202.3620000000001</v>
      </c>
      <c r="K177" s="87">
        <v>2380</v>
      </c>
      <c r="L177" s="85">
        <v>1202.1479999999999</v>
      </c>
      <c r="M177" s="87">
        <v>2380</v>
      </c>
      <c r="N177" s="85">
        <v>1202.134</v>
      </c>
      <c r="O177" s="87">
        <v>2360</v>
      </c>
      <c r="P177" s="85">
        <v>1203.229</v>
      </c>
      <c r="Q177" s="87">
        <v>2380</v>
      </c>
      <c r="R177" s="85">
        <v>1202.819</v>
      </c>
      <c r="S177" s="87">
        <v>2380</v>
      </c>
      <c r="T177" s="85">
        <v>1203.223</v>
      </c>
      <c r="U177" s="87">
        <v>2370</v>
      </c>
      <c r="V177" s="85">
        <v>1201.556</v>
      </c>
      <c r="W177" s="87">
        <v>2380</v>
      </c>
      <c r="X177" s="85">
        <v>1201.453</v>
      </c>
      <c r="Y177" s="87">
        <v>2380</v>
      </c>
      <c r="Z177" s="85">
        <v>1200.104</v>
      </c>
      <c r="AA177" s="87">
        <v>2380</v>
      </c>
      <c r="AB177" s="85">
        <v>1199.5160000000001</v>
      </c>
      <c r="AC177" s="87">
        <v>2370</v>
      </c>
      <c r="AD177" s="85">
        <v>1123.838</v>
      </c>
      <c r="AE177" s="87">
        <v>2380</v>
      </c>
      <c r="AF177" s="85">
        <v>1124.8820000000001</v>
      </c>
      <c r="AG177" s="87">
        <v>2360</v>
      </c>
      <c r="AH177" s="85">
        <v>324.09100000000001</v>
      </c>
      <c r="AI177" s="87">
        <v>2360</v>
      </c>
      <c r="AJ177" s="85">
        <v>338.19400000000002</v>
      </c>
    </row>
    <row r="178" spans="1:36" ht="14.25" customHeight="1">
      <c r="A178" s="88">
        <v>2390</v>
      </c>
      <c r="B178" s="84">
        <v>676.74900000000002</v>
      </c>
      <c r="C178" s="88">
        <v>2400</v>
      </c>
      <c r="D178" s="85">
        <v>671.745</v>
      </c>
      <c r="E178" s="86">
        <v>2390</v>
      </c>
      <c r="F178" s="85">
        <v>1412.9670000000001</v>
      </c>
      <c r="G178" s="87">
        <v>2390</v>
      </c>
      <c r="H178" s="85">
        <v>1411.4190000000001</v>
      </c>
      <c r="I178" s="87">
        <v>2390</v>
      </c>
      <c r="J178" s="85">
        <v>1201.19</v>
      </c>
      <c r="K178" s="87">
        <v>2390</v>
      </c>
      <c r="L178" s="85">
        <v>1200.9749999999999</v>
      </c>
      <c r="M178" s="87">
        <v>2390</v>
      </c>
      <c r="N178" s="85">
        <v>1200.962</v>
      </c>
      <c r="O178" s="87">
        <v>2370</v>
      </c>
      <c r="P178" s="85">
        <v>1202.058</v>
      </c>
      <c r="Q178" s="87">
        <v>2390</v>
      </c>
      <c r="R178" s="85">
        <v>1201.6479999999999</v>
      </c>
      <c r="S178" s="87">
        <v>2390</v>
      </c>
      <c r="T178" s="85">
        <v>1202.0530000000001</v>
      </c>
      <c r="U178" s="87">
        <v>2380</v>
      </c>
      <c r="V178" s="85">
        <v>1200.3879999999999</v>
      </c>
      <c r="W178" s="87">
        <v>2390</v>
      </c>
      <c r="X178" s="85">
        <v>1200.2840000000001</v>
      </c>
      <c r="Y178" s="87">
        <v>2390</v>
      </c>
      <c r="Z178" s="85">
        <v>1198.934</v>
      </c>
      <c r="AA178" s="87">
        <v>2390</v>
      </c>
      <c r="AB178" s="85">
        <v>1198.3489999999999</v>
      </c>
      <c r="AC178" s="87">
        <v>2380</v>
      </c>
      <c r="AD178" s="85">
        <v>1122.6690000000001</v>
      </c>
      <c r="AE178" s="87">
        <v>2390</v>
      </c>
      <c r="AF178" s="85">
        <v>1123.7149999999999</v>
      </c>
      <c r="AG178" s="87">
        <v>2370</v>
      </c>
      <c r="AH178" s="85">
        <v>323.70999999999998</v>
      </c>
      <c r="AI178" s="87">
        <v>2370</v>
      </c>
      <c r="AJ178" s="85">
        <v>337.8</v>
      </c>
    </row>
    <row r="179" spans="1:36" ht="14.25" customHeight="1">
      <c r="A179" s="88">
        <v>2400</v>
      </c>
      <c r="B179" s="84">
        <v>675.97699999999998</v>
      </c>
      <c r="C179" s="88">
        <v>2410</v>
      </c>
      <c r="D179" s="85">
        <v>670.98</v>
      </c>
      <c r="E179" s="86">
        <v>2400</v>
      </c>
      <c r="F179" s="85">
        <v>1411.51</v>
      </c>
      <c r="G179" s="87">
        <v>2400</v>
      </c>
      <c r="H179" s="85">
        <v>1409.9659999999999</v>
      </c>
      <c r="I179" s="87">
        <v>2400</v>
      </c>
      <c r="J179" s="85">
        <v>1200.0170000000001</v>
      </c>
      <c r="K179" s="87">
        <v>2400</v>
      </c>
      <c r="L179" s="85">
        <v>1199.8030000000001</v>
      </c>
      <c r="M179" s="87">
        <v>2400</v>
      </c>
      <c r="N179" s="85">
        <v>1199.79</v>
      </c>
      <c r="O179" s="87">
        <v>2380</v>
      </c>
      <c r="P179" s="85">
        <v>1200.886</v>
      </c>
      <c r="Q179" s="87">
        <v>2400</v>
      </c>
      <c r="R179" s="85">
        <v>1200.4760000000001</v>
      </c>
      <c r="S179" s="87">
        <v>2400</v>
      </c>
      <c r="T179" s="85">
        <v>1200.8820000000001</v>
      </c>
      <c r="U179" s="87">
        <v>2390</v>
      </c>
      <c r="V179" s="85">
        <v>1199.2190000000001</v>
      </c>
      <c r="W179" s="87">
        <v>2400</v>
      </c>
      <c r="X179" s="85">
        <v>1199.114</v>
      </c>
      <c r="Y179" s="87">
        <v>2400</v>
      </c>
      <c r="Z179" s="85">
        <v>1197.7639999999999</v>
      </c>
      <c r="AA179" s="87">
        <v>2400</v>
      </c>
      <c r="AB179" s="85">
        <v>1197.181</v>
      </c>
      <c r="AC179" s="87">
        <v>2390</v>
      </c>
      <c r="AD179" s="85">
        <v>1121.499</v>
      </c>
      <c r="AE179" s="87">
        <v>2400</v>
      </c>
      <c r="AF179" s="85">
        <v>1122.547</v>
      </c>
      <c r="AG179" s="87">
        <v>2380</v>
      </c>
      <c r="AH179" s="85">
        <v>323.32900000000001</v>
      </c>
      <c r="AI179" s="87">
        <v>2380</v>
      </c>
      <c r="AJ179" s="85">
        <v>337.40499999999997</v>
      </c>
    </row>
    <row r="180" spans="1:36" ht="14.25" customHeight="1">
      <c r="A180" s="88">
        <v>2410</v>
      </c>
      <c r="B180" s="84">
        <v>675.20500000000004</v>
      </c>
      <c r="C180" s="88">
        <v>2420</v>
      </c>
      <c r="D180" s="85">
        <v>670.21400000000006</v>
      </c>
      <c r="E180" s="86">
        <v>2410</v>
      </c>
      <c r="F180" s="85">
        <v>1410.0530000000001</v>
      </c>
      <c r="G180" s="87">
        <v>2410</v>
      </c>
      <c r="H180" s="85">
        <v>1408.5129999999999</v>
      </c>
      <c r="I180" s="87">
        <v>2410</v>
      </c>
      <c r="J180" s="85">
        <v>1198.8440000000001</v>
      </c>
      <c r="K180" s="87">
        <v>2410</v>
      </c>
      <c r="L180" s="85">
        <v>1198.6300000000001</v>
      </c>
      <c r="M180" s="87">
        <v>2410</v>
      </c>
      <c r="N180" s="85">
        <v>1198.617</v>
      </c>
      <c r="O180" s="87">
        <v>2390</v>
      </c>
      <c r="P180" s="85">
        <v>1199.7139999999999</v>
      </c>
      <c r="Q180" s="87">
        <v>2410</v>
      </c>
      <c r="R180" s="85">
        <v>1199.3040000000001</v>
      </c>
      <c r="S180" s="87">
        <v>2410</v>
      </c>
      <c r="T180" s="85">
        <v>1199.71</v>
      </c>
      <c r="U180" s="87">
        <v>2400</v>
      </c>
      <c r="V180" s="85">
        <v>1198.05</v>
      </c>
      <c r="W180" s="87">
        <v>2410</v>
      </c>
      <c r="X180" s="85">
        <v>1197.9449999999999</v>
      </c>
      <c r="Y180" s="87">
        <v>2410</v>
      </c>
      <c r="Z180" s="85">
        <v>1196.5930000000001</v>
      </c>
      <c r="AA180" s="87">
        <v>2410</v>
      </c>
      <c r="AB180" s="85">
        <v>1196.0129999999999</v>
      </c>
      <c r="AC180" s="87">
        <v>2400</v>
      </c>
      <c r="AD180" s="85">
        <v>1120.329</v>
      </c>
      <c r="AE180" s="87">
        <v>2410</v>
      </c>
      <c r="AF180" s="85">
        <v>1121.3779999999999</v>
      </c>
      <c r="AG180" s="87">
        <v>2390</v>
      </c>
      <c r="AH180" s="85">
        <v>322.94799999999998</v>
      </c>
      <c r="AI180" s="87">
        <v>2390</v>
      </c>
      <c r="AJ180" s="85">
        <v>337.01</v>
      </c>
    </row>
    <row r="181" spans="1:36" ht="14.25" customHeight="1">
      <c r="A181" s="88">
        <v>2420</v>
      </c>
      <c r="B181" s="84">
        <v>674.43299999999999</v>
      </c>
      <c r="C181" s="88">
        <v>2430</v>
      </c>
      <c r="D181" s="85">
        <v>669.44899999999996</v>
      </c>
      <c r="E181" s="86">
        <v>2420</v>
      </c>
      <c r="F181" s="85">
        <v>1408.595</v>
      </c>
      <c r="G181" s="87">
        <v>2420</v>
      </c>
      <c r="H181" s="85">
        <v>1407.059</v>
      </c>
      <c r="I181" s="87">
        <v>2420</v>
      </c>
      <c r="J181" s="85">
        <v>1197.671</v>
      </c>
      <c r="K181" s="87">
        <v>2420</v>
      </c>
      <c r="L181" s="85">
        <v>1197.4570000000001</v>
      </c>
      <c r="M181" s="87">
        <v>2420</v>
      </c>
      <c r="N181" s="85">
        <v>1197.444</v>
      </c>
      <c r="O181" s="87">
        <v>2400</v>
      </c>
      <c r="P181" s="85">
        <v>1198.5419999999999</v>
      </c>
      <c r="Q181" s="87">
        <v>2420</v>
      </c>
      <c r="R181" s="85">
        <v>1198.1310000000001</v>
      </c>
      <c r="S181" s="87">
        <v>2420</v>
      </c>
      <c r="T181" s="85">
        <v>1198.539</v>
      </c>
      <c r="U181" s="87">
        <v>2410</v>
      </c>
      <c r="V181" s="85">
        <v>1196.8810000000001</v>
      </c>
      <c r="W181" s="87">
        <v>2420</v>
      </c>
      <c r="X181" s="85">
        <v>1196.7750000000001</v>
      </c>
      <c r="Y181" s="87">
        <v>2420</v>
      </c>
      <c r="Z181" s="85">
        <v>1195.423</v>
      </c>
      <c r="AA181" s="87">
        <v>2420</v>
      </c>
      <c r="AB181" s="85">
        <v>1194.845</v>
      </c>
      <c r="AC181" s="87">
        <v>2410</v>
      </c>
      <c r="AD181" s="85">
        <v>1119.1590000000001</v>
      </c>
      <c r="AE181" s="87">
        <v>2420</v>
      </c>
      <c r="AF181" s="85">
        <v>1120.21</v>
      </c>
      <c r="AG181" s="87">
        <v>2400</v>
      </c>
      <c r="AH181" s="85">
        <v>322.56700000000001</v>
      </c>
      <c r="AI181" s="87">
        <v>2400</v>
      </c>
      <c r="AJ181" s="85">
        <v>336.61500000000001</v>
      </c>
    </row>
    <row r="182" spans="1:36" ht="14.25" customHeight="1">
      <c r="A182" s="88">
        <v>2430</v>
      </c>
      <c r="B182" s="84">
        <v>673.66</v>
      </c>
      <c r="C182" s="88">
        <v>2440</v>
      </c>
      <c r="D182" s="85">
        <v>668.68299999999999</v>
      </c>
      <c r="E182" s="86">
        <v>2430</v>
      </c>
      <c r="F182" s="85">
        <v>1407.1369999999999</v>
      </c>
      <c r="G182" s="87">
        <v>2430</v>
      </c>
      <c r="H182" s="85">
        <v>1405.605</v>
      </c>
      <c r="I182" s="87">
        <v>2430</v>
      </c>
      <c r="J182" s="85">
        <v>1196.498</v>
      </c>
      <c r="K182" s="87">
        <v>2430</v>
      </c>
      <c r="L182" s="85">
        <v>1196.2840000000001</v>
      </c>
      <c r="M182" s="87">
        <v>2430</v>
      </c>
      <c r="N182" s="85">
        <v>1196.271</v>
      </c>
      <c r="O182" s="87">
        <v>2410</v>
      </c>
      <c r="P182" s="85">
        <v>1197.3689999999999</v>
      </c>
      <c r="Q182" s="87">
        <v>2430</v>
      </c>
      <c r="R182" s="85">
        <v>1196.9590000000001</v>
      </c>
      <c r="S182" s="87">
        <v>2430</v>
      </c>
      <c r="T182" s="85">
        <v>1197.367</v>
      </c>
      <c r="U182" s="87">
        <v>2420</v>
      </c>
      <c r="V182" s="85">
        <v>1195.711</v>
      </c>
      <c r="W182" s="87">
        <v>2430</v>
      </c>
      <c r="X182" s="85">
        <v>1195.605</v>
      </c>
      <c r="Y182" s="87">
        <v>2430</v>
      </c>
      <c r="Z182" s="85">
        <v>1194.252</v>
      </c>
      <c r="AA182" s="87">
        <v>2430</v>
      </c>
      <c r="AB182" s="85">
        <v>1193.6759999999999</v>
      </c>
      <c r="AC182" s="87">
        <v>2420</v>
      </c>
      <c r="AD182" s="85">
        <v>1117.9880000000001</v>
      </c>
      <c r="AE182" s="87">
        <v>2430</v>
      </c>
      <c r="AF182" s="85">
        <v>1119.0409999999999</v>
      </c>
      <c r="AG182" s="87">
        <v>2410</v>
      </c>
      <c r="AH182" s="85">
        <v>322.18599999999998</v>
      </c>
      <c r="AI182" s="87">
        <v>2410</v>
      </c>
      <c r="AJ182" s="85">
        <v>336.22</v>
      </c>
    </row>
    <row r="183" spans="1:36" ht="14.25" customHeight="1">
      <c r="A183" s="88">
        <v>2440</v>
      </c>
      <c r="B183" s="84">
        <v>672.88800000000003</v>
      </c>
      <c r="C183" s="88">
        <v>2450</v>
      </c>
      <c r="D183" s="85">
        <v>667.91700000000003</v>
      </c>
      <c r="E183" s="86">
        <v>2440</v>
      </c>
      <c r="F183" s="85">
        <v>1405.6790000000001</v>
      </c>
      <c r="G183" s="87">
        <v>2440</v>
      </c>
      <c r="H183" s="85">
        <v>1404.1510000000001</v>
      </c>
      <c r="I183" s="87">
        <v>2440</v>
      </c>
      <c r="J183" s="85">
        <v>1195.3240000000001</v>
      </c>
      <c r="K183" s="87">
        <v>2440</v>
      </c>
      <c r="L183" s="85">
        <v>1195.1110000000001</v>
      </c>
      <c r="M183" s="87">
        <v>2440</v>
      </c>
      <c r="N183" s="85">
        <v>1195.098</v>
      </c>
      <c r="O183" s="87">
        <v>2420</v>
      </c>
      <c r="P183" s="85">
        <v>1196.1959999999999</v>
      </c>
      <c r="Q183" s="87">
        <v>2440</v>
      </c>
      <c r="R183" s="85">
        <v>1195.7860000000001</v>
      </c>
      <c r="S183" s="87">
        <v>2440</v>
      </c>
      <c r="T183" s="85">
        <v>1196.1949999999999</v>
      </c>
      <c r="U183" s="87">
        <v>2430</v>
      </c>
      <c r="V183" s="85">
        <v>1194.5419999999999</v>
      </c>
      <c r="W183" s="87">
        <v>2440</v>
      </c>
      <c r="X183" s="85">
        <v>1194.4349999999999</v>
      </c>
      <c r="Y183" s="87">
        <v>2440</v>
      </c>
      <c r="Z183" s="85">
        <v>1193.08</v>
      </c>
      <c r="AA183" s="87">
        <v>2440</v>
      </c>
      <c r="AB183" s="85">
        <v>1192.508</v>
      </c>
      <c r="AC183" s="87">
        <v>2430</v>
      </c>
      <c r="AD183" s="85">
        <v>1116.818</v>
      </c>
      <c r="AE183" s="87">
        <v>2440</v>
      </c>
      <c r="AF183" s="85">
        <v>1117.8720000000001</v>
      </c>
      <c r="AG183" s="87">
        <v>2420</v>
      </c>
      <c r="AH183" s="85">
        <v>321.80500000000001</v>
      </c>
      <c r="AI183" s="87">
        <v>2420</v>
      </c>
      <c r="AJ183" s="85">
        <v>335.82499999999999</v>
      </c>
    </row>
    <row r="184" spans="1:36" ht="14.25" customHeight="1">
      <c r="A184" s="88">
        <v>2450</v>
      </c>
      <c r="B184" s="84">
        <v>672.11500000000001</v>
      </c>
      <c r="C184" s="88">
        <v>2460</v>
      </c>
      <c r="D184" s="85">
        <v>667.15099999999995</v>
      </c>
      <c r="E184" s="86">
        <v>2450</v>
      </c>
      <c r="F184" s="85">
        <v>1404.22</v>
      </c>
      <c r="G184" s="87">
        <v>2450</v>
      </c>
      <c r="H184" s="85">
        <v>1402.6969999999999</v>
      </c>
      <c r="I184" s="87">
        <v>2450</v>
      </c>
      <c r="J184" s="85">
        <v>1194.1500000000001</v>
      </c>
      <c r="K184" s="87">
        <v>2450</v>
      </c>
      <c r="L184" s="85">
        <v>1193.9369999999999</v>
      </c>
      <c r="M184" s="87">
        <v>2450</v>
      </c>
      <c r="N184" s="85">
        <v>1193.924</v>
      </c>
      <c r="O184" s="87">
        <v>2430</v>
      </c>
      <c r="P184" s="85">
        <v>1195.0229999999999</v>
      </c>
      <c r="Q184" s="87">
        <v>2450</v>
      </c>
      <c r="R184" s="85">
        <v>1194.6130000000001</v>
      </c>
      <c r="S184" s="87">
        <v>2450</v>
      </c>
      <c r="T184" s="85">
        <v>1195.0229999999999</v>
      </c>
      <c r="U184" s="87">
        <v>2440</v>
      </c>
      <c r="V184" s="85">
        <v>1193.3720000000001</v>
      </c>
      <c r="W184" s="87">
        <v>2450</v>
      </c>
      <c r="X184" s="85">
        <v>1193.2639999999999</v>
      </c>
      <c r="Y184" s="87">
        <v>2450</v>
      </c>
      <c r="Z184" s="85">
        <v>1191.9090000000001</v>
      </c>
      <c r="AA184" s="87">
        <v>2450</v>
      </c>
      <c r="AB184" s="85">
        <v>1191.3389999999999</v>
      </c>
      <c r="AC184" s="87">
        <v>2440</v>
      </c>
      <c r="AD184" s="85">
        <v>1115.6469999999999</v>
      </c>
      <c r="AE184" s="87">
        <v>2450</v>
      </c>
      <c r="AF184" s="85">
        <v>1116.703</v>
      </c>
      <c r="AG184" s="87">
        <v>2430</v>
      </c>
      <c r="AH184" s="85">
        <v>321.42399999999998</v>
      </c>
      <c r="AI184" s="87">
        <v>2430</v>
      </c>
      <c r="AJ184" s="85">
        <v>335.43</v>
      </c>
    </row>
    <row r="185" spans="1:36" ht="14.25" customHeight="1">
      <c r="A185" s="88">
        <v>2460</v>
      </c>
      <c r="B185" s="84">
        <v>671.34199999999998</v>
      </c>
      <c r="C185" s="88">
        <v>2470</v>
      </c>
      <c r="D185" s="85">
        <v>666.38400000000001</v>
      </c>
      <c r="E185" s="86">
        <v>2460</v>
      </c>
      <c r="F185" s="85">
        <v>1402.761</v>
      </c>
      <c r="G185" s="87">
        <v>2460</v>
      </c>
      <c r="H185" s="85">
        <v>1401.242</v>
      </c>
      <c r="I185" s="87">
        <v>2460</v>
      </c>
      <c r="J185" s="85">
        <v>1192.9760000000001</v>
      </c>
      <c r="K185" s="87">
        <v>2460</v>
      </c>
      <c r="L185" s="85">
        <v>1192.7629999999999</v>
      </c>
      <c r="M185" s="87">
        <v>2460</v>
      </c>
      <c r="N185" s="85">
        <v>1192.75</v>
      </c>
      <c r="O185" s="87">
        <v>2440</v>
      </c>
      <c r="P185" s="85">
        <v>1193.8499999999999</v>
      </c>
      <c r="Q185" s="87">
        <v>2460</v>
      </c>
      <c r="R185" s="85">
        <v>1193.44</v>
      </c>
      <c r="S185" s="87">
        <v>2460</v>
      </c>
      <c r="T185" s="85">
        <v>1193.8499999999999</v>
      </c>
      <c r="U185" s="87">
        <v>2450</v>
      </c>
      <c r="V185" s="85">
        <v>1192.201</v>
      </c>
      <c r="W185" s="87">
        <v>2460</v>
      </c>
      <c r="X185" s="85">
        <v>1192.0940000000001</v>
      </c>
      <c r="Y185" s="87">
        <v>2460</v>
      </c>
      <c r="Z185" s="89">
        <v>1190.7370000000001</v>
      </c>
      <c r="AA185" s="87">
        <v>2460</v>
      </c>
      <c r="AB185" s="85">
        <v>1190.17</v>
      </c>
      <c r="AC185" s="87">
        <v>2450</v>
      </c>
      <c r="AD185" s="85">
        <v>1114.4760000000001</v>
      </c>
      <c r="AE185" s="87">
        <v>2460</v>
      </c>
      <c r="AF185" s="85">
        <v>1115.5329999999999</v>
      </c>
      <c r="AG185" s="87">
        <v>2440</v>
      </c>
      <c r="AH185" s="85">
        <v>321.04199999999997</v>
      </c>
      <c r="AI185" s="87">
        <v>2440</v>
      </c>
      <c r="AJ185" s="85">
        <v>335.03500000000003</v>
      </c>
    </row>
    <row r="186" spans="1:36" ht="14.25" customHeight="1">
      <c r="A186" s="88">
        <v>2470</v>
      </c>
      <c r="B186" s="84">
        <v>670.56799999999998</v>
      </c>
      <c r="C186" s="88">
        <v>2480</v>
      </c>
      <c r="D186" s="85">
        <v>665.61800000000005</v>
      </c>
      <c r="E186" s="86">
        <v>2470</v>
      </c>
      <c r="F186" s="85">
        <v>1401.3019999999999</v>
      </c>
      <c r="G186" s="87">
        <v>2470</v>
      </c>
      <c r="H186" s="85">
        <v>1399.787</v>
      </c>
      <c r="I186" s="87">
        <v>2470</v>
      </c>
      <c r="J186" s="85">
        <v>1191.8019999999999</v>
      </c>
      <c r="K186" s="87">
        <v>2470</v>
      </c>
      <c r="L186" s="85">
        <v>1191.5889999999999</v>
      </c>
      <c r="M186" s="87">
        <v>2470</v>
      </c>
      <c r="N186" s="85">
        <v>1191.576</v>
      </c>
      <c r="O186" s="87">
        <v>2450</v>
      </c>
      <c r="P186" s="85">
        <v>1192.6759999999999</v>
      </c>
      <c r="Q186" s="87">
        <v>2470</v>
      </c>
      <c r="R186" s="85">
        <v>1192.2660000000001</v>
      </c>
      <c r="S186" s="87">
        <v>2470</v>
      </c>
      <c r="T186" s="85">
        <v>1192.6769999999999</v>
      </c>
      <c r="U186" s="87">
        <v>2460</v>
      </c>
      <c r="V186" s="85">
        <v>1191.0309999999999</v>
      </c>
      <c r="W186" s="87">
        <v>2470</v>
      </c>
      <c r="X186" s="85">
        <v>1190.923</v>
      </c>
      <c r="Y186" s="87">
        <v>2470</v>
      </c>
      <c r="Z186" s="89">
        <v>1189.5650000000001</v>
      </c>
      <c r="AA186" s="87">
        <v>2470</v>
      </c>
      <c r="AB186" s="85">
        <v>1189</v>
      </c>
      <c r="AC186" s="87">
        <v>2460</v>
      </c>
      <c r="AD186" s="85">
        <v>1113.3040000000001</v>
      </c>
      <c r="AE186" s="87">
        <v>2470</v>
      </c>
      <c r="AF186" s="85">
        <v>1114.3630000000001</v>
      </c>
      <c r="AG186" s="87">
        <v>2450</v>
      </c>
      <c r="AH186" s="85">
        <v>320.661</v>
      </c>
      <c r="AI186" s="87">
        <v>2450</v>
      </c>
      <c r="AJ186" s="85">
        <v>334.63900000000001</v>
      </c>
    </row>
    <row r="187" spans="1:36" ht="14.25" customHeight="1">
      <c r="A187" s="88">
        <v>2480</v>
      </c>
      <c r="B187" s="84">
        <v>669.79499999999996</v>
      </c>
      <c r="C187" s="88">
        <v>2490</v>
      </c>
      <c r="D187" s="85">
        <v>664.851</v>
      </c>
      <c r="E187" s="86">
        <v>2480</v>
      </c>
      <c r="F187" s="85">
        <v>1399.8430000000001</v>
      </c>
      <c r="G187" s="87">
        <v>2480</v>
      </c>
      <c r="H187" s="85">
        <v>1398.3309999999999</v>
      </c>
      <c r="I187" s="87">
        <v>2480</v>
      </c>
      <c r="J187" s="85">
        <v>1190.627</v>
      </c>
      <c r="K187" s="87">
        <v>2480</v>
      </c>
      <c r="L187" s="85">
        <v>1190.415</v>
      </c>
      <c r="M187" s="87">
        <v>2480</v>
      </c>
      <c r="N187" s="85">
        <v>1190.402</v>
      </c>
      <c r="O187" s="87">
        <v>2460</v>
      </c>
      <c r="P187" s="85">
        <v>1191.5029999999999</v>
      </c>
      <c r="Q187" s="87">
        <v>2480</v>
      </c>
      <c r="R187" s="85">
        <v>1191.0920000000001</v>
      </c>
      <c r="S187" s="87">
        <v>2480</v>
      </c>
      <c r="T187" s="85">
        <v>1191.5039999999999</v>
      </c>
      <c r="U187" s="87">
        <v>2470</v>
      </c>
      <c r="V187" s="85">
        <v>1189.8599999999999</v>
      </c>
      <c r="W187" s="87">
        <v>2480</v>
      </c>
      <c r="X187" s="85">
        <v>1189.752</v>
      </c>
      <c r="Y187" s="87">
        <v>2480</v>
      </c>
      <c r="Z187" s="85">
        <v>1188.393</v>
      </c>
      <c r="AA187" s="87">
        <v>2480</v>
      </c>
      <c r="AB187" s="85">
        <v>1187.8309999999999</v>
      </c>
      <c r="AC187" s="87">
        <v>2470</v>
      </c>
      <c r="AD187" s="85">
        <v>1112.133</v>
      </c>
      <c r="AE187" s="87">
        <v>2480</v>
      </c>
      <c r="AF187" s="85">
        <v>1113.193</v>
      </c>
      <c r="AG187" s="87">
        <v>2460</v>
      </c>
      <c r="AH187" s="85">
        <v>320.279</v>
      </c>
      <c r="AI187" s="87">
        <v>2460</v>
      </c>
      <c r="AJ187" s="85">
        <v>334.24400000000003</v>
      </c>
    </row>
    <row r="188" spans="1:36" ht="14.25" customHeight="1">
      <c r="A188" s="88">
        <v>2490</v>
      </c>
      <c r="B188" s="84">
        <v>669.02200000000005</v>
      </c>
      <c r="C188" s="88">
        <v>2500</v>
      </c>
      <c r="D188" s="85">
        <v>664.08399999999995</v>
      </c>
      <c r="E188" s="86">
        <v>2490</v>
      </c>
      <c r="F188" s="85">
        <v>1398.383</v>
      </c>
      <c r="G188" s="87">
        <v>2490</v>
      </c>
      <c r="H188" s="85">
        <v>1396.876</v>
      </c>
      <c r="I188" s="87">
        <v>2490</v>
      </c>
      <c r="J188" s="85">
        <v>1189.452</v>
      </c>
      <c r="K188" s="87">
        <v>2490</v>
      </c>
      <c r="L188" s="85">
        <v>1189.24</v>
      </c>
      <c r="M188" s="87">
        <v>2490</v>
      </c>
      <c r="N188" s="85">
        <v>1189.2270000000001</v>
      </c>
      <c r="O188" s="87">
        <v>2470</v>
      </c>
      <c r="P188" s="85">
        <v>1190.329</v>
      </c>
      <c r="Q188" s="87">
        <v>2490</v>
      </c>
      <c r="R188" s="85">
        <v>1189.9179999999999</v>
      </c>
      <c r="S188" s="87">
        <v>2490</v>
      </c>
      <c r="T188" s="85">
        <v>1190.3309999999999</v>
      </c>
      <c r="U188" s="87">
        <v>2480</v>
      </c>
      <c r="V188" s="85">
        <v>1188.6890000000001</v>
      </c>
      <c r="W188" s="87">
        <v>2490</v>
      </c>
      <c r="X188" s="85">
        <v>1188.58</v>
      </c>
      <c r="Y188" s="87">
        <v>2490</v>
      </c>
      <c r="Z188" s="85">
        <v>1187.221</v>
      </c>
      <c r="AA188" s="87">
        <v>2490</v>
      </c>
      <c r="AB188" s="85">
        <v>1186.6610000000001</v>
      </c>
      <c r="AC188" s="87">
        <v>2480</v>
      </c>
      <c r="AD188" s="85">
        <v>1110.961</v>
      </c>
      <c r="AE188" s="87">
        <v>2490</v>
      </c>
      <c r="AF188" s="85">
        <v>1112.0229999999999</v>
      </c>
      <c r="AG188" s="87">
        <v>2470</v>
      </c>
      <c r="AH188" s="85">
        <v>319.89800000000002</v>
      </c>
      <c r="AI188" s="87">
        <v>2470</v>
      </c>
      <c r="AJ188" s="85">
        <v>333.84800000000001</v>
      </c>
    </row>
    <row r="189" spans="1:36" ht="14.25" customHeight="1">
      <c r="A189" s="88">
        <v>2500</v>
      </c>
      <c r="B189" s="84">
        <v>668.24800000000005</v>
      </c>
      <c r="C189" s="88">
        <v>2510</v>
      </c>
      <c r="D189" s="85">
        <v>663.31700000000001</v>
      </c>
      <c r="E189" s="86">
        <v>2500</v>
      </c>
      <c r="F189" s="85">
        <v>1396.923</v>
      </c>
      <c r="G189" s="87">
        <v>2500</v>
      </c>
      <c r="H189" s="85">
        <v>1395.42</v>
      </c>
      <c r="I189" s="87">
        <v>2500</v>
      </c>
      <c r="J189" s="85">
        <v>1188.277</v>
      </c>
      <c r="K189" s="87">
        <v>2500</v>
      </c>
      <c r="L189" s="85">
        <v>1188.0650000000001</v>
      </c>
      <c r="M189" s="87">
        <v>2500</v>
      </c>
      <c r="N189" s="85">
        <v>1188.0519999999999</v>
      </c>
      <c r="O189" s="87">
        <v>2480</v>
      </c>
      <c r="P189" s="85">
        <v>1189.154</v>
      </c>
      <c r="Q189" s="87">
        <v>2500</v>
      </c>
      <c r="R189" s="85">
        <v>1188.7439999999999</v>
      </c>
      <c r="S189" s="87">
        <v>2500</v>
      </c>
      <c r="T189" s="85">
        <v>1189.1579999999999</v>
      </c>
      <c r="U189" s="87">
        <v>2490</v>
      </c>
      <c r="V189" s="85">
        <v>1187.518</v>
      </c>
      <c r="W189" s="87">
        <v>2500</v>
      </c>
      <c r="X189" s="85">
        <v>1187.4079999999999</v>
      </c>
      <c r="Y189" s="87">
        <v>2500</v>
      </c>
      <c r="Z189" s="85">
        <v>1186.048</v>
      </c>
      <c r="AA189" s="87">
        <v>2500</v>
      </c>
      <c r="AB189" s="85">
        <v>1185.49</v>
      </c>
      <c r="AC189" s="87">
        <v>2490</v>
      </c>
      <c r="AD189" s="85">
        <v>1109.789</v>
      </c>
      <c r="AE189" s="87">
        <v>2500</v>
      </c>
      <c r="AF189" s="85">
        <v>1110.8520000000001</v>
      </c>
      <c r="AG189" s="87">
        <v>2480</v>
      </c>
      <c r="AH189" s="85">
        <v>319.51600000000002</v>
      </c>
      <c r="AI189" s="87">
        <v>2480</v>
      </c>
      <c r="AJ189" s="85">
        <v>333.45299999999997</v>
      </c>
    </row>
    <row r="190" spans="1:36" ht="14.25" customHeight="1">
      <c r="A190" s="88">
        <v>2510</v>
      </c>
      <c r="B190" s="84">
        <v>667.47400000000005</v>
      </c>
      <c r="C190" s="88">
        <v>2520</v>
      </c>
      <c r="D190" s="85">
        <v>662.55</v>
      </c>
      <c r="E190" s="86">
        <v>2510</v>
      </c>
      <c r="F190" s="85">
        <v>1395.463</v>
      </c>
      <c r="G190" s="87">
        <v>2510</v>
      </c>
      <c r="H190" s="85">
        <v>1393.963</v>
      </c>
      <c r="I190" s="87">
        <v>2510</v>
      </c>
      <c r="J190" s="85">
        <v>1187.1020000000001</v>
      </c>
      <c r="K190" s="87">
        <v>2510</v>
      </c>
      <c r="L190" s="85">
        <v>1186.8900000000001</v>
      </c>
      <c r="M190" s="87">
        <v>2510</v>
      </c>
      <c r="N190" s="85">
        <v>1186.8779999999999</v>
      </c>
      <c r="O190" s="87">
        <v>2490</v>
      </c>
      <c r="P190" s="85">
        <v>1187.98</v>
      </c>
      <c r="Q190" s="87">
        <v>2510</v>
      </c>
      <c r="R190" s="85">
        <v>1187.569</v>
      </c>
      <c r="S190" s="87">
        <v>2510</v>
      </c>
      <c r="T190" s="85">
        <v>1187.9839999999999</v>
      </c>
      <c r="U190" s="87">
        <v>2500</v>
      </c>
      <c r="V190" s="85">
        <v>1186.346</v>
      </c>
      <c r="W190" s="87">
        <v>2510</v>
      </c>
      <c r="X190" s="85">
        <v>1186.2360000000001</v>
      </c>
      <c r="Y190" s="87">
        <v>2510</v>
      </c>
      <c r="Z190" s="85">
        <v>1184.875</v>
      </c>
      <c r="AA190" s="87">
        <v>2510</v>
      </c>
      <c r="AB190" s="85">
        <v>1184.32</v>
      </c>
      <c r="AC190" s="87">
        <v>2500</v>
      </c>
      <c r="AD190" s="85">
        <v>1108.617</v>
      </c>
      <c r="AE190" s="87">
        <v>2510</v>
      </c>
      <c r="AF190" s="85">
        <v>1109.682</v>
      </c>
      <c r="AG190" s="87">
        <v>2490</v>
      </c>
      <c r="AH190" s="85">
        <v>319.13400000000001</v>
      </c>
      <c r="AI190" s="87">
        <v>2490</v>
      </c>
      <c r="AJ190" s="85">
        <v>333.05700000000002</v>
      </c>
    </row>
    <row r="191" spans="1:36" ht="14.25" customHeight="1">
      <c r="A191" s="88">
        <v>2520</v>
      </c>
      <c r="B191" s="84">
        <v>666.7</v>
      </c>
      <c r="C191" s="88">
        <v>2530</v>
      </c>
      <c r="D191" s="85">
        <v>661.78200000000004</v>
      </c>
      <c r="E191" s="86">
        <v>2520</v>
      </c>
      <c r="F191" s="85">
        <v>1394.002</v>
      </c>
      <c r="G191" s="87">
        <v>2520</v>
      </c>
      <c r="H191" s="85">
        <v>1392.5070000000001</v>
      </c>
      <c r="I191" s="87">
        <v>2520</v>
      </c>
      <c r="J191" s="85">
        <v>1185.9259999999999</v>
      </c>
      <c r="K191" s="87">
        <v>2520</v>
      </c>
      <c r="L191" s="85">
        <v>1185.7149999999999</v>
      </c>
      <c r="M191" s="87">
        <v>2520</v>
      </c>
      <c r="N191" s="85">
        <v>1185.702</v>
      </c>
      <c r="O191" s="87">
        <v>2500</v>
      </c>
      <c r="P191" s="85">
        <v>1186.8050000000001</v>
      </c>
      <c r="Q191" s="87">
        <v>2520</v>
      </c>
      <c r="R191" s="85">
        <v>1186.395</v>
      </c>
      <c r="S191" s="87">
        <v>2520</v>
      </c>
      <c r="T191" s="85">
        <v>1186.81</v>
      </c>
      <c r="U191" s="87">
        <v>2510</v>
      </c>
      <c r="V191" s="85">
        <v>1185.175</v>
      </c>
      <c r="W191" s="87">
        <v>2520</v>
      </c>
      <c r="X191" s="85">
        <v>1185.0640000000001</v>
      </c>
      <c r="Y191" s="87">
        <v>2520</v>
      </c>
      <c r="Z191" s="85">
        <v>1183.702</v>
      </c>
      <c r="AA191" s="87">
        <v>2520</v>
      </c>
      <c r="AB191" s="85">
        <v>1183.1489999999999</v>
      </c>
      <c r="AC191" s="87">
        <v>2510</v>
      </c>
      <c r="AD191" s="85">
        <v>1107.444</v>
      </c>
      <c r="AE191" s="87">
        <v>2520</v>
      </c>
      <c r="AF191" s="85">
        <v>1108.511</v>
      </c>
      <c r="AG191" s="87">
        <v>2500</v>
      </c>
      <c r="AH191" s="85">
        <v>318.75200000000001</v>
      </c>
      <c r="AI191" s="87">
        <v>2500</v>
      </c>
      <c r="AJ191" s="85">
        <v>332.661</v>
      </c>
    </row>
    <row r="192" spans="1:36" ht="14.25" customHeight="1">
      <c r="A192" s="88">
        <v>2530</v>
      </c>
      <c r="B192" s="84">
        <v>665.92499999999995</v>
      </c>
      <c r="C192" s="88">
        <v>2540</v>
      </c>
      <c r="D192" s="85">
        <v>661.01400000000001</v>
      </c>
      <c r="E192" s="86">
        <v>2530</v>
      </c>
      <c r="F192" s="85">
        <v>1392.5409999999999</v>
      </c>
      <c r="G192" s="87">
        <v>2530</v>
      </c>
      <c r="H192" s="85">
        <v>1391.05</v>
      </c>
      <c r="I192" s="87">
        <v>2530</v>
      </c>
      <c r="J192" s="85">
        <v>1184.75</v>
      </c>
      <c r="K192" s="87">
        <v>2530</v>
      </c>
      <c r="L192" s="85">
        <v>1184.539</v>
      </c>
      <c r="M192" s="87">
        <v>2530</v>
      </c>
      <c r="N192" s="85">
        <v>1184.527</v>
      </c>
      <c r="O192" s="87">
        <v>2510</v>
      </c>
      <c r="P192" s="85">
        <v>1185.6300000000001</v>
      </c>
      <c r="Q192" s="87">
        <v>2530</v>
      </c>
      <c r="R192" s="85">
        <v>1185.22</v>
      </c>
      <c r="S192" s="87">
        <v>2530</v>
      </c>
      <c r="T192" s="85">
        <v>1185.636</v>
      </c>
      <c r="U192" s="87">
        <v>2520</v>
      </c>
      <c r="V192" s="85">
        <v>1184.0029999999999</v>
      </c>
      <c r="W192" s="87">
        <v>2530</v>
      </c>
      <c r="X192" s="85">
        <v>1183.8920000000001</v>
      </c>
      <c r="Y192" s="87">
        <v>2530</v>
      </c>
      <c r="Z192" s="85">
        <v>1182.529</v>
      </c>
      <c r="AA192" s="87">
        <v>2530</v>
      </c>
      <c r="AB192" s="85">
        <v>1181.9780000000001</v>
      </c>
      <c r="AC192" s="87">
        <v>2520</v>
      </c>
      <c r="AD192" s="85">
        <v>1106.271</v>
      </c>
      <c r="AE192" s="87">
        <v>2530</v>
      </c>
      <c r="AF192" s="85">
        <v>1107.3389999999999</v>
      </c>
      <c r="AG192" s="87">
        <v>2510</v>
      </c>
      <c r="AH192" s="85">
        <v>318.37</v>
      </c>
      <c r="AI192" s="87">
        <v>2510</v>
      </c>
      <c r="AJ192" s="85">
        <v>332.26499999999999</v>
      </c>
    </row>
    <row r="193" spans="1:36" ht="14.25" customHeight="1">
      <c r="A193" s="88">
        <v>2540</v>
      </c>
      <c r="B193" s="84">
        <v>665.15099999999995</v>
      </c>
      <c r="C193" s="88">
        <v>2550</v>
      </c>
      <c r="D193" s="85">
        <v>660.24699999999996</v>
      </c>
      <c r="E193" s="86">
        <v>2540</v>
      </c>
      <c r="F193" s="85">
        <v>1391.08</v>
      </c>
      <c r="G193" s="87">
        <v>2540</v>
      </c>
      <c r="H193" s="85">
        <v>1389.5930000000001</v>
      </c>
      <c r="I193" s="87">
        <v>2540</v>
      </c>
      <c r="J193" s="85">
        <v>1183.5740000000001</v>
      </c>
      <c r="K193" s="87">
        <v>2540</v>
      </c>
      <c r="L193" s="85">
        <v>1183.364</v>
      </c>
      <c r="M193" s="87">
        <v>2540</v>
      </c>
      <c r="N193" s="85">
        <v>1183.3510000000001</v>
      </c>
      <c r="O193" s="87">
        <v>2520</v>
      </c>
      <c r="P193" s="85">
        <v>1184.4549999999999</v>
      </c>
      <c r="Q193" s="87">
        <v>2540</v>
      </c>
      <c r="R193" s="85">
        <v>1184.0440000000001</v>
      </c>
      <c r="S193" s="87">
        <v>2540</v>
      </c>
      <c r="T193" s="85">
        <v>1184.461</v>
      </c>
      <c r="U193" s="87">
        <v>2530</v>
      </c>
      <c r="V193" s="85">
        <v>1182.83</v>
      </c>
      <c r="W193" s="87">
        <v>2540</v>
      </c>
      <c r="X193" s="85">
        <v>1182.7190000000001</v>
      </c>
      <c r="Y193" s="87">
        <v>2540</v>
      </c>
      <c r="Z193" s="85">
        <v>1181.355</v>
      </c>
      <c r="AA193" s="87">
        <v>2540</v>
      </c>
      <c r="AB193" s="85">
        <v>1180.807</v>
      </c>
      <c r="AC193" s="87">
        <v>2530</v>
      </c>
      <c r="AD193" s="85">
        <v>1105.098</v>
      </c>
      <c r="AE193" s="87">
        <v>2540</v>
      </c>
      <c r="AF193" s="85">
        <v>1106.1679999999999</v>
      </c>
      <c r="AG193" s="87">
        <v>2520</v>
      </c>
      <c r="AH193" s="85">
        <v>317.988</v>
      </c>
      <c r="AI193" s="87">
        <v>2520</v>
      </c>
      <c r="AJ193" s="85">
        <v>331.86900000000003</v>
      </c>
    </row>
    <row r="194" spans="1:36" ht="14.25" customHeight="1">
      <c r="A194" s="88">
        <v>2550</v>
      </c>
      <c r="B194" s="84">
        <v>664.37599999999998</v>
      </c>
      <c r="C194" s="88">
        <v>2560</v>
      </c>
      <c r="D194" s="85">
        <v>659.47799999999995</v>
      </c>
      <c r="E194" s="86">
        <v>2550</v>
      </c>
      <c r="F194" s="85">
        <v>1389.6179999999999</v>
      </c>
      <c r="G194" s="87">
        <v>2550</v>
      </c>
      <c r="H194" s="85">
        <v>1388.135</v>
      </c>
      <c r="I194" s="87">
        <v>2550</v>
      </c>
      <c r="J194" s="85">
        <v>1182.3979999999999</v>
      </c>
      <c r="K194" s="87">
        <v>2550</v>
      </c>
      <c r="L194" s="85">
        <v>1182.1869999999999</v>
      </c>
      <c r="M194" s="87">
        <v>2550</v>
      </c>
      <c r="N194" s="85">
        <v>1182.175</v>
      </c>
      <c r="O194" s="87">
        <v>2530</v>
      </c>
      <c r="P194" s="85">
        <v>1183.28</v>
      </c>
      <c r="Q194" s="87">
        <v>2550</v>
      </c>
      <c r="R194" s="85">
        <v>1182.8689999999999</v>
      </c>
      <c r="S194" s="87">
        <v>2550</v>
      </c>
      <c r="T194" s="85">
        <v>1183.2860000000001</v>
      </c>
      <c r="U194" s="87">
        <v>2540</v>
      </c>
      <c r="V194" s="85">
        <v>1181.6579999999999</v>
      </c>
      <c r="W194" s="87">
        <v>2550</v>
      </c>
      <c r="X194" s="85">
        <v>1181.546</v>
      </c>
      <c r="Y194" s="87">
        <v>2550</v>
      </c>
      <c r="Z194" s="85">
        <v>1180.182</v>
      </c>
      <c r="AA194" s="87">
        <v>2550</v>
      </c>
      <c r="AB194" s="85">
        <v>1179.636</v>
      </c>
      <c r="AC194" s="87">
        <v>2540</v>
      </c>
      <c r="AD194" s="85">
        <v>1103.925</v>
      </c>
      <c r="AE194" s="87">
        <v>2550</v>
      </c>
      <c r="AF194" s="85">
        <v>1104.9960000000001</v>
      </c>
      <c r="AG194" s="87">
        <v>2530</v>
      </c>
      <c r="AH194" s="85">
        <v>317.60599999999999</v>
      </c>
      <c r="AI194" s="87">
        <v>2530</v>
      </c>
      <c r="AJ194" s="85">
        <v>331.47300000000001</v>
      </c>
    </row>
    <row r="195" spans="1:36" ht="14.25" customHeight="1">
      <c r="A195" s="88">
        <v>2560</v>
      </c>
      <c r="B195" s="84">
        <v>663.601</v>
      </c>
      <c r="C195" s="88">
        <v>2570</v>
      </c>
      <c r="D195" s="85">
        <v>658.71</v>
      </c>
      <c r="E195" s="86">
        <v>2560</v>
      </c>
      <c r="F195" s="85">
        <v>1388.1559999999999</v>
      </c>
      <c r="G195" s="87">
        <v>2560</v>
      </c>
      <c r="H195" s="85">
        <v>1386.6769999999999</v>
      </c>
      <c r="I195" s="87">
        <v>2560</v>
      </c>
      <c r="J195" s="85">
        <v>1181.222</v>
      </c>
      <c r="K195" s="87">
        <v>2560</v>
      </c>
      <c r="L195" s="85">
        <v>1181.011</v>
      </c>
      <c r="M195" s="87">
        <v>2560</v>
      </c>
      <c r="N195" s="85">
        <v>1180.999</v>
      </c>
      <c r="O195" s="87">
        <v>2540</v>
      </c>
      <c r="P195" s="85">
        <v>1182.104</v>
      </c>
      <c r="Q195" s="87">
        <v>2560</v>
      </c>
      <c r="R195" s="85">
        <v>1181.693</v>
      </c>
      <c r="S195" s="87">
        <v>2560</v>
      </c>
      <c r="T195" s="85">
        <v>1182.1120000000001</v>
      </c>
      <c r="U195" s="87">
        <v>2550</v>
      </c>
      <c r="V195" s="85">
        <v>1180.4849999999999</v>
      </c>
      <c r="W195" s="87">
        <v>2560</v>
      </c>
      <c r="X195" s="85">
        <v>1180.373</v>
      </c>
      <c r="Y195" s="87">
        <v>2560</v>
      </c>
      <c r="Z195" s="85">
        <v>1179.0070000000001</v>
      </c>
      <c r="AA195" s="87">
        <v>2560</v>
      </c>
      <c r="AB195" s="85">
        <v>1178.4639999999999</v>
      </c>
      <c r="AC195" s="87">
        <v>2550</v>
      </c>
      <c r="AD195" s="85">
        <v>1102.751</v>
      </c>
      <c r="AE195" s="87">
        <v>2560</v>
      </c>
      <c r="AF195" s="85">
        <v>1103.8240000000001</v>
      </c>
      <c r="AG195" s="87">
        <v>2540</v>
      </c>
      <c r="AH195" s="85">
        <v>317.22399999999999</v>
      </c>
      <c r="AI195" s="87">
        <v>2540</v>
      </c>
      <c r="AJ195" s="85">
        <v>331.077</v>
      </c>
    </row>
    <row r="196" spans="1:36" ht="14.25" customHeight="1">
      <c r="A196" s="88">
        <v>2570</v>
      </c>
      <c r="B196" s="84">
        <v>662.82600000000002</v>
      </c>
      <c r="C196" s="88">
        <v>2580</v>
      </c>
      <c r="D196" s="85">
        <v>657.94200000000001</v>
      </c>
      <c r="E196" s="86">
        <v>2570</v>
      </c>
      <c r="F196" s="85">
        <v>1386.694</v>
      </c>
      <c r="G196" s="87">
        <v>2570</v>
      </c>
      <c r="H196" s="85">
        <v>1385.2190000000001</v>
      </c>
      <c r="I196" s="87">
        <v>2570</v>
      </c>
      <c r="J196" s="85">
        <v>1180.0450000000001</v>
      </c>
      <c r="K196" s="87">
        <v>2570</v>
      </c>
      <c r="L196" s="85">
        <v>1179.835</v>
      </c>
      <c r="M196" s="87">
        <v>2570</v>
      </c>
      <c r="N196" s="85">
        <v>1179.8219999999999</v>
      </c>
      <c r="O196" s="87">
        <v>2550</v>
      </c>
      <c r="P196" s="85">
        <v>1180.9280000000001</v>
      </c>
      <c r="Q196" s="87">
        <v>2570</v>
      </c>
      <c r="R196" s="85">
        <v>1180.5170000000001</v>
      </c>
      <c r="S196" s="87">
        <v>2570</v>
      </c>
      <c r="T196" s="85">
        <v>1180.9359999999999</v>
      </c>
      <c r="U196" s="87">
        <v>2560</v>
      </c>
      <c r="V196" s="85">
        <v>1179.3119999999999</v>
      </c>
      <c r="W196" s="87">
        <v>2570</v>
      </c>
      <c r="X196" s="85">
        <v>1179.2</v>
      </c>
      <c r="Y196" s="87">
        <v>2570</v>
      </c>
      <c r="Z196" s="85">
        <v>1177.8330000000001</v>
      </c>
      <c r="AA196" s="87">
        <v>2570</v>
      </c>
      <c r="AB196" s="85">
        <v>1177.2919999999999</v>
      </c>
      <c r="AC196" s="87">
        <v>2560</v>
      </c>
      <c r="AD196" s="85">
        <v>1101.577</v>
      </c>
      <c r="AE196" s="87">
        <v>2570</v>
      </c>
      <c r="AF196" s="85">
        <v>1102.652</v>
      </c>
      <c r="AG196" s="87">
        <v>2550</v>
      </c>
      <c r="AH196" s="85">
        <v>316.84100000000001</v>
      </c>
      <c r="AI196" s="87">
        <v>2550</v>
      </c>
      <c r="AJ196" s="85">
        <v>330.68</v>
      </c>
    </row>
    <row r="197" spans="1:36" ht="14.25" customHeight="1">
      <c r="A197" s="88">
        <v>2580</v>
      </c>
      <c r="B197" s="84">
        <v>662.05100000000004</v>
      </c>
      <c r="C197" s="88">
        <v>2590</v>
      </c>
      <c r="D197" s="85">
        <v>657.173</v>
      </c>
      <c r="E197" s="86">
        <v>2580</v>
      </c>
      <c r="F197" s="85">
        <v>1385.232</v>
      </c>
      <c r="G197" s="87">
        <v>2580</v>
      </c>
      <c r="H197" s="85">
        <v>1383.761</v>
      </c>
      <c r="I197" s="87">
        <v>2580</v>
      </c>
      <c r="J197" s="85">
        <v>1178.8679999999999</v>
      </c>
      <c r="K197" s="87">
        <v>2580</v>
      </c>
      <c r="L197" s="85">
        <v>1178.6579999999999</v>
      </c>
      <c r="M197" s="87">
        <v>2580</v>
      </c>
      <c r="N197" s="85">
        <v>1178.646</v>
      </c>
      <c r="O197" s="87">
        <v>2560</v>
      </c>
      <c r="P197" s="85">
        <v>1179.752</v>
      </c>
      <c r="Q197" s="87">
        <v>2580</v>
      </c>
      <c r="R197" s="85">
        <v>1179.3409999999999</v>
      </c>
      <c r="S197" s="87">
        <v>2580</v>
      </c>
      <c r="T197" s="85">
        <v>1179.761</v>
      </c>
      <c r="U197" s="87">
        <v>2570</v>
      </c>
      <c r="V197" s="85">
        <v>1178.1389999999999</v>
      </c>
      <c r="W197" s="87">
        <v>2580</v>
      </c>
      <c r="X197" s="85">
        <v>1178.0260000000001</v>
      </c>
      <c r="Y197" s="87">
        <v>2580</v>
      </c>
      <c r="Z197" s="85">
        <v>1176.6590000000001</v>
      </c>
      <c r="AA197" s="87">
        <v>2580</v>
      </c>
      <c r="AB197" s="85">
        <v>1176.1199999999999</v>
      </c>
      <c r="AC197" s="87">
        <v>2570</v>
      </c>
      <c r="AD197" s="85">
        <v>1100.403</v>
      </c>
      <c r="AE197" s="87">
        <v>2580</v>
      </c>
      <c r="AF197" s="85">
        <v>1101.48</v>
      </c>
      <c r="AG197" s="87">
        <v>2560</v>
      </c>
      <c r="AH197" s="85">
        <v>316.459</v>
      </c>
      <c r="AI197" s="87">
        <v>2560</v>
      </c>
      <c r="AJ197" s="85">
        <v>330.28399999999999</v>
      </c>
    </row>
    <row r="198" spans="1:36" ht="14.25" customHeight="1">
      <c r="A198" s="88">
        <v>2590</v>
      </c>
      <c r="B198" s="84">
        <v>661.27599999999995</v>
      </c>
      <c r="C198" s="88">
        <v>2600</v>
      </c>
      <c r="D198" s="85">
        <v>656.404</v>
      </c>
      <c r="E198" s="86">
        <v>2590</v>
      </c>
      <c r="F198" s="85">
        <v>1383.769</v>
      </c>
      <c r="G198" s="87">
        <v>2590</v>
      </c>
      <c r="H198" s="85">
        <v>1382.3019999999999</v>
      </c>
      <c r="I198" s="87">
        <v>2590</v>
      </c>
      <c r="J198" s="85">
        <v>1177.691</v>
      </c>
      <c r="K198" s="87">
        <v>2590</v>
      </c>
      <c r="L198" s="85">
        <v>1177.481</v>
      </c>
      <c r="M198" s="87">
        <v>2590</v>
      </c>
      <c r="N198" s="85">
        <v>1177.4690000000001</v>
      </c>
      <c r="O198" s="87">
        <v>2570</v>
      </c>
      <c r="P198" s="85">
        <v>1178.575</v>
      </c>
      <c r="Q198" s="87">
        <v>2590</v>
      </c>
      <c r="R198" s="85">
        <v>1178.164</v>
      </c>
      <c r="S198" s="87">
        <v>2590</v>
      </c>
      <c r="T198" s="85">
        <v>1178.585</v>
      </c>
      <c r="U198" s="87">
        <v>2580</v>
      </c>
      <c r="V198" s="85">
        <v>1176.9659999999999</v>
      </c>
      <c r="W198" s="87">
        <v>2590</v>
      </c>
      <c r="X198" s="85">
        <v>1176.8520000000001</v>
      </c>
      <c r="Y198" s="87">
        <v>2590</v>
      </c>
      <c r="Z198" s="85">
        <v>1175.4839999999999</v>
      </c>
      <c r="AA198" s="87">
        <v>2590</v>
      </c>
      <c r="AB198" s="85">
        <v>1174.9480000000001</v>
      </c>
      <c r="AC198" s="87">
        <v>2580</v>
      </c>
      <c r="AD198" s="85">
        <v>1099.229</v>
      </c>
      <c r="AE198" s="87">
        <v>2590</v>
      </c>
      <c r="AF198" s="85">
        <v>1100.307</v>
      </c>
      <c r="AG198" s="87">
        <v>2570</v>
      </c>
      <c r="AH198" s="85">
        <v>316.07600000000002</v>
      </c>
      <c r="AI198" s="87">
        <v>2570</v>
      </c>
      <c r="AJ198" s="85">
        <v>329.88799999999998</v>
      </c>
    </row>
    <row r="199" spans="1:36" ht="14.25" customHeight="1">
      <c r="A199" s="88">
        <v>2600</v>
      </c>
      <c r="B199" s="84">
        <v>660.5</v>
      </c>
      <c r="C199" s="88">
        <v>2610</v>
      </c>
      <c r="D199" s="85">
        <v>655.63499999999999</v>
      </c>
      <c r="E199" s="86">
        <v>2600</v>
      </c>
      <c r="F199" s="85">
        <v>1382.306</v>
      </c>
      <c r="G199" s="87">
        <v>2600</v>
      </c>
      <c r="H199" s="85">
        <v>1380.8430000000001</v>
      </c>
      <c r="I199" s="87">
        <v>2600</v>
      </c>
      <c r="J199" s="85">
        <v>1176.5129999999999</v>
      </c>
      <c r="K199" s="87">
        <v>2600</v>
      </c>
      <c r="L199" s="85">
        <v>1176.3030000000001</v>
      </c>
      <c r="M199" s="87">
        <v>2600</v>
      </c>
      <c r="N199" s="85">
        <v>1176.2919999999999</v>
      </c>
      <c r="O199" s="87">
        <v>2580</v>
      </c>
      <c r="P199" s="85">
        <v>1177.3989999999999</v>
      </c>
      <c r="Q199" s="87">
        <v>2600</v>
      </c>
      <c r="R199" s="85">
        <v>1176.9880000000001</v>
      </c>
      <c r="S199" s="87">
        <v>2600</v>
      </c>
      <c r="T199" s="85">
        <v>1177.4090000000001</v>
      </c>
      <c r="U199" s="87">
        <v>2590</v>
      </c>
      <c r="V199" s="85">
        <v>1175.7919999999999</v>
      </c>
      <c r="W199" s="87">
        <v>2600</v>
      </c>
      <c r="X199" s="85">
        <v>1175.6780000000001</v>
      </c>
      <c r="Y199" s="87">
        <v>2600</v>
      </c>
      <c r="Z199" s="85">
        <v>1174.309</v>
      </c>
      <c r="AA199" s="87">
        <v>2600</v>
      </c>
      <c r="AB199" s="85">
        <v>1173.7750000000001</v>
      </c>
      <c r="AC199" s="87">
        <v>2590</v>
      </c>
      <c r="AD199" s="85">
        <v>1098.0550000000001</v>
      </c>
      <c r="AE199" s="87">
        <v>2600</v>
      </c>
      <c r="AF199" s="85">
        <v>1099.134</v>
      </c>
      <c r="AG199" s="87">
        <v>2580</v>
      </c>
      <c r="AH199" s="85">
        <v>315.69400000000002</v>
      </c>
      <c r="AI199" s="87">
        <v>2580</v>
      </c>
      <c r="AJ199" s="85">
        <v>329.49099999999999</v>
      </c>
    </row>
    <row r="200" spans="1:36" ht="14.25" customHeight="1">
      <c r="A200" s="88">
        <v>2610</v>
      </c>
      <c r="B200" s="84">
        <v>659.72400000000005</v>
      </c>
      <c r="C200" s="88">
        <v>2620</v>
      </c>
      <c r="D200" s="85">
        <v>654.86599999999999</v>
      </c>
      <c r="E200" s="86">
        <v>2610</v>
      </c>
      <c r="F200" s="85">
        <v>1380.8430000000001</v>
      </c>
      <c r="G200" s="87">
        <v>2610</v>
      </c>
      <c r="H200" s="85">
        <v>1379.384</v>
      </c>
      <c r="I200" s="87">
        <v>2610</v>
      </c>
      <c r="J200" s="85">
        <v>1175.336</v>
      </c>
      <c r="K200" s="87">
        <v>2610</v>
      </c>
      <c r="L200" s="85">
        <v>1175.126</v>
      </c>
      <c r="M200" s="87">
        <v>2610</v>
      </c>
      <c r="N200" s="85">
        <v>1175.114</v>
      </c>
      <c r="O200" s="87">
        <v>2590</v>
      </c>
      <c r="P200" s="85">
        <v>1176.222</v>
      </c>
      <c r="Q200" s="87">
        <v>2610</v>
      </c>
      <c r="R200" s="85">
        <v>1175.8109999999999</v>
      </c>
      <c r="S200" s="87">
        <v>2610</v>
      </c>
      <c r="T200" s="85">
        <v>1176.2329999999999</v>
      </c>
      <c r="U200" s="87">
        <v>2600</v>
      </c>
      <c r="V200" s="85">
        <v>1174.6179999999999</v>
      </c>
      <c r="W200" s="87">
        <v>2610</v>
      </c>
      <c r="X200" s="85">
        <v>1174.5029999999999</v>
      </c>
      <c r="Y200" s="87">
        <v>2610</v>
      </c>
      <c r="Z200" s="85">
        <v>1173.134</v>
      </c>
      <c r="AA200" s="87">
        <v>2610</v>
      </c>
      <c r="AB200" s="85">
        <v>1172.6020000000001</v>
      </c>
      <c r="AC200" s="87">
        <v>2600</v>
      </c>
      <c r="AD200" s="85">
        <v>1096.8800000000001</v>
      </c>
      <c r="AE200" s="87">
        <v>2610</v>
      </c>
      <c r="AF200" s="85">
        <v>1097.961</v>
      </c>
      <c r="AG200" s="87">
        <v>2590</v>
      </c>
      <c r="AH200" s="85">
        <v>315.31099999999998</v>
      </c>
      <c r="AI200" s="87">
        <v>2590</v>
      </c>
      <c r="AJ200" s="85">
        <v>329.09399999999999</v>
      </c>
    </row>
    <row r="201" spans="1:36" ht="14.25" customHeight="1">
      <c r="A201" s="88">
        <v>2620</v>
      </c>
      <c r="B201" s="84">
        <v>658.94799999999998</v>
      </c>
      <c r="C201" s="88">
        <v>2630</v>
      </c>
      <c r="D201" s="85">
        <v>654.096</v>
      </c>
      <c r="E201" s="86">
        <v>2620</v>
      </c>
      <c r="F201" s="85">
        <v>1379.3789999999999</v>
      </c>
      <c r="G201" s="87">
        <v>2620</v>
      </c>
      <c r="H201" s="85">
        <v>1377.924</v>
      </c>
      <c r="I201" s="87">
        <v>2620</v>
      </c>
      <c r="J201" s="85">
        <v>1174.1579999999999</v>
      </c>
      <c r="K201" s="87">
        <v>2620</v>
      </c>
      <c r="L201" s="85">
        <v>1173.9480000000001</v>
      </c>
      <c r="M201" s="87">
        <v>2620</v>
      </c>
      <c r="N201" s="85">
        <v>1173.9359999999999</v>
      </c>
      <c r="O201" s="87">
        <v>2600</v>
      </c>
      <c r="P201" s="85">
        <v>1175.0450000000001</v>
      </c>
      <c r="Q201" s="87">
        <v>2620</v>
      </c>
      <c r="R201" s="85">
        <v>1174.634</v>
      </c>
      <c r="S201" s="87">
        <v>2620</v>
      </c>
      <c r="T201" s="85">
        <v>1175.057</v>
      </c>
      <c r="U201" s="87">
        <v>2610</v>
      </c>
      <c r="V201" s="85">
        <v>1173.444</v>
      </c>
      <c r="W201" s="87">
        <v>2620</v>
      </c>
      <c r="X201" s="85">
        <v>1173.329</v>
      </c>
      <c r="Y201" s="87">
        <v>2620</v>
      </c>
      <c r="Z201" s="85">
        <v>1171.9580000000001</v>
      </c>
      <c r="AA201" s="87">
        <v>2620</v>
      </c>
      <c r="AB201" s="85">
        <v>1171.4290000000001</v>
      </c>
      <c r="AC201" s="87">
        <v>2610</v>
      </c>
      <c r="AD201" s="85">
        <v>1095.7049999999999</v>
      </c>
      <c r="AE201" s="87">
        <v>2620</v>
      </c>
      <c r="AF201" s="85">
        <v>1096.787</v>
      </c>
      <c r="AG201" s="87">
        <v>2600</v>
      </c>
      <c r="AH201" s="85">
        <v>314.928</v>
      </c>
      <c r="AI201" s="87">
        <v>2600</v>
      </c>
      <c r="AJ201" s="85">
        <v>328.69799999999998</v>
      </c>
    </row>
    <row r="202" spans="1:36" ht="14.25" customHeight="1">
      <c r="A202" s="88">
        <v>2630</v>
      </c>
      <c r="B202" s="84">
        <v>658.17200000000003</v>
      </c>
      <c r="C202" s="88">
        <v>2640</v>
      </c>
      <c r="D202" s="85">
        <v>653.327</v>
      </c>
      <c r="E202" s="86">
        <v>2630</v>
      </c>
      <c r="F202" s="85">
        <v>1377.915</v>
      </c>
      <c r="G202" s="87">
        <v>2630</v>
      </c>
      <c r="H202" s="85">
        <v>1376.4639999999999</v>
      </c>
      <c r="I202" s="87">
        <v>2630</v>
      </c>
      <c r="J202" s="85">
        <v>1172.98</v>
      </c>
      <c r="K202" s="87">
        <v>2630</v>
      </c>
      <c r="L202" s="85">
        <v>1172.77</v>
      </c>
      <c r="M202" s="87">
        <v>2630</v>
      </c>
      <c r="N202" s="85">
        <v>1172.759</v>
      </c>
      <c r="O202" s="87">
        <v>2610</v>
      </c>
      <c r="P202" s="85">
        <v>1173.867</v>
      </c>
      <c r="Q202" s="87">
        <v>2630</v>
      </c>
      <c r="R202" s="85">
        <v>1173.4559999999999</v>
      </c>
      <c r="S202" s="87">
        <v>2630</v>
      </c>
      <c r="T202" s="85">
        <v>1173.8800000000001</v>
      </c>
      <c r="U202" s="87">
        <v>2620</v>
      </c>
      <c r="V202" s="85">
        <v>1172.269</v>
      </c>
      <c r="W202" s="87">
        <v>2630</v>
      </c>
      <c r="X202" s="85">
        <v>1172.154</v>
      </c>
      <c r="Y202" s="87">
        <v>2630</v>
      </c>
      <c r="Z202" s="85">
        <v>1170.7819999999999</v>
      </c>
      <c r="AA202" s="87">
        <v>2630</v>
      </c>
      <c r="AB202" s="85">
        <v>1170.2560000000001</v>
      </c>
      <c r="AC202" s="87">
        <v>2620</v>
      </c>
      <c r="AD202" s="85">
        <v>1094.53</v>
      </c>
      <c r="AE202" s="87">
        <v>2630</v>
      </c>
      <c r="AF202" s="85">
        <v>1095.614</v>
      </c>
      <c r="AG202" s="87">
        <v>2610</v>
      </c>
      <c r="AH202" s="85">
        <v>314.54500000000002</v>
      </c>
      <c r="AI202" s="87">
        <v>2610</v>
      </c>
      <c r="AJ202" s="85">
        <v>328.30099999999999</v>
      </c>
    </row>
    <row r="203" spans="1:36" ht="14.25" customHeight="1">
      <c r="A203" s="88">
        <v>2640</v>
      </c>
      <c r="B203" s="84">
        <v>657.39599999999996</v>
      </c>
      <c r="C203" s="88">
        <v>2650</v>
      </c>
      <c r="D203" s="85">
        <v>652.55700000000002</v>
      </c>
      <c r="E203" s="86">
        <v>2640</v>
      </c>
      <c r="F203" s="85">
        <v>1376.451</v>
      </c>
      <c r="G203" s="87">
        <v>2640</v>
      </c>
      <c r="H203" s="85">
        <v>1375.0039999999999</v>
      </c>
      <c r="I203" s="87">
        <v>2640</v>
      </c>
      <c r="J203" s="85">
        <v>1171.8009999999999</v>
      </c>
      <c r="K203" s="87">
        <v>2640</v>
      </c>
      <c r="L203" s="85">
        <v>1171.5920000000001</v>
      </c>
      <c r="M203" s="87">
        <v>2640</v>
      </c>
      <c r="N203" s="85">
        <v>1171.58</v>
      </c>
      <c r="O203" s="87">
        <v>2620</v>
      </c>
      <c r="P203" s="85">
        <v>1172.69</v>
      </c>
      <c r="Q203" s="87">
        <v>2640</v>
      </c>
      <c r="R203" s="85">
        <v>1172.279</v>
      </c>
      <c r="S203" s="87">
        <v>2640</v>
      </c>
      <c r="T203" s="85">
        <v>1172.703</v>
      </c>
      <c r="U203" s="87">
        <v>2630</v>
      </c>
      <c r="V203" s="85">
        <v>1171.095</v>
      </c>
      <c r="W203" s="87">
        <v>2640</v>
      </c>
      <c r="X203" s="85">
        <v>1170.979</v>
      </c>
      <c r="Y203" s="87">
        <v>2640</v>
      </c>
      <c r="Z203" s="85">
        <v>1169.606</v>
      </c>
      <c r="AA203" s="87">
        <v>2640</v>
      </c>
      <c r="AB203" s="85">
        <v>1169.0820000000001</v>
      </c>
      <c r="AC203" s="87">
        <v>2630</v>
      </c>
      <c r="AD203" s="85">
        <v>1093.354</v>
      </c>
      <c r="AE203" s="87">
        <v>2640</v>
      </c>
      <c r="AF203" s="85">
        <v>1094.44</v>
      </c>
      <c r="AG203" s="87">
        <v>2620</v>
      </c>
      <c r="AH203" s="85">
        <v>314.16199999999998</v>
      </c>
      <c r="AI203" s="87">
        <v>2620</v>
      </c>
      <c r="AJ203" s="85">
        <v>327.904</v>
      </c>
    </row>
    <row r="204" spans="1:36" ht="14.25" customHeight="1">
      <c r="A204" s="88">
        <v>2650</v>
      </c>
      <c r="B204" s="84">
        <v>656.61900000000003</v>
      </c>
      <c r="C204" s="88">
        <v>2660</v>
      </c>
      <c r="D204" s="85">
        <v>651.78700000000003</v>
      </c>
      <c r="E204" s="86">
        <v>2650</v>
      </c>
      <c r="F204" s="85">
        <v>1374.9860000000001</v>
      </c>
      <c r="G204" s="87">
        <v>2650</v>
      </c>
      <c r="H204" s="85">
        <v>1373.5429999999999</v>
      </c>
      <c r="I204" s="87">
        <v>2650</v>
      </c>
      <c r="J204" s="85">
        <v>1170.6220000000001</v>
      </c>
      <c r="K204" s="87">
        <v>2650</v>
      </c>
      <c r="L204" s="85">
        <v>1170.413</v>
      </c>
      <c r="M204" s="87">
        <v>2650</v>
      </c>
      <c r="N204" s="85">
        <v>1170.402</v>
      </c>
      <c r="O204" s="87">
        <v>2630</v>
      </c>
      <c r="P204" s="85">
        <v>1171.5119999999999</v>
      </c>
      <c r="Q204" s="87">
        <v>2650</v>
      </c>
      <c r="R204" s="85">
        <v>1171.1010000000001</v>
      </c>
      <c r="S204" s="87">
        <v>2650</v>
      </c>
      <c r="T204" s="85">
        <v>1171.5260000000001</v>
      </c>
      <c r="U204" s="87">
        <v>2640</v>
      </c>
      <c r="V204" s="85">
        <v>1169.92</v>
      </c>
      <c r="W204" s="87">
        <v>2650</v>
      </c>
      <c r="X204" s="85">
        <v>1169.8030000000001</v>
      </c>
      <c r="Y204" s="87">
        <v>2650</v>
      </c>
      <c r="Z204" s="85">
        <v>1168.43</v>
      </c>
      <c r="AA204" s="87">
        <v>2650</v>
      </c>
      <c r="AB204" s="85">
        <v>1167.9079999999999</v>
      </c>
      <c r="AC204" s="87">
        <v>2640</v>
      </c>
      <c r="AD204" s="85">
        <v>1092.1780000000001</v>
      </c>
      <c r="AE204" s="87">
        <v>2650</v>
      </c>
      <c r="AF204" s="85">
        <v>1093.2660000000001</v>
      </c>
      <c r="AG204" s="87">
        <v>2630</v>
      </c>
      <c r="AH204" s="85">
        <v>313.779</v>
      </c>
      <c r="AI204" s="87">
        <v>2630</v>
      </c>
      <c r="AJ204" s="85">
        <v>327.50700000000001</v>
      </c>
    </row>
    <row r="205" spans="1:36" ht="14.25" customHeight="1">
      <c r="A205" s="88">
        <v>2660</v>
      </c>
      <c r="B205" s="84">
        <v>655.84299999999996</v>
      </c>
      <c r="C205" s="88">
        <v>2670</v>
      </c>
      <c r="D205" s="85">
        <v>651.01700000000005</v>
      </c>
      <c r="E205" s="86">
        <v>2660</v>
      </c>
      <c r="F205" s="85">
        <v>1373.5219999999999</v>
      </c>
      <c r="G205" s="87">
        <v>2660</v>
      </c>
      <c r="H205" s="85">
        <v>1372.0830000000001</v>
      </c>
      <c r="I205" s="87">
        <v>2660</v>
      </c>
      <c r="J205" s="85">
        <v>1169.444</v>
      </c>
      <c r="K205" s="87">
        <v>2660</v>
      </c>
      <c r="L205" s="85">
        <v>1169.2339999999999</v>
      </c>
      <c r="M205" s="87">
        <v>2660</v>
      </c>
      <c r="N205" s="85">
        <v>1169.223</v>
      </c>
      <c r="O205" s="87">
        <v>2640</v>
      </c>
      <c r="P205" s="85">
        <v>1170.3340000000001</v>
      </c>
      <c r="Q205" s="87">
        <v>2660</v>
      </c>
      <c r="R205" s="85">
        <v>1169.923</v>
      </c>
      <c r="S205" s="87">
        <v>2660</v>
      </c>
      <c r="T205" s="85">
        <v>1170.3489999999999</v>
      </c>
      <c r="U205" s="87">
        <v>2650</v>
      </c>
      <c r="V205" s="85">
        <v>1168.7439999999999</v>
      </c>
      <c r="W205" s="87">
        <v>2660</v>
      </c>
      <c r="X205" s="85">
        <v>1168.6279999999999</v>
      </c>
      <c r="Y205" s="87">
        <v>2660</v>
      </c>
      <c r="Z205" s="85">
        <v>1167.2539999999999</v>
      </c>
      <c r="AA205" s="87">
        <v>2660</v>
      </c>
      <c r="AB205" s="85">
        <v>1166.7339999999999</v>
      </c>
      <c r="AC205" s="87">
        <v>2650</v>
      </c>
      <c r="AD205" s="85">
        <v>1091.0029999999999</v>
      </c>
      <c r="AE205" s="87">
        <v>2660</v>
      </c>
      <c r="AF205" s="85">
        <v>1092.0909999999999</v>
      </c>
      <c r="AG205" s="87">
        <v>2640</v>
      </c>
      <c r="AH205" s="85">
        <v>313.39600000000002</v>
      </c>
      <c r="AI205" s="87">
        <v>2640</v>
      </c>
      <c r="AJ205" s="85">
        <v>327.11</v>
      </c>
    </row>
    <row r="206" spans="1:36" ht="14.25" customHeight="1">
      <c r="A206" s="88">
        <v>2670</v>
      </c>
      <c r="B206" s="84">
        <v>655.06600000000003</v>
      </c>
      <c r="C206" s="88">
        <v>2680</v>
      </c>
      <c r="D206" s="85">
        <v>650.24599999999998</v>
      </c>
      <c r="E206" s="86">
        <v>2670</v>
      </c>
      <c r="F206" s="85">
        <v>1372.057</v>
      </c>
      <c r="G206" s="87">
        <v>2670</v>
      </c>
      <c r="H206" s="85">
        <v>1370.6210000000001</v>
      </c>
      <c r="I206" s="87">
        <v>2670</v>
      </c>
      <c r="J206" s="85">
        <v>1168.2650000000001</v>
      </c>
      <c r="K206" s="87">
        <v>2670</v>
      </c>
      <c r="L206" s="85">
        <v>1168.0550000000001</v>
      </c>
      <c r="M206" s="87">
        <v>2670</v>
      </c>
      <c r="N206" s="85">
        <v>1168.0450000000001</v>
      </c>
      <c r="O206" s="87">
        <v>2650</v>
      </c>
      <c r="P206" s="85">
        <v>1169.1559999999999</v>
      </c>
      <c r="Q206" s="87">
        <v>2670</v>
      </c>
      <c r="R206" s="85">
        <v>1168.7439999999999</v>
      </c>
      <c r="S206" s="87">
        <v>2670</v>
      </c>
      <c r="T206" s="85">
        <v>1169.171</v>
      </c>
      <c r="U206" s="87">
        <v>2660</v>
      </c>
      <c r="V206" s="85">
        <v>1167.569</v>
      </c>
      <c r="W206" s="87">
        <v>2670</v>
      </c>
      <c r="X206" s="85">
        <v>1167.452</v>
      </c>
      <c r="Y206" s="87">
        <v>2670</v>
      </c>
      <c r="Z206" s="85">
        <v>1166.077</v>
      </c>
      <c r="AA206" s="87">
        <v>2670</v>
      </c>
      <c r="AB206" s="85">
        <v>1165.56</v>
      </c>
      <c r="AC206" s="87">
        <v>2660</v>
      </c>
      <c r="AD206" s="85">
        <v>1089.826</v>
      </c>
      <c r="AE206" s="87">
        <v>2670</v>
      </c>
      <c r="AF206" s="85">
        <v>1090.9159999999999</v>
      </c>
      <c r="AG206" s="87">
        <v>2650</v>
      </c>
      <c r="AH206" s="85">
        <v>313.01299999999998</v>
      </c>
      <c r="AI206" s="87">
        <v>2650</v>
      </c>
      <c r="AJ206" s="85">
        <v>326.71199999999999</v>
      </c>
    </row>
    <row r="207" spans="1:36" ht="14.25" customHeight="1">
      <c r="A207" s="88">
        <v>2680</v>
      </c>
      <c r="B207" s="84">
        <v>654.28899999999999</v>
      </c>
      <c r="C207" s="88">
        <v>2690</v>
      </c>
      <c r="D207" s="85">
        <v>649.476</v>
      </c>
      <c r="E207" s="86">
        <v>2680</v>
      </c>
      <c r="F207" s="85">
        <v>1370.5909999999999</v>
      </c>
      <c r="G207" s="87">
        <v>2680</v>
      </c>
      <c r="H207" s="85">
        <v>1369.16</v>
      </c>
      <c r="I207" s="87">
        <v>2680</v>
      </c>
      <c r="J207" s="85">
        <v>1167.085</v>
      </c>
      <c r="K207" s="87">
        <v>2680</v>
      </c>
      <c r="L207" s="85">
        <v>1166.876</v>
      </c>
      <c r="M207" s="87">
        <v>2680</v>
      </c>
      <c r="N207" s="85">
        <v>1166.866</v>
      </c>
      <c r="O207" s="87">
        <v>2660</v>
      </c>
      <c r="P207" s="85">
        <v>1167.9770000000001</v>
      </c>
      <c r="Q207" s="87">
        <v>2680</v>
      </c>
      <c r="R207" s="85">
        <v>1167.566</v>
      </c>
      <c r="S207" s="87">
        <v>2680</v>
      </c>
      <c r="T207" s="85">
        <v>1167.9929999999999</v>
      </c>
      <c r="U207" s="87">
        <v>2670</v>
      </c>
      <c r="V207" s="85">
        <v>1166.393</v>
      </c>
      <c r="W207" s="87">
        <v>2680</v>
      </c>
      <c r="X207" s="85">
        <v>1166.2760000000001</v>
      </c>
      <c r="Y207" s="87">
        <v>2680</v>
      </c>
      <c r="Z207" s="85">
        <v>1164.9000000000001</v>
      </c>
      <c r="AA207" s="87">
        <v>2680</v>
      </c>
      <c r="AB207" s="85">
        <v>1164.385</v>
      </c>
      <c r="AC207" s="87">
        <v>2670</v>
      </c>
      <c r="AD207" s="85">
        <v>1088.6500000000001</v>
      </c>
      <c r="AE207" s="87">
        <v>2680</v>
      </c>
      <c r="AF207" s="85">
        <v>1089.742</v>
      </c>
      <c r="AG207" s="87">
        <v>2660</v>
      </c>
      <c r="AH207" s="85">
        <v>312.62900000000002</v>
      </c>
      <c r="AI207" s="87">
        <v>2660</v>
      </c>
      <c r="AJ207" s="85">
        <v>326.315</v>
      </c>
    </row>
    <row r="208" spans="1:36" ht="14.25" customHeight="1">
      <c r="A208" s="88">
        <v>2690</v>
      </c>
      <c r="B208" s="84">
        <v>653.51099999999997</v>
      </c>
      <c r="C208" s="88">
        <v>2700</v>
      </c>
      <c r="D208" s="85">
        <v>648.70500000000004</v>
      </c>
      <c r="E208" s="86">
        <v>2690</v>
      </c>
      <c r="F208" s="85">
        <v>1369.126</v>
      </c>
      <c r="G208" s="87">
        <v>2690</v>
      </c>
      <c r="H208" s="85">
        <v>1367.6980000000001</v>
      </c>
      <c r="I208" s="87">
        <v>2690</v>
      </c>
      <c r="J208" s="85">
        <v>1165.9059999999999</v>
      </c>
      <c r="K208" s="87">
        <v>2690</v>
      </c>
      <c r="L208" s="85">
        <v>1165.6959999999999</v>
      </c>
      <c r="M208" s="87">
        <v>2690</v>
      </c>
      <c r="N208" s="85">
        <v>1165.6859999999999</v>
      </c>
      <c r="O208" s="87">
        <v>2670</v>
      </c>
      <c r="P208" s="85">
        <v>1166.798</v>
      </c>
      <c r="Q208" s="87">
        <v>2690</v>
      </c>
      <c r="R208" s="85">
        <v>1166.3869999999999</v>
      </c>
      <c r="S208" s="87">
        <v>2690</v>
      </c>
      <c r="T208" s="85">
        <v>1166.8150000000001</v>
      </c>
      <c r="U208" s="87">
        <v>2680</v>
      </c>
      <c r="V208" s="85">
        <v>1165.2180000000001</v>
      </c>
      <c r="W208" s="87">
        <v>2690</v>
      </c>
      <c r="X208" s="85">
        <v>1165.0999999999999</v>
      </c>
      <c r="Y208" s="87">
        <v>2690</v>
      </c>
      <c r="Z208" s="85">
        <v>1163.723</v>
      </c>
      <c r="AA208" s="87">
        <v>2690</v>
      </c>
      <c r="AB208" s="85">
        <v>1163.211</v>
      </c>
      <c r="AC208" s="87">
        <v>2680</v>
      </c>
      <c r="AD208" s="85">
        <v>1087.473</v>
      </c>
      <c r="AE208" s="87">
        <v>2690</v>
      </c>
      <c r="AF208" s="85">
        <v>1088.566</v>
      </c>
      <c r="AG208" s="87">
        <v>2670</v>
      </c>
      <c r="AH208" s="85">
        <v>312.24599999999998</v>
      </c>
      <c r="AI208" s="87">
        <v>2670</v>
      </c>
      <c r="AJ208" s="85">
        <v>325.91800000000001</v>
      </c>
    </row>
    <row r="209" spans="1:36" ht="14.25" customHeight="1">
      <c r="A209" s="88">
        <v>2700</v>
      </c>
      <c r="B209" s="84">
        <v>652.73400000000004</v>
      </c>
      <c r="C209" s="88">
        <v>2710</v>
      </c>
      <c r="D209" s="85">
        <v>647.93399999999997</v>
      </c>
      <c r="E209" s="86">
        <v>2700</v>
      </c>
      <c r="F209" s="85">
        <v>1367.66</v>
      </c>
      <c r="G209" s="87">
        <v>2700</v>
      </c>
      <c r="H209" s="85">
        <v>1366.2360000000001</v>
      </c>
      <c r="I209" s="87">
        <v>2700</v>
      </c>
      <c r="J209" s="85">
        <v>1164.7260000000001</v>
      </c>
      <c r="K209" s="87">
        <v>2700</v>
      </c>
      <c r="L209" s="85">
        <v>1164.5170000000001</v>
      </c>
      <c r="M209" s="87">
        <v>2700</v>
      </c>
      <c r="N209" s="85">
        <v>1164.5070000000001</v>
      </c>
      <c r="O209" s="87">
        <v>2680</v>
      </c>
      <c r="P209" s="85">
        <v>1165.6189999999999</v>
      </c>
      <c r="Q209" s="87">
        <v>2700</v>
      </c>
      <c r="R209" s="85">
        <v>1165.2080000000001</v>
      </c>
      <c r="S209" s="87">
        <v>2700</v>
      </c>
      <c r="T209" s="85">
        <v>1165.6369999999999</v>
      </c>
      <c r="U209" s="87">
        <v>2690</v>
      </c>
      <c r="V209" s="85">
        <v>1164.0409999999999</v>
      </c>
      <c r="W209" s="87">
        <v>2700</v>
      </c>
      <c r="X209" s="85">
        <v>1163.923</v>
      </c>
      <c r="Y209" s="87">
        <v>2700</v>
      </c>
      <c r="Z209" s="85">
        <v>1162.5450000000001</v>
      </c>
      <c r="AA209" s="87">
        <v>2700</v>
      </c>
      <c r="AB209" s="85">
        <v>1162.0360000000001</v>
      </c>
      <c r="AC209" s="87">
        <v>2690</v>
      </c>
      <c r="AD209" s="85">
        <v>1086.296</v>
      </c>
      <c r="AE209" s="87">
        <v>2700</v>
      </c>
      <c r="AF209" s="85">
        <v>1087.3910000000001</v>
      </c>
      <c r="AG209" s="87">
        <v>2680</v>
      </c>
      <c r="AH209" s="85">
        <v>311.86200000000002</v>
      </c>
      <c r="AI209" s="87">
        <v>2680</v>
      </c>
      <c r="AJ209" s="85">
        <v>325.52</v>
      </c>
    </row>
    <row r="210" spans="1:36" ht="14.25" customHeight="1">
      <c r="A210" s="88">
        <v>2710</v>
      </c>
      <c r="B210" s="84">
        <v>651.95600000000002</v>
      </c>
      <c r="C210" s="88">
        <v>2720</v>
      </c>
      <c r="D210" s="85">
        <v>647.16300000000001</v>
      </c>
      <c r="E210" s="86">
        <v>2710</v>
      </c>
      <c r="F210" s="85">
        <v>1366.193</v>
      </c>
      <c r="G210" s="87">
        <v>2710</v>
      </c>
      <c r="H210" s="85">
        <v>1364.7739999999999</v>
      </c>
      <c r="I210" s="87">
        <v>2710</v>
      </c>
      <c r="J210" s="85">
        <v>1163.546</v>
      </c>
      <c r="K210" s="87">
        <v>2710</v>
      </c>
      <c r="L210" s="85">
        <v>1163.337</v>
      </c>
      <c r="M210" s="87">
        <v>2710</v>
      </c>
      <c r="N210" s="85">
        <v>1163.327</v>
      </c>
      <c r="O210" s="87">
        <v>2690</v>
      </c>
      <c r="P210" s="85">
        <v>1164.44</v>
      </c>
      <c r="Q210" s="87">
        <v>2710</v>
      </c>
      <c r="R210" s="85">
        <v>1164.028</v>
      </c>
      <c r="S210" s="87">
        <v>2710</v>
      </c>
      <c r="T210" s="85">
        <v>1164.4580000000001</v>
      </c>
      <c r="U210" s="87">
        <v>2700</v>
      </c>
      <c r="V210" s="85">
        <v>1162.865</v>
      </c>
      <c r="W210" s="87">
        <v>2710</v>
      </c>
      <c r="X210" s="85">
        <v>1162.7460000000001</v>
      </c>
      <c r="Y210" s="87">
        <v>2710</v>
      </c>
      <c r="Z210" s="85">
        <v>1161.367</v>
      </c>
      <c r="AA210" s="87">
        <v>2710</v>
      </c>
      <c r="AB210" s="85">
        <v>1160.8599999999999</v>
      </c>
      <c r="AC210" s="87">
        <v>2700</v>
      </c>
      <c r="AD210" s="85">
        <v>1085.1189999999999</v>
      </c>
      <c r="AE210" s="87">
        <v>2710</v>
      </c>
      <c r="AF210" s="85">
        <v>1086.2149999999999</v>
      </c>
      <c r="AG210" s="87">
        <v>2690</v>
      </c>
      <c r="AH210" s="85">
        <v>311.47899999999998</v>
      </c>
      <c r="AI210" s="87">
        <v>2690</v>
      </c>
      <c r="AJ210" s="85">
        <v>325.12299999999999</v>
      </c>
    </row>
    <row r="211" spans="1:36" ht="14.25" customHeight="1">
      <c r="A211" s="88">
        <v>2720</v>
      </c>
      <c r="B211" s="84">
        <v>651.178</v>
      </c>
      <c r="C211" s="88">
        <v>2730</v>
      </c>
      <c r="D211" s="85">
        <v>646.39200000000005</v>
      </c>
      <c r="E211" s="86">
        <v>2720</v>
      </c>
      <c r="F211" s="85">
        <v>1364.7270000000001</v>
      </c>
      <c r="G211" s="87">
        <v>2720</v>
      </c>
      <c r="H211" s="85">
        <v>1363.3109999999999</v>
      </c>
      <c r="I211" s="87">
        <v>2720</v>
      </c>
      <c r="J211" s="85">
        <v>1162.365</v>
      </c>
      <c r="K211" s="87">
        <v>2720</v>
      </c>
      <c r="L211" s="85">
        <v>1162.1559999999999</v>
      </c>
      <c r="M211" s="87">
        <v>2720</v>
      </c>
      <c r="N211" s="85">
        <v>1162.1469999999999</v>
      </c>
      <c r="O211" s="87">
        <v>2700</v>
      </c>
      <c r="P211" s="85">
        <v>1163.26</v>
      </c>
      <c r="Q211" s="87">
        <v>2720</v>
      </c>
      <c r="R211" s="85">
        <v>1162.8489999999999</v>
      </c>
      <c r="S211" s="87">
        <v>2720</v>
      </c>
      <c r="T211" s="85">
        <v>1163.279</v>
      </c>
      <c r="U211" s="87">
        <v>2710</v>
      </c>
      <c r="V211" s="85">
        <v>1161.6880000000001</v>
      </c>
      <c r="W211" s="87">
        <v>2720</v>
      </c>
      <c r="X211" s="85">
        <v>1161.569</v>
      </c>
      <c r="Y211" s="87">
        <v>2720</v>
      </c>
      <c r="Z211" s="85">
        <v>1160.19</v>
      </c>
      <c r="AA211" s="87">
        <v>2720</v>
      </c>
      <c r="AB211" s="85">
        <v>1159.6849999999999</v>
      </c>
      <c r="AC211" s="87">
        <v>2710</v>
      </c>
      <c r="AD211" s="85">
        <v>1083.942</v>
      </c>
      <c r="AE211" s="87">
        <v>2720</v>
      </c>
      <c r="AF211" s="85">
        <v>1085.04</v>
      </c>
      <c r="AG211" s="87">
        <v>2700</v>
      </c>
      <c r="AH211" s="85">
        <v>311.09500000000003</v>
      </c>
      <c r="AI211" s="87">
        <v>2700</v>
      </c>
      <c r="AJ211" s="85">
        <v>324.72500000000002</v>
      </c>
    </row>
    <row r="212" spans="1:36" ht="14.25" customHeight="1">
      <c r="A212" s="88">
        <v>2730</v>
      </c>
      <c r="B212" s="84">
        <v>650.40099999999995</v>
      </c>
      <c r="C212" s="88">
        <v>2740</v>
      </c>
      <c r="D212" s="85">
        <v>645.62</v>
      </c>
      <c r="E212" s="86">
        <v>2730</v>
      </c>
      <c r="F212" s="85">
        <v>1363.26</v>
      </c>
      <c r="G212" s="87">
        <v>2730</v>
      </c>
      <c r="H212" s="85">
        <v>1361.848</v>
      </c>
      <c r="I212" s="87">
        <v>2730</v>
      </c>
      <c r="J212" s="85">
        <v>1161.1849999999999</v>
      </c>
      <c r="K212" s="87">
        <v>2730</v>
      </c>
      <c r="L212" s="85">
        <v>1160.9760000000001</v>
      </c>
      <c r="M212" s="87">
        <v>2730</v>
      </c>
      <c r="N212" s="85">
        <v>1160.9670000000001</v>
      </c>
      <c r="O212" s="87">
        <v>2710</v>
      </c>
      <c r="P212" s="85">
        <v>1162.0809999999999</v>
      </c>
      <c r="Q212" s="87">
        <v>2730</v>
      </c>
      <c r="R212" s="85">
        <v>1161.6690000000001</v>
      </c>
      <c r="S212" s="87">
        <v>2730</v>
      </c>
      <c r="T212" s="85">
        <v>1162.0999999999999</v>
      </c>
      <c r="U212" s="87">
        <v>2720</v>
      </c>
      <c r="V212" s="85">
        <v>1160.5119999999999</v>
      </c>
      <c r="W212" s="87">
        <v>2730</v>
      </c>
      <c r="X212" s="85">
        <v>1160.3920000000001</v>
      </c>
      <c r="Y212" s="87">
        <v>2730</v>
      </c>
      <c r="Z212" s="85">
        <v>1159.011</v>
      </c>
      <c r="AA212" s="87">
        <v>2730</v>
      </c>
      <c r="AB212" s="85">
        <v>1158.509</v>
      </c>
      <c r="AC212" s="87">
        <v>2720</v>
      </c>
      <c r="AD212" s="85">
        <v>1082.7639999999999</v>
      </c>
      <c r="AE212" s="87">
        <v>2730</v>
      </c>
      <c r="AF212" s="85">
        <v>1083.8630000000001</v>
      </c>
      <c r="AG212" s="87">
        <v>2710</v>
      </c>
      <c r="AH212" s="85">
        <v>310.71100000000001</v>
      </c>
      <c r="AI212" s="87">
        <v>2710</v>
      </c>
      <c r="AJ212" s="85">
        <v>324.327</v>
      </c>
    </row>
    <row r="213" spans="1:36" ht="14.25" customHeight="1">
      <c r="A213" s="88">
        <v>2740</v>
      </c>
      <c r="B213" s="84">
        <v>649.62199999999996</v>
      </c>
      <c r="C213" s="88">
        <v>2750</v>
      </c>
      <c r="D213" s="85">
        <v>644.84799999999996</v>
      </c>
      <c r="E213" s="86">
        <v>2740</v>
      </c>
      <c r="F213" s="85">
        <v>1361.7929999999999</v>
      </c>
      <c r="G213" s="87">
        <v>2740</v>
      </c>
      <c r="H213" s="85">
        <v>1360.385</v>
      </c>
      <c r="I213" s="87">
        <v>2740</v>
      </c>
      <c r="J213" s="85">
        <v>1160.0039999999999</v>
      </c>
      <c r="K213" s="87">
        <v>2740</v>
      </c>
      <c r="L213" s="85">
        <v>1159.7950000000001</v>
      </c>
      <c r="M213" s="87">
        <v>2740</v>
      </c>
      <c r="N213" s="85">
        <v>1159.7860000000001</v>
      </c>
      <c r="O213" s="87">
        <v>2720</v>
      </c>
      <c r="P213" s="85">
        <v>1160.9010000000001</v>
      </c>
      <c r="Q213" s="87">
        <v>2740</v>
      </c>
      <c r="R213" s="85">
        <v>1160.489</v>
      </c>
      <c r="S213" s="87">
        <v>2740</v>
      </c>
      <c r="T213" s="85">
        <v>1160.921</v>
      </c>
      <c r="U213" s="87">
        <v>2730</v>
      </c>
      <c r="V213" s="85">
        <v>1159.3340000000001</v>
      </c>
      <c r="W213" s="87">
        <v>2740</v>
      </c>
      <c r="X213" s="85">
        <v>1159.2139999999999</v>
      </c>
      <c r="Y213" s="87">
        <v>2740</v>
      </c>
      <c r="Z213" s="85">
        <v>1157.8330000000001</v>
      </c>
      <c r="AA213" s="87">
        <v>2740</v>
      </c>
      <c r="AB213" s="85">
        <v>1157.3330000000001</v>
      </c>
      <c r="AC213" s="87">
        <v>2730</v>
      </c>
      <c r="AD213" s="85">
        <v>1081.586</v>
      </c>
      <c r="AE213" s="87">
        <v>2740</v>
      </c>
      <c r="AF213" s="85">
        <v>1082.6869999999999</v>
      </c>
      <c r="AG213" s="87">
        <v>2720</v>
      </c>
      <c r="AH213" s="85">
        <v>310.327</v>
      </c>
      <c r="AI213" s="87">
        <v>2720</v>
      </c>
      <c r="AJ213" s="85">
        <v>323.92899999999997</v>
      </c>
    </row>
    <row r="214" spans="1:36" ht="14.25" customHeight="1">
      <c r="A214" s="88">
        <v>2750</v>
      </c>
      <c r="B214" s="84">
        <v>648.84400000000005</v>
      </c>
      <c r="C214" s="88">
        <v>2760</v>
      </c>
      <c r="D214" s="85">
        <v>644.07600000000002</v>
      </c>
      <c r="E214" s="86">
        <v>2750</v>
      </c>
      <c r="F214" s="85">
        <v>1360.325</v>
      </c>
      <c r="G214" s="87">
        <v>2750</v>
      </c>
      <c r="H214" s="85">
        <v>1358.921</v>
      </c>
      <c r="I214" s="87">
        <v>2750</v>
      </c>
      <c r="J214" s="85">
        <v>1158.8230000000001</v>
      </c>
      <c r="K214" s="87">
        <v>2750</v>
      </c>
      <c r="L214" s="85">
        <v>1158.614</v>
      </c>
      <c r="M214" s="87">
        <v>2750</v>
      </c>
      <c r="N214" s="85">
        <v>1158.605</v>
      </c>
      <c r="O214" s="87">
        <v>2730</v>
      </c>
      <c r="P214" s="85">
        <v>1159.72</v>
      </c>
      <c r="Q214" s="87">
        <v>2750</v>
      </c>
      <c r="R214" s="85">
        <v>1159.309</v>
      </c>
      <c r="S214" s="87">
        <v>2750</v>
      </c>
      <c r="T214" s="85">
        <v>1159.742</v>
      </c>
      <c r="U214" s="87">
        <v>2740</v>
      </c>
      <c r="V214" s="85">
        <v>1158.1569999999999</v>
      </c>
      <c r="W214" s="87">
        <v>2750</v>
      </c>
      <c r="X214" s="85">
        <v>1158.0360000000001</v>
      </c>
      <c r="Y214" s="87">
        <v>2750</v>
      </c>
      <c r="Z214" s="85">
        <v>1156.654</v>
      </c>
      <c r="AA214" s="87">
        <v>2750</v>
      </c>
      <c r="AB214" s="85">
        <v>1156.1569999999999</v>
      </c>
      <c r="AC214" s="87">
        <v>2740</v>
      </c>
      <c r="AD214" s="85">
        <v>1080.4079999999999</v>
      </c>
      <c r="AE214" s="87">
        <v>2750</v>
      </c>
      <c r="AF214" s="85">
        <v>1081.511</v>
      </c>
      <c r="AG214" s="87">
        <v>2730</v>
      </c>
      <c r="AH214" s="85">
        <v>309.94299999999998</v>
      </c>
      <c r="AI214" s="87">
        <v>2730</v>
      </c>
      <c r="AJ214" s="85">
        <v>323.53100000000001</v>
      </c>
    </row>
    <row r="215" spans="1:36" ht="14.25" customHeight="1">
      <c r="A215" s="88">
        <v>2760</v>
      </c>
      <c r="B215" s="84">
        <v>648.06600000000003</v>
      </c>
      <c r="C215" s="88">
        <v>2770</v>
      </c>
      <c r="D215" s="85">
        <v>643.30399999999997</v>
      </c>
      <c r="E215" s="86">
        <v>2760</v>
      </c>
      <c r="F215" s="85">
        <v>1358.8579999999999</v>
      </c>
      <c r="G215" s="87">
        <v>2760</v>
      </c>
      <c r="H215" s="85">
        <v>1357.4580000000001</v>
      </c>
      <c r="I215" s="87">
        <v>2760</v>
      </c>
      <c r="J215" s="85">
        <v>1157.6420000000001</v>
      </c>
      <c r="K215" s="87">
        <v>2760</v>
      </c>
      <c r="L215" s="85">
        <v>1157.433</v>
      </c>
      <c r="M215" s="87">
        <v>2760</v>
      </c>
      <c r="N215" s="85">
        <v>1157.424</v>
      </c>
      <c r="O215" s="87">
        <v>2740</v>
      </c>
      <c r="P215" s="85">
        <v>1158.54</v>
      </c>
      <c r="Q215" s="87">
        <v>2760</v>
      </c>
      <c r="R215" s="85">
        <v>1158.1279999999999</v>
      </c>
      <c r="S215" s="87">
        <v>2760</v>
      </c>
      <c r="T215" s="85">
        <v>1158.5619999999999</v>
      </c>
      <c r="U215" s="87">
        <v>2750</v>
      </c>
      <c r="V215" s="85">
        <v>1156.98</v>
      </c>
      <c r="W215" s="87">
        <v>2760</v>
      </c>
      <c r="X215" s="85">
        <v>1156.8579999999999</v>
      </c>
      <c r="Y215" s="87">
        <v>2760</v>
      </c>
      <c r="Z215" s="85">
        <v>1155.4749999999999</v>
      </c>
      <c r="AA215" s="87">
        <v>2760</v>
      </c>
      <c r="AB215" s="85">
        <v>1154.98</v>
      </c>
      <c r="AC215" s="87">
        <v>2750</v>
      </c>
      <c r="AD215" s="85">
        <v>1079.23</v>
      </c>
      <c r="AE215" s="87">
        <v>2760</v>
      </c>
      <c r="AF215" s="85">
        <v>1080.3340000000001</v>
      </c>
      <c r="AG215" s="87">
        <v>2740</v>
      </c>
      <c r="AH215" s="85">
        <v>309.55900000000003</v>
      </c>
      <c r="AI215" s="87">
        <v>2740</v>
      </c>
      <c r="AJ215" s="85">
        <v>323.13299999999998</v>
      </c>
    </row>
    <row r="216" spans="1:36" ht="14.25" customHeight="1">
      <c r="A216" s="88">
        <v>2770</v>
      </c>
      <c r="B216" s="84">
        <v>647.28700000000003</v>
      </c>
      <c r="C216" s="88">
        <v>2780</v>
      </c>
      <c r="D216" s="85">
        <v>642.53200000000004</v>
      </c>
      <c r="E216" s="86">
        <v>2770</v>
      </c>
      <c r="F216" s="85">
        <v>1357.3889999999999</v>
      </c>
      <c r="G216" s="87">
        <v>2770</v>
      </c>
      <c r="H216" s="85">
        <v>1355.9929999999999</v>
      </c>
      <c r="I216" s="87">
        <v>2770</v>
      </c>
      <c r="J216" s="85">
        <v>1156.46</v>
      </c>
      <c r="K216" s="87">
        <v>2770</v>
      </c>
      <c r="L216" s="85">
        <v>1156.251</v>
      </c>
      <c r="M216" s="87">
        <v>2770</v>
      </c>
      <c r="N216" s="85">
        <v>1156.2429999999999</v>
      </c>
      <c r="O216" s="87">
        <v>2750</v>
      </c>
      <c r="P216" s="85">
        <v>1157.3589999999999</v>
      </c>
      <c r="Q216" s="87">
        <v>2770</v>
      </c>
      <c r="R216" s="85">
        <v>1156.9469999999999</v>
      </c>
      <c r="S216" s="87">
        <v>2770</v>
      </c>
      <c r="T216" s="85">
        <v>1157.3820000000001</v>
      </c>
      <c r="U216" s="87">
        <v>2760</v>
      </c>
      <c r="V216" s="85">
        <v>1155.8019999999999</v>
      </c>
      <c r="W216" s="87">
        <v>2770</v>
      </c>
      <c r="X216" s="85">
        <v>1155.68</v>
      </c>
      <c r="Y216" s="87">
        <v>2770</v>
      </c>
      <c r="Z216" s="85">
        <v>1154.296</v>
      </c>
      <c r="AA216" s="87">
        <v>2770</v>
      </c>
      <c r="AB216" s="85">
        <v>1153.8030000000001</v>
      </c>
      <c r="AC216" s="87">
        <v>2760</v>
      </c>
      <c r="AD216" s="85">
        <v>1078.0509999999999</v>
      </c>
      <c r="AE216" s="87">
        <v>2770</v>
      </c>
      <c r="AF216" s="85">
        <v>1079.1569999999999</v>
      </c>
      <c r="AG216" s="87">
        <v>2750</v>
      </c>
      <c r="AH216" s="85">
        <v>309.17500000000001</v>
      </c>
      <c r="AI216" s="87">
        <v>2750</v>
      </c>
      <c r="AJ216" s="85">
        <v>322.73500000000001</v>
      </c>
    </row>
    <row r="217" spans="1:36" ht="14.25" customHeight="1">
      <c r="A217" s="88">
        <v>2780</v>
      </c>
      <c r="B217" s="84">
        <v>646.50800000000004</v>
      </c>
      <c r="C217" s="88">
        <v>2790</v>
      </c>
      <c r="D217" s="85">
        <v>641.76</v>
      </c>
      <c r="E217" s="86">
        <v>2780</v>
      </c>
      <c r="F217" s="85">
        <v>1355.921</v>
      </c>
      <c r="G217" s="87">
        <v>2780</v>
      </c>
      <c r="H217" s="85">
        <v>1354.529</v>
      </c>
      <c r="I217" s="87">
        <v>2780</v>
      </c>
      <c r="J217" s="85">
        <v>1155.279</v>
      </c>
      <c r="K217" s="87">
        <v>2780</v>
      </c>
      <c r="L217" s="85">
        <v>1155.07</v>
      </c>
      <c r="M217" s="87">
        <v>2780</v>
      </c>
      <c r="N217" s="85">
        <v>1155.0619999999999</v>
      </c>
      <c r="O217" s="87">
        <v>2760</v>
      </c>
      <c r="P217" s="85">
        <v>1156.1780000000001</v>
      </c>
      <c r="Q217" s="87">
        <v>2780</v>
      </c>
      <c r="R217" s="85">
        <v>1155.7660000000001</v>
      </c>
      <c r="S217" s="87">
        <v>2780</v>
      </c>
      <c r="T217" s="85">
        <v>1156.201</v>
      </c>
      <c r="U217" s="87">
        <v>2770</v>
      </c>
      <c r="V217" s="85">
        <v>1154.624</v>
      </c>
      <c r="W217" s="87">
        <v>2780</v>
      </c>
      <c r="X217" s="85">
        <v>1154.501</v>
      </c>
      <c r="Y217" s="87">
        <v>2780</v>
      </c>
      <c r="Z217" s="85">
        <v>1153.117</v>
      </c>
      <c r="AA217" s="87">
        <v>2780</v>
      </c>
      <c r="AB217" s="85">
        <v>1152.626</v>
      </c>
      <c r="AC217" s="87">
        <v>2770</v>
      </c>
      <c r="AD217" s="85">
        <v>1076.8720000000001</v>
      </c>
      <c r="AE217" s="87">
        <v>2780</v>
      </c>
      <c r="AF217" s="85">
        <v>1077.979</v>
      </c>
      <c r="AG217" s="87">
        <v>2760</v>
      </c>
      <c r="AH217" s="85">
        <v>308.791</v>
      </c>
      <c r="AI217" s="87">
        <v>2760</v>
      </c>
      <c r="AJ217" s="85">
        <v>322.33699999999999</v>
      </c>
    </row>
    <row r="218" spans="1:36" ht="14.25" customHeight="1">
      <c r="A218" s="88">
        <v>2790</v>
      </c>
      <c r="B218" s="84">
        <v>645.72900000000004</v>
      </c>
      <c r="C218" s="88">
        <v>2800</v>
      </c>
      <c r="D218" s="85">
        <v>640.98699999999997</v>
      </c>
      <c r="E218" s="86">
        <v>2790</v>
      </c>
      <c r="F218" s="85">
        <v>1354.452</v>
      </c>
      <c r="G218" s="87">
        <v>2790</v>
      </c>
      <c r="H218" s="85">
        <v>1353.0640000000001</v>
      </c>
      <c r="I218" s="87">
        <v>2790</v>
      </c>
      <c r="J218" s="85">
        <v>1154.097</v>
      </c>
      <c r="K218" s="87">
        <v>2790</v>
      </c>
      <c r="L218" s="85">
        <v>1153.8879999999999</v>
      </c>
      <c r="M218" s="87">
        <v>2790</v>
      </c>
      <c r="N218" s="85">
        <v>1153.8800000000001</v>
      </c>
      <c r="O218" s="87">
        <v>2770</v>
      </c>
      <c r="P218" s="85">
        <v>1154.9970000000001</v>
      </c>
      <c r="Q218" s="87">
        <v>2790</v>
      </c>
      <c r="R218" s="85">
        <v>1154.585</v>
      </c>
      <c r="S218" s="87">
        <v>2790</v>
      </c>
      <c r="T218" s="85">
        <v>1155.021</v>
      </c>
      <c r="U218" s="87">
        <v>2780</v>
      </c>
      <c r="V218" s="85">
        <v>1153.4449999999999</v>
      </c>
      <c r="W218" s="87">
        <v>2790</v>
      </c>
      <c r="X218" s="85">
        <v>1153.3219999999999</v>
      </c>
      <c r="Y218" s="87">
        <v>2790</v>
      </c>
      <c r="Z218" s="85">
        <v>1151.9369999999999</v>
      </c>
      <c r="AA218" s="87">
        <v>2790</v>
      </c>
      <c r="AB218" s="85">
        <v>1151.4490000000001</v>
      </c>
      <c r="AC218" s="87">
        <v>2780</v>
      </c>
      <c r="AD218" s="85">
        <v>1075.693</v>
      </c>
      <c r="AE218" s="87">
        <v>2790</v>
      </c>
      <c r="AF218" s="85">
        <v>1076.8019999999999</v>
      </c>
      <c r="AG218" s="87">
        <v>2770</v>
      </c>
      <c r="AH218" s="85">
        <v>308.40600000000001</v>
      </c>
      <c r="AI218" s="87">
        <v>2770</v>
      </c>
      <c r="AJ218" s="85">
        <v>321.93900000000002</v>
      </c>
    </row>
    <row r="219" spans="1:36" ht="14.25" customHeight="1">
      <c r="A219" s="88">
        <v>2800</v>
      </c>
      <c r="B219" s="84">
        <v>644.95000000000005</v>
      </c>
      <c r="C219" s="88">
        <v>2810</v>
      </c>
      <c r="D219" s="85">
        <v>640.21400000000006</v>
      </c>
      <c r="E219" s="86">
        <v>2800</v>
      </c>
      <c r="F219" s="85">
        <v>1352.9839999999999</v>
      </c>
      <c r="G219" s="87">
        <v>2800</v>
      </c>
      <c r="H219" s="85">
        <v>1351.5989999999999</v>
      </c>
      <c r="I219" s="87">
        <v>2800</v>
      </c>
      <c r="J219" s="85">
        <v>1152.915</v>
      </c>
      <c r="K219" s="87">
        <v>2800</v>
      </c>
      <c r="L219" s="85">
        <v>1152.7049999999999</v>
      </c>
      <c r="M219" s="87">
        <v>2800</v>
      </c>
      <c r="N219" s="85">
        <v>1152.6980000000001</v>
      </c>
      <c r="O219" s="87">
        <v>2780</v>
      </c>
      <c r="P219" s="85">
        <v>1153.816</v>
      </c>
      <c r="Q219" s="87">
        <v>2800</v>
      </c>
      <c r="R219" s="85">
        <v>1153.403</v>
      </c>
      <c r="S219" s="87">
        <v>2800</v>
      </c>
      <c r="T219" s="85">
        <v>1153.8399999999999</v>
      </c>
      <c r="U219" s="87">
        <v>2790</v>
      </c>
      <c r="V219" s="85">
        <v>1152.2670000000001</v>
      </c>
      <c r="W219" s="87">
        <v>2800</v>
      </c>
      <c r="X219" s="85">
        <v>1152.143</v>
      </c>
      <c r="Y219" s="87">
        <v>2800</v>
      </c>
      <c r="Z219" s="85">
        <v>1150.758</v>
      </c>
      <c r="AA219" s="87">
        <v>2800</v>
      </c>
      <c r="AB219" s="85">
        <v>1150.271</v>
      </c>
      <c r="AC219" s="87">
        <v>2790</v>
      </c>
      <c r="AD219" s="85">
        <v>1074.5139999999999</v>
      </c>
      <c r="AE219" s="87">
        <v>2800</v>
      </c>
      <c r="AF219" s="85">
        <v>1075.624</v>
      </c>
      <c r="AG219" s="87">
        <v>2780</v>
      </c>
      <c r="AH219" s="85">
        <v>308.02199999999999</v>
      </c>
      <c r="AI219" s="87">
        <v>2780</v>
      </c>
      <c r="AJ219" s="85">
        <v>321.54000000000002</v>
      </c>
    </row>
    <row r="220" spans="1:36" ht="14.25" customHeight="1">
      <c r="A220" s="88">
        <v>2810</v>
      </c>
      <c r="B220" s="84">
        <v>644.16999999999996</v>
      </c>
      <c r="C220" s="88">
        <v>2820</v>
      </c>
      <c r="D220" s="85">
        <v>639.44100000000003</v>
      </c>
      <c r="E220" s="86">
        <v>2810</v>
      </c>
      <c r="F220" s="85">
        <v>1351.5139999999999</v>
      </c>
      <c r="G220" s="87">
        <v>2810</v>
      </c>
      <c r="H220" s="85">
        <v>1350.134</v>
      </c>
      <c r="I220" s="87">
        <v>2810</v>
      </c>
      <c r="J220" s="85">
        <v>1151.732</v>
      </c>
      <c r="K220" s="87">
        <v>2810</v>
      </c>
      <c r="L220" s="85">
        <v>1151.5229999999999</v>
      </c>
      <c r="M220" s="87">
        <v>2810</v>
      </c>
      <c r="N220" s="85">
        <v>1151.5160000000001</v>
      </c>
      <c r="O220" s="87">
        <v>2790</v>
      </c>
      <c r="P220" s="85">
        <v>1152.634</v>
      </c>
      <c r="Q220" s="87">
        <v>2810</v>
      </c>
      <c r="R220" s="85">
        <v>1152.222</v>
      </c>
      <c r="S220" s="87">
        <v>2810</v>
      </c>
      <c r="T220" s="85">
        <v>1152.6590000000001</v>
      </c>
      <c r="U220" s="87">
        <v>2800</v>
      </c>
      <c r="V220" s="85">
        <v>1151.088</v>
      </c>
      <c r="W220" s="87">
        <v>2810</v>
      </c>
      <c r="X220" s="85">
        <v>1150.9639999999999</v>
      </c>
      <c r="Y220" s="87">
        <v>2810</v>
      </c>
      <c r="Z220" s="85">
        <v>1149.577</v>
      </c>
      <c r="AA220" s="87">
        <v>2810</v>
      </c>
      <c r="AB220" s="85">
        <v>1149.0940000000001</v>
      </c>
      <c r="AC220" s="87">
        <v>2800</v>
      </c>
      <c r="AD220" s="85">
        <v>1073.3340000000001</v>
      </c>
      <c r="AE220" s="87">
        <v>2810</v>
      </c>
      <c r="AF220" s="85">
        <v>1074.4459999999999</v>
      </c>
      <c r="AG220" s="87">
        <v>2790</v>
      </c>
      <c r="AH220" s="85">
        <v>307.637</v>
      </c>
      <c r="AI220" s="87">
        <v>2790</v>
      </c>
      <c r="AJ220" s="85">
        <v>321.142</v>
      </c>
    </row>
    <row r="221" spans="1:36" ht="14.25" customHeight="1">
      <c r="A221" s="88">
        <v>2820</v>
      </c>
      <c r="B221" s="84">
        <v>643.39099999999996</v>
      </c>
      <c r="C221" s="88">
        <v>2830</v>
      </c>
      <c r="D221" s="85">
        <v>638.66800000000001</v>
      </c>
      <c r="E221" s="86">
        <v>2820</v>
      </c>
      <c r="F221" s="85">
        <v>1350.0450000000001</v>
      </c>
      <c r="G221" s="87">
        <v>2820</v>
      </c>
      <c r="H221" s="85">
        <v>1348.6679999999999</v>
      </c>
      <c r="I221" s="87">
        <v>2820</v>
      </c>
      <c r="J221" s="85">
        <v>1150.55</v>
      </c>
      <c r="K221" s="87">
        <v>2820</v>
      </c>
      <c r="L221" s="85">
        <v>1150.3399999999999</v>
      </c>
      <c r="M221" s="87">
        <v>2820</v>
      </c>
      <c r="N221" s="85">
        <v>1150.3330000000001</v>
      </c>
      <c r="O221" s="87">
        <v>2800</v>
      </c>
      <c r="P221" s="85">
        <v>1151.452</v>
      </c>
      <c r="Q221" s="87">
        <v>2820</v>
      </c>
      <c r="R221" s="85">
        <v>1151.04</v>
      </c>
      <c r="S221" s="87">
        <v>2820</v>
      </c>
      <c r="T221" s="85">
        <v>1151.4780000000001</v>
      </c>
      <c r="U221" s="87">
        <v>2810</v>
      </c>
      <c r="V221" s="85">
        <v>1149.9090000000001</v>
      </c>
      <c r="W221" s="87">
        <v>2820</v>
      </c>
      <c r="X221" s="85">
        <v>1149.7850000000001</v>
      </c>
      <c r="Y221" s="87">
        <v>2820</v>
      </c>
      <c r="Z221" s="85">
        <v>1148.3969999999999</v>
      </c>
      <c r="AA221" s="87">
        <v>2820</v>
      </c>
      <c r="AB221" s="85">
        <v>1147.9159999999999</v>
      </c>
      <c r="AC221" s="87">
        <v>2810</v>
      </c>
      <c r="AD221" s="85">
        <v>1072.155</v>
      </c>
      <c r="AE221" s="87">
        <v>2820</v>
      </c>
      <c r="AF221" s="85">
        <v>1073.268</v>
      </c>
      <c r="AG221" s="87">
        <v>2800</v>
      </c>
      <c r="AH221" s="85">
        <v>307.25299999999999</v>
      </c>
      <c r="AI221" s="87">
        <v>2800</v>
      </c>
      <c r="AJ221" s="85">
        <v>320.74299999999999</v>
      </c>
    </row>
    <row r="222" spans="1:36" ht="14.25" customHeight="1">
      <c r="A222" s="88">
        <v>2830</v>
      </c>
      <c r="B222" s="84">
        <v>642.61099999999999</v>
      </c>
      <c r="C222" s="88">
        <v>2840</v>
      </c>
      <c r="D222" s="85">
        <v>637.89400000000001</v>
      </c>
      <c r="E222" s="86">
        <v>2830</v>
      </c>
      <c r="F222" s="85">
        <v>1348.575</v>
      </c>
      <c r="G222" s="87">
        <v>2830</v>
      </c>
      <c r="H222" s="85">
        <v>1347.202</v>
      </c>
      <c r="I222" s="87">
        <v>2830</v>
      </c>
      <c r="J222" s="85">
        <v>1149.367</v>
      </c>
      <c r="K222" s="87">
        <v>2830</v>
      </c>
      <c r="L222" s="85">
        <v>1149.1569999999999</v>
      </c>
      <c r="M222" s="87">
        <v>2830</v>
      </c>
      <c r="N222" s="91">
        <v>1149.1510000000001</v>
      </c>
      <c r="O222" s="87">
        <v>2810</v>
      </c>
      <c r="P222" s="85">
        <v>1150.27</v>
      </c>
      <c r="Q222" s="87">
        <v>2830</v>
      </c>
      <c r="R222" s="85">
        <v>1149.857</v>
      </c>
      <c r="S222" s="87">
        <v>2830</v>
      </c>
      <c r="T222" s="85">
        <v>1150.296</v>
      </c>
      <c r="U222" s="87">
        <v>2820</v>
      </c>
      <c r="V222" s="85">
        <v>1148.73</v>
      </c>
      <c r="W222" s="87">
        <v>2830</v>
      </c>
      <c r="X222" s="85">
        <v>1148.605</v>
      </c>
      <c r="Y222" s="87">
        <v>2830</v>
      </c>
      <c r="Z222" s="85">
        <v>1147.2170000000001</v>
      </c>
      <c r="AA222" s="87">
        <v>2830</v>
      </c>
      <c r="AB222" s="85">
        <v>1146.7370000000001</v>
      </c>
      <c r="AC222" s="87">
        <v>2820</v>
      </c>
      <c r="AD222" s="85">
        <v>1070.9749999999999</v>
      </c>
      <c r="AE222" s="87">
        <v>2830</v>
      </c>
      <c r="AF222" s="85">
        <v>1072.0889999999999</v>
      </c>
      <c r="AG222" s="87">
        <v>2810</v>
      </c>
      <c r="AH222" s="85">
        <v>306.86799999999999</v>
      </c>
      <c r="AI222" s="87">
        <v>2810</v>
      </c>
      <c r="AJ222" s="85">
        <v>320.34399999999999</v>
      </c>
    </row>
    <row r="223" spans="1:36" ht="14.25" customHeight="1">
      <c r="A223" s="88">
        <v>2840</v>
      </c>
      <c r="B223" s="84">
        <v>641.83100000000002</v>
      </c>
      <c r="C223" s="88">
        <v>2850</v>
      </c>
      <c r="D223" s="85">
        <v>637.12099999999998</v>
      </c>
      <c r="E223" s="86">
        <v>2840</v>
      </c>
      <c r="F223" s="85">
        <v>1347.105</v>
      </c>
      <c r="G223" s="87">
        <v>2840</v>
      </c>
      <c r="H223" s="85">
        <v>1345.7360000000001</v>
      </c>
      <c r="I223" s="87">
        <v>2840</v>
      </c>
      <c r="J223" s="85">
        <v>1148.184</v>
      </c>
      <c r="K223" s="87">
        <v>2840</v>
      </c>
      <c r="L223" s="85">
        <v>1147.9739999999999</v>
      </c>
      <c r="M223" s="87">
        <v>2840</v>
      </c>
      <c r="N223" s="85">
        <v>1147.9680000000001</v>
      </c>
      <c r="O223" s="87">
        <v>2820</v>
      </c>
      <c r="P223" s="85">
        <v>1149.088</v>
      </c>
      <c r="Q223" s="87">
        <v>2840</v>
      </c>
      <c r="R223" s="85">
        <v>1148.675</v>
      </c>
      <c r="S223" s="87">
        <v>2840</v>
      </c>
      <c r="T223" s="85">
        <v>1149.115</v>
      </c>
      <c r="U223" s="87">
        <v>2830</v>
      </c>
      <c r="V223" s="85">
        <v>1147.55</v>
      </c>
      <c r="W223" s="87">
        <v>2840</v>
      </c>
      <c r="X223" s="85">
        <v>1147.425</v>
      </c>
      <c r="Y223" s="87">
        <v>2840</v>
      </c>
      <c r="Z223" s="85">
        <v>1146.0360000000001</v>
      </c>
      <c r="AA223" s="87">
        <v>2840</v>
      </c>
      <c r="AB223" s="85">
        <v>1145.559</v>
      </c>
      <c r="AC223" s="87">
        <v>2830</v>
      </c>
      <c r="AD223" s="85">
        <v>1069.7940000000001</v>
      </c>
      <c r="AE223" s="87">
        <v>2840</v>
      </c>
      <c r="AF223" s="85">
        <v>1070.9100000000001</v>
      </c>
      <c r="AG223" s="87">
        <v>2820</v>
      </c>
      <c r="AH223" s="85">
        <v>306.483</v>
      </c>
      <c r="AI223" s="87">
        <v>2820</v>
      </c>
      <c r="AJ223" s="85">
        <v>319.94600000000003</v>
      </c>
    </row>
    <row r="224" spans="1:36" ht="14.25" customHeight="1">
      <c r="A224" s="88">
        <v>2850</v>
      </c>
      <c r="B224" s="84">
        <v>641.05100000000004</v>
      </c>
      <c r="C224" s="88">
        <v>2860</v>
      </c>
      <c r="D224" s="85">
        <v>636.34699999999998</v>
      </c>
      <c r="E224" s="86">
        <v>2850</v>
      </c>
      <c r="F224" s="85">
        <v>1345.635</v>
      </c>
      <c r="G224" s="87">
        <v>2850</v>
      </c>
      <c r="H224" s="85">
        <v>1344.269</v>
      </c>
      <c r="I224" s="87">
        <v>2850</v>
      </c>
      <c r="J224" s="85">
        <v>1147</v>
      </c>
      <c r="K224" s="87">
        <v>2850</v>
      </c>
      <c r="L224" s="85">
        <v>1146.7909999999999</v>
      </c>
      <c r="M224" s="87">
        <v>2850</v>
      </c>
      <c r="N224" s="85">
        <v>1146.7840000000001</v>
      </c>
      <c r="O224" s="87">
        <v>2830</v>
      </c>
      <c r="P224" s="85">
        <v>1147.905</v>
      </c>
      <c r="Q224" s="87">
        <v>2850</v>
      </c>
      <c r="R224" s="85">
        <v>1147.492</v>
      </c>
      <c r="S224" s="87">
        <v>2850</v>
      </c>
      <c r="T224" s="85">
        <v>1147.933</v>
      </c>
      <c r="U224" s="87">
        <v>2840</v>
      </c>
      <c r="V224" s="85">
        <v>1146.3699999999999</v>
      </c>
      <c r="W224" s="87">
        <v>2850</v>
      </c>
      <c r="X224" s="85">
        <v>1146.2449999999999</v>
      </c>
      <c r="Y224" s="87">
        <v>2850</v>
      </c>
      <c r="Z224" s="85">
        <v>1144.855</v>
      </c>
      <c r="AA224" s="87">
        <v>2850</v>
      </c>
      <c r="AB224" s="85">
        <v>1144.3800000000001</v>
      </c>
      <c r="AC224" s="87">
        <v>2840</v>
      </c>
      <c r="AD224" s="85">
        <v>1068.614</v>
      </c>
      <c r="AE224" s="87">
        <v>2850</v>
      </c>
      <c r="AF224" s="85">
        <v>1069.731</v>
      </c>
      <c r="AG224" s="87">
        <v>2830</v>
      </c>
      <c r="AH224" s="85">
        <v>306.09800000000001</v>
      </c>
      <c r="AI224" s="87">
        <v>2830</v>
      </c>
      <c r="AJ224" s="85">
        <v>319.54700000000003</v>
      </c>
    </row>
    <row r="225" spans="1:36" ht="14.25" customHeight="1">
      <c r="A225" s="88">
        <v>2860</v>
      </c>
      <c r="B225" s="84">
        <v>640.27099999999996</v>
      </c>
      <c r="C225" s="88">
        <v>2870</v>
      </c>
      <c r="D225" s="85">
        <v>635.57299999999998</v>
      </c>
      <c r="E225" s="86">
        <v>2860</v>
      </c>
      <c r="F225" s="85">
        <v>1344.164</v>
      </c>
      <c r="G225" s="87">
        <v>2860</v>
      </c>
      <c r="H225" s="85">
        <v>1342.8019999999999</v>
      </c>
      <c r="I225" s="87">
        <v>2860</v>
      </c>
      <c r="J225" s="85">
        <v>1145.817</v>
      </c>
      <c r="K225" s="87">
        <v>2860</v>
      </c>
      <c r="L225" s="85">
        <v>1145.607</v>
      </c>
      <c r="M225" s="87">
        <v>2860</v>
      </c>
      <c r="N225" s="85">
        <v>1145.6010000000001</v>
      </c>
      <c r="O225" s="87">
        <v>2840</v>
      </c>
      <c r="P225" s="85">
        <v>1146.722</v>
      </c>
      <c r="Q225" s="87">
        <v>2860</v>
      </c>
      <c r="R225" s="85">
        <v>1146.309</v>
      </c>
      <c r="S225" s="87">
        <v>2860</v>
      </c>
      <c r="T225" s="85">
        <v>1146.75</v>
      </c>
      <c r="U225" s="87">
        <v>2850</v>
      </c>
      <c r="V225" s="85">
        <v>1145.19</v>
      </c>
      <c r="W225" s="87">
        <v>2860</v>
      </c>
      <c r="X225" s="85">
        <v>1145.0640000000001</v>
      </c>
      <c r="Y225" s="87">
        <v>2860</v>
      </c>
      <c r="Z225" s="85">
        <v>1143.673</v>
      </c>
      <c r="AA225" s="87">
        <v>2860</v>
      </c>
      <c r="AB225" s="85">
        <v>1143.201</v>
      </c>
      <c r="AC225" s="87">
        <v>2850</v>
      </c>
      <c r="AD225" s="85">
        <v>1067.433</v>
      </c>
      <c r="AE225" s="87">
        <v>2860</v>
      </c>
      <c r="AF225" s="85">
        <v>1068.5519999999999</v>
      </c>
      <c r="AG225" s="87">
        <v>2840</v>
      </c>
      <c r="AH225" s="85">
        <v>305.71300000000002</v>
      </c>
      <c r="AI225" s="87">
        <v>2840</v>
      </c>
      <c r="AJ225" s="85">
        <v>319.14800000000002</v>
      </c>
    </row>
    <row r="226" spans="1:36" ht="14.25" customHeight="1">
      <c r="A226" s="88">
        <v>2870</v>
      </c>
      <c r="B226" s="84">
        <v>639.49</v>
      </c>
      <c r="C226" s="88">
        <v>2880</v>
      </c>
      <c r="D226" s="85">
        <v>634.79899999999998</v>
      </c>
      <c r="E226" s="86">
        <v>2870</v>
      </c>
      <c r="F226" s="85">
        <v>1342.693</v>
      </c>
      <c r="G226" s="87">
        <v>2870</v>
      </c>
      <c r="H226" s="85">
        <v>1341.335</v>
      </c>
      <c r="I226" s="87">
        <v>2870</v>
      </c>
      <c r="J226" s="85">
        <v>1144.633</v>
      </c>
      <c r="K226" s="87">
        <v>2870</v>
      </c>
      <c r="L226" s="85">
        <v>1144.423</v>
      </c>
      <c r="M226" s="87">
        <v>2870</v>
      </c>
      <c r="N226" s="85">
        <v>1144.4169999999999</v>
      </c>
      <c r="O226" s="87">
        <v>2850</v>
      </c>
      <c r="P226" s="85">
        <v>1145.539</v>
      </c>
      <c r="Q226" s="87">
        <v>2870</v>
      </c>
      <c r="R226" s="85">
        <v>1145.126</v>
      </c>
      <c r="S226" s="87">
        <v>2870</v>
      </c>
      <c r="T226" s="85">
        <v>1145.568</v>
      </c>
      <c r="U226" s="87">
        <v>2860</v>
      </c>
      <c r="V226" s="85">
        <v>1144.01</v>
      </c>
      <c r="W226" s="87">
        <v>2870</v>
      </c>
      <c r="X226" s="85">
        <v>1143.883</v>
      </c>
      <c r="Y226" s="87">
        <v>2870</v>
      </c>
      <c r="Z226" s="85">
        <v>1142.492</v>
      </c>
      <c r="AA226" s="87">
        <v>2870</v>
      </c>
      <c r="AB226" s="85">
        <v>1142.0219999999999</v>
      </c>
      <c r="AC226" s="87">
        <v>2860</v>
      </c>
      <c r="AD226" s="85">
        <v>1066.252</v>
      </c>
      <c r="AE226" s="87">
        <v>2870</v>
      </c>
      <c r="AF226" s="85">
        <v>1067.3720000000001</v>
      </c>
      <c r="AG226" s="87">
        <v>2850</v>
      </c>
      <c r="AH226" s="85">
        <v>305.32799999999997</v>
      </c>
      <c r="AI226" s="87">
        <v>2850</v>
      </c>
      <c r="AJ226" s="85">
        <v>318.74900000000002</v>
      </c>
    </row>
    <row r="227" spans="1:36" ht="14.25" customHeight="1">
      <c r="A227" s="88">
        <v>2880</v>
      </c>
      <c r="B227" s="84">
        <v>638.70899999999995</v>
      </c>
      <c r="C227" s="88">
        <v>2890</v>
      </c>
      <c r="D227" s="85">
        <v>634.024</v>
      </c>
      <c r="E227" s="86">
        <v>2880</v>
      </c>
      <c r="F227" s="85">
        <v>1341.222</v>
      </c>
      <c r="G227" s="87">
        <v>2880</v>
      </c>
      <c r="H227" s="85">
        <v>1339.8679999999999</v>
      </c>
      <c r="I227" s="87">
        <v>2880</v>
      </c>
      <c r="J227" s="85">
        <v>1143.4490000000001</v>
      </c>
      <c r="K227" s="87">
        <v>2880</v>
      </c>
      <c r="L227" s="85">
        <v>1143.239</v>
      </c>
      <c r="M227" s="87">
        <v>2880</v>
      </c>
      <c r="N227" s="85">
        <v>1143.2339999999999</v>
      </c>
      <c r="O227" s="87">
        <v>2860</v>
      </c>
      <c r="P227" s="85">
        <v>1144.356</v>
      </c>
      <c r="Q227" s="87">
        <v>2880</v>
      </c>
      <c r="R227" s="85">
        <v>1143.943</v>
      </c>
      <c r="S227" s="87">
        <v>2880</v>
      </c>
      <c r="T227" s="85">
        <v>1144.385</v>
      </c>
      <c r="U227" s="87">
        <v>2870</v>
      </c>
      <c r="V227" s="85">
        <v>1142.829</v>
      </c>
      <c r="W227" s="87">
        <v>2880</v>
      </c>
      <c r="X227" s="85">
        <v>1142.702</v>
      </c>
      <c r="Y227" s="87">
        <v>2880</v>
      </c>
      <c r="Z227" s="85">
        <v>1141.31</v>
      </c>
      <c r="AA227" s="87">
        <v>2880</v>
      </c>
      <c r="AB227" s="85">
        <v>1140.8430000000001</v>
      </c>
      <c r="AC227" s="87">
        <v>2870</v>
      </c>
      <c r="AD227" s="85">
        <v>1065.0709999999999</v>
      </c>
      <c r="AE227" s="87">
        <v>2880</v>
      </c>
      <c r="AF227" s="85">
        <v>1066.193</v>
      </c>
      <c r="AG227" s="87">
        <v>2860</v>
      </c>
      <c r="AH227" s="85">
        <v>304.94299999999998</v>
      </c>
      <c r="AI227" s="87">
        <v>2860</v>
      </c>
      <c r="AJ227" s="85">
        <v>318.35000000000002</v>
      </c>
    </row>
    <row r="228" spans="1:36" ht="14.25" customHeight="1">
      <c r="A228" s="88">
        <v>2890</v>
      </c>
      <c r="B228" s="84">
        <v>637.928</v>
      </c>
      <c r="C228" s="88">
        <v>2900</v>
      </c>
      <c r="D228" s="85">
        <v>633.25</v>
      </c>
      <c r="E228" s="86">
        <v>2890</v>
      </c>
      <c r="F228" s="85">
        <v>1339.75</v>
      </c>
      <c r="G228" s="87">
        <v>2890</v>
      </c>
      <c r="H228" s="85">
        <v>1338.4</v>
      </c>
      <c r="I228" s="87">
        <v>2890</v>
      </c>
      <c r="J228" s="85">
        <v>1142.2639999999999</v>
      </c>
      <c r="K228" s="87">
        <v>2890</v>
      </c>
      <c r="L228" s="85">
        <v>1142.0540000000001</v>
      </c>
      <c r="M228" s="87">
        <v>2890</v>
      </c>
      <c r="N228" s="85">
        <v>1142.049</v>
      </c>
      <c r="O228" s="87">
        <v>2870</v>
      </c>
      <c r="P228" s="85">
        <v>1143.172</v>
      </c>
      <c r="Q228" s="87">
        <v>2890</v>
      </c>
      <c r="R228" s="85">
        <v>1142.759</v>
      </c>
      <c r="S228" s="87">
        <v>2890</v>
      </c>
      <c r="T228" s="85">
        <v>1143.202</v>
      </c>
      <c r="U228" s="87">
        <v>2880</v>
      </c>
      <c r="V228" s="85">
        <v>1141.6489999999999</v>
      </c>
      <c r="W228" s="87">
        <v>2890</v>
      </c>
      <c r="X228" s="85">
        <v>1141.521</v>
      </c>
      <c r="Y228" s="87">
        <v>2890</v>
      </c>
      <c r="Z228" s="85">
        <v>1140.1279999999999</v>
      </c>
      <c r="AA228" s="87">
        <v>2890</v>
      </c>
      <c r="AB228" s="85">
        <v>1139.663</v>
      </c>
      <c r="AC228" s="87">
        <v>2880</v>
      </c>
      <c r="AD228" s="85">
        <v>1063.8889999999999</v>
      </c>
      <c r="AE228" s="87">
        <v>2890</v>
      </c>
      <c r="AF228" s="85">
        <v>1065.0129999999999</v>
      </c>
      <c r="AG228" s="87">
        <v>2870</v>
      </c>
      <c r="AH228" s="85">
        <v>304.55700000000002</v>
      </c>
      <c r="AI228" s="87">
        <v>2870</v>
      </c>
      <c r="AJ228" s="85">
        <v>317.95</v>
      </c>
    </row>
    <row r="229" spans="1:36" ht="14.25" customHeight="1">
      <c r="A229" s="88">
        <v>2900</v>
      </c>
      <c r="B229" s="84">
        <v>637.14700000000005</v>
      </c>
      <c r="C229" s="88">
        <v>2910</v>
      </c>
      <c r="D229" s="85">
        <v>632.47500000000002</v>
      </c>
      <c r="E229" s="86">
        <v>2900</v>
      </c>
      <c r="F229" s="85">
        <v>1338.278</v>
      </c>
      <c r="G229" s="87">
        <v>2900</v>
      </c>
      <c r="H229" s="85">
        <v>1336.932</v>
      </c>
      <c r="I229" s="87">
        <v>2900</v>
      </c>
      <c r="J229" s="85">
        <v>1141.08</v>
      </c>
      <c r="K229" s="87">
        <v>2900</v>
      </c>
      <c r="L229" s="85">
        <v>1140.8699999999999</v>
      </c>
      <c r="M229" s="87">
        <v>2900</v>
      </c>
      <c r="N229" s="85">
        <v>1140.865</v>
      </c>
      <c r="O229" s="87">
        <v>2880</v>
      </c>
      <c r="P229" s="85">
        <v>1141.9880000000001</v>
      </c>
      <c r="Q229" s="87">
        <v>2900</v>
      </c>
      <c r="R229" s="85">
        <v>1141.575</v>
      </c>
      <c r="S229" s="87">
        <v>2900</v>
      </c>
      <c r="T229" s="85">
        <v>1142.019</v>
      </c>
      <c r="U229" s="87">
        <v>2890</v>
      </c>
      <c r="V229" s="85">
        <v>1140.4680000000001</v>
      </c>
      <c r="W229" s="87">
        <v>2900</v>
      </c>
      <c r="X229" s="85">
        <v>1140.3389999999999</v>
      </c>
      <c r="Y229" s="87">
        <v>2900</v>
      </c>
      <c r="Z229" s="85">
        <v>1138.9459999999999</v>
      </c>
      <c r="AA229" s="87">
        <v>2900</v>
      </c>
      <c r="AB229" s="85">
        <v>1138.4829999999999</v>
      </c>
      <c r="AC229" s="87">
        <v>2890</v>
      </c>
      <c r="AD229" s="85">
        <v>1062.7080000000001</v>
      </c>
      <c r="AE229" s="87">
        <v>2900</v>
      </c>
      <c r="AF229" s="85">
        <v>1063.8320000000001</v>
      </c>
      <c r="AG229" s="87">
        <v>2880</v>
      </c>
      <c r="AH229" s="85">
        <v>304.17200000000003</v>
      </c>
      <c r="AI229" s="87">
        <v>2880</v>
      </c>
      <c r="AJ229" s="85">
        <v>317.55099999999999</v>
      </c>
    </row>
    <row r="230" spans="1:36" ht="14.25" customHeight="1">
      <c r="A230" s="88">
        <v>2910</v>
      </c>
      <c r="B230" s="84">
        <v>636.36599999999999</v>
      </c>
      <c r="C230" s="88">
        <v>2920</v>
      </c>
      <c r="D230" s="85">
        <v>631.70000000000005</v>
      </c>
      <c r="E230" s="86">
        <v>2910</v>
      </c>
      <c r="F230" s="85">
        <v>1336.806</v>
      </c>
      <c r="G230" s="87">
        <v>2910</v>
      </c>
      <c r="H230" s="85">
        <v>1335.463</v>
      </c>
      <c r="I230" s="87">
        <v>2910</v>
      </c>
      <c r="J230" s="85">
        <v>1139.895</v>
      </c>
      <c r="K230" s="87">
        <v>2910</v>
      </c>
      <c r="L230" s="85">
        <v>1139.6849999999999</v>
      </c>
      <c r="M230" s="87">
        <v>2910</v>
      </c>
      <c r="N230" s="85">
        <v>1139.68</v>
      </c>
      <c r="O230" s="87">
        <v>2890</v>
      </c>
      <c r="P230" s="85">
        <v>1140.8040000000001</v>
      </c>
      <c r="Q230" s="87">
        <v>2910</v>
      </c>
      <c r="R230" s="85">
        <v>1140.3910000000001</v>
      </c>
      <c r="S230" s="87">
        <v>2910</v>
      </c>
      <c r="T230" s="85">
        <v>1140.836</v>
      </c>
      <c r="U230" s="87">
        <v>2900</v>
      </c>
      <c r="V230" s="85">
        <v>1139.2860000000001</v>
      </c>
      <c r="W230" s="87">
        <v>2910</v>
      </c>
      <c r="X230" s="85">
        <v>1139.1579999999999</v>
      </c>
      <c r="Y230" s="87">
        <v>2910</v>
      </c>
      <c r="Z230" s="85">
        <v>1137.7629999999999</v>
      </c>
      <c r="AA230" s="87">
        <v>2910</v>
      </c>
      <c r="AB230" s="85">
        <v>1137.3030000000001</v>
      </c>
      <c r="AC230" s="87">
        <v>2900</v>
      </c>
      <c r="AD230" s="85">
        <v>1061.5260000000001</v>
      </c>
      <c r="AE230" s="87">
        <v>2910</v>
      </c>
      <c r="AF230" s="85">
        <v>1062.652</v>
      </c>
      <c r="AG230" s="87">
        <v>2890</v>
      </c>
      <c r="AH230" s="85">
        <v>303.78699999999998</v>
      </c>
      <c r="AI230" s="87">
        <v>2890</v>
      </c>
      <c r="AJ230" s="85">
        <v>317.15100000000001</v>
      </c>
    </row>
    <row r="231" spans="1:36" ht="14.25" customHeight="1">
      <c r="A231" s="88">
        <v>2920</v>
      </c>
      <c r="B231" s="84">
        <v>635.58500000000004</v>
      </c>
      <c r="C231" s="88">
        <v>2930</v>
      </c>
      <c r="D231" s="85">
        <v>630.92499999999995</v>
      </c>
      <c r="E231" s="86">
        <v>2920</v>
      </c>
      <c r="F231" s="85">
        <v>1335.3330000000001</v>
      </c>
      <c r="G231" s="87">
        <v>2920</v>
      </c>
      <c r="H231" s="85">
        <v>1333.9949999999999</v>
      </c>
      <c r="I231" s="87">
        <v>2920</v>
      </c>
      <c r="J231" s="85">
        <v>1138.71</v>
      </c>
      <c r="K231" s="87">
        <v>2920</v>
      </c>
      <c r="L231" s="85">
        <v>1138.5</v>
      </c>
      <c r="M231" s="87">
        <v>2920</v>
      </c>
      <c r="N231" s="85">
        <v>1138.4960000000001</v>
      </c>
      <c r="O231" s="87">
        <v>2900</v>
      </c>
      <c r="P231" s="85">
        <v>1139.6199999999999</v>
      </c>
      <c r="Q231" s="87">
        <v>2920</v>
      </c>
      <c r="R231" s="85">
        <v>1139.2070000000001</v>
      </c>
      <c r="S231" s="87">
        <v>2920</v>
      </c>
      <c r="T231" s="85">
        <v>1139.652</v>
      </c>
      <c r="U231" s="87">
        <v>2910</v>
      </c>
      <c r="V231" s="85">
        <v>1138.105</v>
      </c>
      <c r="W231" s="87">
        <v>2920</v>
      </c>
      <c r="X231" s="85">
        <v>1137.9760000000001</v>
      </c>
      <c r="Y231" s="87">
        <v>2920</v>
      </c>
      <c r="Z231" s="85">
        <v>1136.58</v>
      </c>
      <c r="AA231" s="87">
        <v>2920</v>
      </c>
      <c r="AB231" s="85">
        <v>1136.1220000000001</v>
      </c>
      <c r="AC231" s="87">
        <v>2910</v>
      </c>
      <c r="AD231" s="85">
        <v>1060.3430000000001</v>
      </c>
      <c r="AE231" s="87">
        <v>2920</v>
      </c>
      <c r="AF231" s="85">
        <v>1061.471</v>
      </c>
      <c r="AG231" s="87">
        <v>2900</v>
      </c>
      <c r="AH231" s="85">
        <v>303.40100000000001</v>
      </c>
      <c r="AI231" s="87">
        <v>2900</v>
      </c>
      <c r="AJ231" s="85">
        <v>316.75200000000001</v>
      </c>
    </row>
    <row r="232" spans="1:36" ht="14.25" customHeight="1">
      <c r="A232" s="88">
        <v>2930</v>
      </c>
      <c r="B232" s="84">
        <v>634.803</v>
      </c>
      <c r="C232" s="88">
        <v>2940</v>
      </c>
      <c r="D232" s="85">
        <v>630.15</v>
      </c>
      <c r="E232" s="86">
        <v>2930</v>
      </c>
      <c r="F232" s="85">
        <v>1333.86</v>
      </c>
      <c r="G232" s="87">
        <v>2930</v>
      </c>
      <c r="H232" s="85">
        <v>1332.5260000000001</v>
      </c>
      <c r="I232" s="87">
        <v>2930</v>
      </c>
      <c r="J232" s="85">
        <v>1137.5250000000001</v>
      </c>
      <c r="K232" s="87">
        <v>2930</v>
      </c>
      <c r="L232" s="85">
        <v>1137.3140000000001</v>
      </c>
      <c r="M232" s="87">
        <v>2930</v>
      </c>
      <c r="N232" s="85">
        <v>1137.31</v>
      </c>
      <c r="O232" s="87">
        <v>2910</v>
      </c>
      <c r="P232" s="85">
        <v>1138.4349999999999</v>
      </c>
      <c r="Q232" s="87">
        <v>2930</v>
      </c>
      <c r="R232" s="85">
        <v>1138.0219999999999</v>
      </c>
      <c r="S232" s="87">
        <v>2930</v>
      </c>
      <c r="T232" s="85">
        <v>1138.4680000000001</v>
      </c>
      <c r="U232" s="87">
        <v>2920</v>
      </c>
      <c r="V232" s="85">
        <v>1136.923</v>
      </c>
      <c r="W232" s="87">
        <v>2930</v>
      </c>
      <c r="X232" s="85">
        <v>1136.7929999999999</v>
      </c>
      <c r="Y232" s="87">
        <v>2930</v>
      </c>
      <c r="Z232" s="85">
        <v>1135.3979999999999</v>
      </c>
      <c r="AA232" s="87">
        <v>2930</v>
      </c>
      <c r="AB232" s="85">
        <v>1134.941</v>
      </c>
      <c r="AC232" s="87">
        <v>2920</v>
      </c>
      <c r="AD232" s="85">
        <v>1059.1610000000001</v>
      </c>
      <c r="AE232" s="87">
        <v>2930</v>
      </c>
      <c r="AF232" s="85">
        <v>1060.29</v>
      </c>
      <c r="AG232" s="87">
        <v>2910</v>
      </c>
      <c r="AH232" s="85">
        <v>303.01499999999999</v>
      </c>
      <c r="AI232" s="87">
        <v>2910</v>
      </c>
      <c r="AJ232" s="85">
        <v>316.35199999999998</v>
      </c>
    </row>
    <row r="233" spans="1:36" ht="14.25" customHeight="1">
      <c r="A233" s="88">
        <v>2940</v>
      </c>
      <c r="B233" s="84">
        <v>634.02099999999996</v>
      </c>
      <c r="C233" s="88">
        <v>2950</v>
      </c>
      <c r="D233" s="85">
        <v>629.37400000000002</v>
      </c>
      <c r="E233" s="86">
        <v>2940</v>
      </c>
      <c r="F233" s="85">
        <v>1332.3869999999999</v>
      </c>
      <c r="G233" s="87">
        <v>2940</v>
      </c>
      <c r="H233" s="85">
        <v>1331.056</v>
      </c>
      <c r="I233" s="87">
        <v>2940</v>
      </c>
      <c r="J233" s="85">
        <v>1136.3389999999999</v>
      </c>
      <c r="K233" s="87">
        <v>2940</v>
      </c>
      <c r="L233" s="85">
        <v>1136.1289999999999</v>
      </c>
      <c r="M233" s="87">
        <v>2940</v>
      </c>
      <c r="N233" s="85">
        <v>1136.125</v>
      </c>
      <c r="O233" s="87">
        <v>2920</v>
      </c>
      <c r="P233" s="85">
        <v>1137.25</v>
      </c>
      <c r="Q233" s="87">
        <v>2940</v>
      </c>
      <c r="R233" s="85">
        <v>1136.837</v>
      </c>
      <c r="S233" s="87">
        <v>2940</v>
      </c>
      <c r="T233" s="85">
        <v>1137.2840000000001</v>
      </c>
      <c r="U233" s="87">
        <v>2930</v>
      </c>
      <c r="V233" s="85">
        <v>1135.741</v>
      </c>
      <c r="W233" s="87">
        <v>2940</v>
      </c>
      <c r="X233" s="85">
        <v>1135.6110000000001</v>
      </c>
      <c r="Y233" s="87">
        <v>2940</v>
      </c>
      <c r="Z233" s="85">
        <v>1134.2139999999999</v>
      </c>
      <c r="AA233" s="87">
        <v>2940</v>
      </c>
      <c r="AB233" s="85">
        <v>1133.76</v>
      </c>
      <c r="AC233" s="87">
        <v>2930</v>
      </c>
      <c r="AD233" s="85">
        <v>1057.9780000000001</v>
      </c>
      <c r="AE233" s="87">
        <v>2940</v>
      </c>
      <c r="AF233" s="85">
        <v>1059.1089999999999</v>
      </c>
      <c r="AG233" s="87">
        <v>2920</v>
      </c>
      <c r="AH233" s="85">
        <v>302.63</v>
      </c>
      <c r="AI233" s="87">
        <v>2920</v>
      </c>
      <c r="AJ233" s="85">
        <v>315.95299999999997</v>
      </c>
    </row>
    <row r="234" spans="1:36" ht="14.25" customHeight="1">
      <c r="A234" s="88">
        <v>2950</v>
      </c>
      <c r="B234" s="84">
        <v>633.23900000000003</v>
      </c>
      <c r="C234" s="88">
        <v>2960</v>
      </c>
      <c r="D234" s="85">
        <v>628.59799999999996</v>
      </c>
      <c r="E234" s="86">
        <v>2950</v>
      </c>
      <c r="F234" s="85">
        <v>1330.914</v>
      </c>
      <c r="G234" s="87">
        <v>2950</v>
      </c>
      <c r="H234" s="85">
        <v>1329.587</v>
      </c>
      <c r="I234" s="87">
        <v>2950</v>
      </c>
      <c r="J234" s="85">
        <v>1135.153</v>
      </c>
      <c r="K234" s="87">
        <v>2950</v>
      </c>
      <c r="L234" s="85">
        <v>1134.943</v>
      </c>
      <c r="M234" s="87">
        <v>2950</v>
      </c>
      <c r="N234" s="85">
        <v>1134.94</v>
      </c>
      <c r="O234" s="87">
        <v>2930</v>
      </c>
      <c r="P234" s="85">
        <v>1136.0650000000001</v>
      </c>
      <c r="Q234" s="87">
        <v>2950</v>
      </c>
      <c r="R234" s="85">
        <v>1135.652</v>
      </c>
      <c r="S234" s="87">
        <v>2950</v>
      </c>
      <c r="T234" s="85">
        <v>1136.0989999999999</v>
      </c>
      <c r="U234" s="87">
        <v>2940</v>
      </c>
      <c r="V234" s="85">
        <v>1134.559</v>
      </c>
      <c r="W234" s="87">
        <v>2950</v>
      </c>
      <c r="X234" s="85">
        <v>1134.4280000000001</v>
      </c>
      <c r="Y234" s="87">
        <v>2950</v>
      </c>
      <c r="Z234" s="85">
        <v>1133.0309999999999</v>
      </c>
      <c r="AA234" s="87">
        <v>2950</v>
      </c>
      <c r="AB234" s="85">
        <v>1132.579</v>
      </c>
      <c r="AC234" s="87">
        <v>2940</v>
      </c>
      <c r="AD234" s="85">
        <v>1056.7950000000001</v>
      </c>
      <c r="AE234" s="87">
        <v>2950</v>
      </c>
      <c r="AF234" s="85">
        <v>1057.9269999999999</v>
      </c>
      <c r="AG234" s="87">
        <v>2930</v>
      </c>
      <c r="AH234" s="85">
        <v>302.24400000000003</v>
      </c>
      <c r="AI234" s="87">
        <v>2930</v>
      </c>
      <c r="AJ234" s="85">
        <v>315.553</v>
      </c>
    </row>
    <row r="235" spans="1:36" ht="14.25" customHeight="1">
      <c r="A235" s="88">
        <v>2960</v>
      </c>
      <c r="B235" s="84">
        <v>632.45699999999999</v>
      </c>
      <c r="C235" s="88">
        <v>2970</v>
      </c>
      <c r="D235" s="85">
        <v>627.82299999999998</v>
      </c>
      <c r="E235" s="86">
        <v>2960</v>
      </c>
      <c r="F235" s="85">
        <v>1329.44</v>
      </c>
      <c r="G235" s="87">
        <v>2960</v>
      </c>
      <c r="H235" s="85">
        <v>1328.117</v>
      </c>
      <c r="I235" s="87">
        <v>2960</v>
      </c>
      <c r="J235" s="85">
        <v>1133.9670000000001</v>
      </c>
      <c r="K235" s="87">
        <v>2960</v>
      </c>
      <c r="L235" s="85">
        <v>1133.7560000000001</v>
      </c>
      <c r="M235" s="87">
        <v>2960</v>
      </c>
      <c r="N235" s="85">
        <v>1133.7539999999999</v>
      </c>
      <c r="O235" s="87">
        <v>2940</v>
      </c>
      <c r="P235" s="85">
        <v>1134.8800000000001</v>
      </c>
      <c r="Q235" s="87">
        <v>2960</v>
      </c>
      <c r="R235" s="85">
        <v>1134.4670000000001</v>
      </c>
      <c r="S235" s="87">
        <v>2960</v>
      </c>
      <c r="T235" s="85">
        <v>1134.915</v>
      </c>
      <c r="U235" s="87">
        <v>2950</v>
      </c>
      <c r="V235" s="85">
        <v>1133.376</v>
      </c>
      <c r="W235" s="87">
        <v>2960</v>
      </c>
      <c r="X235" s="85">
        <v>1133.2449999999999</v>
      </c>
      <c r="Y235" s="87">
        <v>2960</v>
      </c>
      <c r="Z235" s="89">
        <v>1131.847</v>
      </c>
      <c r="AA235" s="87">
        <v>2960</v>
      </c>
      <c r="AB235" s="85">
        <v>1131.3979999999999</v>
      </c>
      <c r="AC235" s="87">
        <v>2950</v>
      </c>
      <c r="AD235" s="85">
        <v>1055.6120000000001</v>
      </c>
      <c r="AE235" s="87">
        <v>2960</v>
      </c>
      <c r="AF235" s="85">
        <v>1056.7460000000001</v>
      </c>
      <c r="AG235" s="87">
        <v>2940</v>
      </c>
      <c r="AH235" s="85">
        <v>301.858</v>
      </c>
      <c r="AI235" s="87">
        <v>2940</v>
      </c>
      <c r="AJ235" s="85">
        <v>315.15300000000002</v>
      </c>
    </row>
    <row r="236" spans="1:36" ht="14.25" customHeight="1">
      <c r="A236" s="88">
        <v>2970</v>
      </c>
      <c r="B236" s="84">
        <v>631.67499999999995</v>
      </c>
      <c r="C236" s="88">
        <v>2980</v>
      </c>
      <c r="D236" s="85">
        <v>627.04700000000003</v>
      </c>
      <c r="E236" s="86">
        <v>2970</v>
      </c>
      <c r="F236" s="85">
        <v>1327.9659999999999</v>
      </c>
      <c r="G236" s="87">
        <v>2970</v>
      </c>
      <c r="H236" s="85">
        <v>1326.646</v>
      </c>
      <c r="I236" s="87">
        <v>2970</v>
      </c>
      <c r="J236" s="85">
        <v>1132.7809999999999</v>
      </c>
      <c r="K236" s="87">
        <v>2970</v>
      </c>
      <c r="L236" s="85">
        <v>1132.57</v>
      </c>
      <c r="M236" s="87">
        <v>2970</v>
      </c>
      <c r="N236" s="85">
        <v>1132.568</v>
      </c>
      <c r="O236" s="87">
        <v>2950</v>
      </c>
      <c r="P236" s="85">
        <v>1133.694</v>
      </c>
      <c r="Q236" s="87">
        <v>2970</v>
      </c>
      <c r="R236" s="85">
        <v>1133.2809999999999</v>
      </c>
      <c r="S236" s="87">
        <v>2970</v>
      </c>
      <c r="T236" s="85">
        <v>1133.73</v>
      </c>
      <c r="U236" s="87">
        <v>2960</v>
      </c>
      <c r="V236" s="85">
        <v>1132.194</v>
      </c>
      <c r="W236" s="87">
        <v>2970</v>
      </c>
      <c r="X236" s="85">
        <v>1132.0619999999999</v>
      </c>
      <c r="Y236" s="87">
        <v>2970</v>
      </c>
      <c r="Z236" s="89">
        <v>1130.663</v>
      </c>
      <c r="AA236" s="87">
        <v>2970</v>
      </c>
      <c r="AB236" s="85">
        <v>1130.2159999999999</v>
      </c>
      <c r="AC236" s="87">
        <v>2960</v>
      </c>
      <c r="AD236" s="85">
        <v>1054.4290000000001</v>
      </c>
      <c r="AE236" s="87">
        <v>2970</v>
      </c>
      <c r="AF236" s="85">
        <v>1055.5640000000001</v>
      </c>
      <c r="AG236" s="87">
        <v>2950</v>
      </c>
      <c r="AH236" s="85">
        <v>301.47199999999998</v>
      </c>
      <c r="AI236" s="87">
        <v>2950</v>
      </c>
      <c r="AJ236" s="85">
        <v>314.75299999999999</v>
      </c>
    </row>
    <row r="237" spans="1:36" ht="14.25" customHeight="1">
      <c r="A237" s="88">
        <v>2980</v>
      </c>
      <c r="B237" s="84">
        <v>630.89200000000005</v>
      </c>
      <c r="C237" s="88">
        <v>2990</v>
      </c>
      <c r="D237" s="85">
        <v>626.27</v>
      </c>
      <c r="E237" s="86">
        <v>2980</v>
      </c>
      <c r="F237" s="85">
        <v>1326.492</v>
      </c>
      <c r="G237" s="87">
        <v>2980</v>
      </c>
      <c r="H237" s="85">
        <v>1325.1759999999999</v>
      </c>
      <c r="I237" s="87">
        <v>2980</v>
      </c>
      <c r="J237" s="85">
        <v>1131.595</v>
      </c>
      <c r="K237" s="87">
        <v>2980</v>
      </c>
      <c r="L237" s="85">
        <v>1131.383</v>
      </c>
      <c r="M237" s="87">
        <v>2980</v>
      </c>
      <c r="N237" s="85">
        <v>1131.3810000000001</v>
      </c>
      <c r="O237" s="87">
        <v>2960</v>
      </c>
      <c r="P237" s="85">
        <v>1132.509</v>
      </c>
      <c r="Q237" s="87">
        <v>2980</v>
      </c>
      <c r="R237" s="85">
        <v>1132.095</v>
      </c>
      <c r="S237" s="87">
        <v>2980</v>
      </c>
      <c r="T237" s="85">
        <v>1132.5450000000001</v>
      </c>
      <c r="U237" s="87">
        <v>2970</v>
      </c>
      <c r="V237" s="85">
        <v>1131.011</v>
      </c>
      <c r="W237" s="87">
        <v>2980</v>
      </c>
      <c r="X237" s="85">
        <v>1130.8779999999999</v>
      </c>
      <c r="Y237" s="87">
        <v>2980</v>
      </c>
      <c r="Z237" s="85">
        <v>1129.479</v>
      </c>
      <c r="AA237" s="87">
        <v>2980</v>
      </c>
      <c r="AB237" s="85">
        <v>1129.0340000000001</v>
      </c>
      <c r="AC237" s="87">
        <v>2970</v>
      </c>
      <c r="AD237" s="85">
        <v>1053.2449999999999</v>
      </c>
      <c r="AE237" s="87">
        <v>2980</v>
      </c>
      <c r="AF237" s="85">
        <v>1054.3820000000001</v>
      </c>
      <c r="AG237" s="87">
        <v>2960</v>
      </c>
      <c r="AH237" s="85">
        <v>301.08600000000001</v>
      </c>
      <c r="AI237" s="87">
        <v>2960</v>
      </c>
      <c r="AJ237" s="85">
        <v>314.35300000000001</v>
      </c>
    </row>
    <row r="238" spans="1:36" ht="14.25" customHeight="1">
      <c r="A238" s="88">
        <v>2990</v>
      </c>
      <c r="B238" s="84">
        <v>630.11</v>
      </c>
      <c r="C238" s="88">
        <v>3000</v>
      </c>
      <c r="D238" s="85">
        <v>625.49400000000003</v>
      </c>
      <c r="E238" s="86">
        <v>2990</v>
      </c>
      <c r="F238" s="85">
        <v>1325.0170000000001</v>
      </c>
      <c r="G238" s="87">
        <v>2990</v>
      </c>
      <c r="H238" s="85">
        <v>1323.7049999999999</v>
      </c>
      <c r="I238" s="87">
        <v>2990</v>
      </c>
      <c r="J238" s="85">
        <v>1130.4079999999999</v>
      </c>
      <c r="K238" s="87">
        <v>2990</v>
      </c>
      <c r="L238" s="85">
        <v>1130.1969999999999</v>
      </c>
      <c r="M238" s="87">
        <v>2990</v>
      </c>
      <c r="N238" s="85">
        <v>1130.1949999999999</v>
      </c>
      <c r="O238" s="87">
        <v>2970</v>
      </c>
      <c r="P238" s="85">
        <v>1131.3230000000001</v>
      </c>
      <c r="Q238" s="87">
        <v>2990</v>
      </c>
      <c r="R238" s="85">
        <v>1130.9090000000001</v>
      </c>
      <c r="S238" s="87">
        <v>2990</v>
      </c>
      <c r="T238" s="85">
        <v>1131.3589999999999</v>
      </c>
      <c r="U238" s="87">
        <v>2980</v>
      </c>
      <c r="V238" s="85">
        <v>1129.827</v>
      </c>
      <c r="W238" s="87">
        <v>2990</v>
      </c>
      <c r="X238" s="85">
        <v>1129.6949999999999</v>
      </c>
      <c r="Y238" s="87">
        <v>2990</v>
      </c>
      <c r="Z238" s="85">
        <v>1128.2950000000001</v>
      </c>
      <c r="AA238" s="87">
        <v>2990</v>
      </c>
      <c r="AB238" s="85">
        <v>1127.8520000000001</v>
      </c>
      <c r="AC238" s="87">
        <v>2980</v>
      </c>
      <c r="AD238" s="85">
        <v>1052.0609999999999</v>
      </c>
      <c r="AE238" s="87">
        <v>2990</v>
      </c>
      <c r="AF238" s="85">
        <v>1053.1990000000001</v>
      </c>
      <c r="AG238" s="87">
        <v>2970</v>
      </c>
      <c r="AH238" s="85">
        <v>300.69900000000001</v>
      </c>
      <c r="AI238" s="87">
        <v>2970</v>
      </c>
      <c r="AJ238" s="85">
        <v>313.95299999999997</v>
      </c>
    </row>
    <row r="239" spans="1:36" ht="14.25" customHeight="1">
      <c r="A239" s="88">
        <v>3000</v>
      </c>
      <c r="B239" s="84">
        <v>629.327</v>
      </c>
      <c r="C239" s="88">
        <v>3010</v>
      </c>
      <c r="D239" s="85">
        <v>624.71699999999998</v>
      </c>
      <c r="E239" s="86">
        <v>3000</v>
      </c>
      <c r="F239" s="85">
        <v>1323.5419999999999</v>
      </c>
      <c r="G239" s="87">
        <v>3000</v>
      </c>
      <c r="H239" s="85">
        <v>1322.2339999999999</v>
      </c>
      <c r="I239" s="87">
        <v>3000</v>
      </c>
      <c r="J239" s="85">
        <v>1129.221</v>
      </c>
      <c r="K239" s="87">
        <v>3000</v>
      </c>
      <c r="L239" s="85">
        <v>1129.009</v>
      </c>
      <c r="M239" s="87">
        <v>3000</v>
      </c>
      <c r="N239" s="85">
        <v>1129.008</v>
      </c>
      <c r="O239" s="87">
        <v>2980</v>
      </c>
      <c r="P239" s="85">
        <v>1130.136</v>
      </c>
      <c r="Q239" s="87">
        <v>3000</v>
      </c>
      <c r="R239" s="85">
        <v>1129.723</v>
      </c>
      <c r="S239" s="87">
        <v>3000</v>
      </c>
      <c r="T239" s="85">
        <v>1130.174</v>
      </c>
      <c r="U239" s="87">
        <v>2990</v>
      </c>
      <c r="V239" s="85">
        <v>1128.644</v>
      </c>
      <c r="W239" s="87">
        <v>3000</v>
      </c>
      <c r="X239" s="85">
        <v>1128.511</v>
      </c>
      <c r="Y239" s="87">
        <v>3000</v>
      </c>
      <c r="Z239" s="85">
        <v>1127.1099999999999</v>
      </c>
      <c r="AA239" s="87">
        <v>3000</v>
      </c>
      <c r="AB239" s="85">
        <v>1126.67</v>
      </c>
      <c r="AC239" s="87">
        <v>2990</v>
      </c>
      <c r="AD239" s="85">
        <v>1050.877</v>
      </c>
      <c r="AE239" s="87">
        <v>3000</v>
      </c>
      <c r="AF239" s="85">
        <v>1052.0160000000001</v>
      </c>
      <c r="AG239" s="87">
        <v>2980</v>
      </c>
      <c r="AH239" s="85">
        <v>300.31299999999999</v>
      </c>
      <c r="AI239" s="87">
        <v>2980</v>
      </c>
      <c r="AJ239" s="85">
        <v>313.55200000000002</v>
      </c>
    </row>
    <row r="240" spans="1:36" ht="14.25" customHeight="1">
      <c r="A240" s="88">
        <v>3010</v>
      </c>
      <c r="B240" s="84">
        <v>628.54399999999998</v>
      </c>
      <c r="C240" s="88">
        <v>3020</v>
      </c>
      <c r="D240" s="85">
        <v>623.94000000000005</v>
      </c>
      <c r="E240" s="86">
        <v>3010</v>
      </c>
      <c r="F240" s="85">
        <v>1322.067</v>
      </c>
      <c r="G240" s="87">
        <v>3010</v>
      </c>
      <c r="H240" s="85">
        <v>1320.7619999999999</v>
      </c>
      <c r="I240" s="87">
        <v>3010</v>
      </c>
      <c r="J240" s="85">
        <v>1128.0340000000001</v>
      </c>
      <c r="K240" s="87">
        <v>3010</v>
      </c>
      <c r="L240" s="85">
        <v>1127.8219999999999</v>
      </c>
      <c r="M240" s="87">
        <v>3010</v>
      </c>
      <c r="N240" s="85">
        <v>1127.8209999999999</v>
      </c>
      <c r="O240" s="87">
        <v>2990</v>
      </c>
      <c r="P240" s="85">
        <v>1128.95</v>
      </c>
      <c r="Q240" s="87">
        <v>3010</v>
      </c>
      <c r="R240" s="85">
        <v>1128.5360000000001</v>
      </c>
      <c r="S240" s="87">
        <v>3010</v>
      </c>
      <c r="T240" s="85">
        <v>1128.9880000000001</v>
      </c>
      <c r="U240" s="87">
        <v>3000</v>
      </c>
      <c r="V240" s="85">
        <v>1127.46</v>
      </c>
      <c r="W240" s="87">
        <v>3010</v>
      </c>
      <c r="X240" s="85">
        <v>1127.327</v>
      </c>
      <c r="Y240" s="87">
        <v>3010</v>
      </c>
      <c r="Z240" s="85">
        <v>1125.925</v>
      </c>
      <c r="AA240" s="87">
        <v>3010</v>
      </c>
      <c r="AB240" s="85">
        <v>1125.4870000000001</v>
      </c>
      <c r="AC240" s="87">
        <v>3000</v>
      </c>
      <c r="AD240" s="85">
        <v>1049.692</v>
      </c>
      <c r="AE240" s="87">
        <v>3010</v>
      </c>
      <c r="AF240" s="85">
        <v>1050.8340000000001</v>
      </c>
      <c r="AG240" s="87">
        <v>2990</v>
      </c>
      <c r="AH240" s="85">
        <v>299.92700000000002</v>
      </c>
      <c r="AI240" s="87">
        <v>2990</v>
      </c>
      <c r="AJ240" s="85">
        <v>313.15199999999999</v>
      </c>
    </row>
    <row r="241" spans="1:36" ht="14.25" customHeight="1">
      <c r="A241" s="88">
        <v>3020</v>
      </c>
      <c r="B241" s="84">
        <v>627.76099999999997</v>
      </c>
      <c r="C241" s="88">
        <v>3030</v>
      </c>
      <c r="D241" s="85">
        <v>623.16300000000001</v>
      </c>
      <c r="E241" s="86">
        <v>3020</v>
      </c>
      <c r="F241" s="85">
        <v>1320.5920000000001</v>
      </c>
      <c r="G241" s="87">
        <v>3020</v>
      </c>
      <c r="H241" s="85">
        <v>1319.29</v>
      </c>
      <c r="I241" s="87">
        <v>3020</v>
      </c>
      <c r="J241" s="85">
        <v>1126.847</v>
      </c>
      <c r="K241" s="87">
        <v>3020</v>
      </c>
      <c r="L241" s="85">
        <v>1126.634</v>
      </c>
      <c r="M241" s="87">
        <v>3020</v>
      </c>
      <c r="N241" s="85">
        <v>1126.634</v>
      </c>
      <c r="O241" s="87">
        <v>3000</v>
      </c>
      <c r="P241" s="85">
        <v>1127.7629999999999</v>
      </c>
      <c r="Q241" s="87">
        <v>3020</v>
      </c>
      <c r="R241" s="85">
        <v>1127.3489999999999</v>
      </c>
      <c r="S241" s="87">
        <v>3020</v>
      </c>
      <c r="T241" s="85">
        <v>1127.8019999999999</v>
      </c>
      <c r="U241" s="87">
        <v>3010</v>
      </c>
      <c r="V241" s="85">
        <v>1126.2760000000001</v>
      </c>
      <c r="W241" s="87">
        <v>3020</v>
      </c>
      <c r="X241" s="85">
        <v>1126.1420000000001</v>
      </c>
      <c r="Y241" s="87">
        <v>3020</v>
      </c>
      <c r="Z241" s="85">
        <v>1124.74</v>
      </c>
      <c r="AA241" s="87">
        <v>3020</v>
      </c>
      <c r="AB241" s="85">
        <v>1124.3040000000001</v>
      </c>
      <c r="AC241" s="87">
        <v>3010</v>
      </c>
      <c r="AD241" s="85">
        <v>1048.508</v>
      </c>
      <c r="AE241" s="87">
        <v>3020</v>
      </c>
      <c r="AF241" s="85">
        <v>1049.6500000000001</v>
      </c>
      <c r="AG241" s="87">
        <v>3000</v>
      </c>
      <c r="AH241" s="85">
        <v>299.54000000000002</v>
      </c>
      <c r="AI241" s="87">
        <v>3000</v>
      </c>
      <c r="AJ241" s="85">
        <v>312.75200000000001</v>
      </c>
    </row>
    <row r="242" spans="1:36" ht="14.25" customHeight="1">
      <c r="A242" s="88">
        <v>3030</v>
      </c>
      <c r="B242" s="84">
        <v>626.97699999999998</v>
      </c>
      <c r="C242" s="88">
        <v>3040</v>
      </c>
      <c r="D242" s="85">
        <v>622.38599999999997</v>
      </c>
      <c r="E242" s="86">
        <v>3030</v>
      </c>
      <c r="F242" s="85">
        <v>1319.116</v>
      </c>
      <c r="G242" s="87">
        <v>3030</v>
      </c>
      <c r="H242" s="85">
        <v>1317.818</v>
      </c>
      <c r="I242" s="87">
        <v>3030</v>
      </c>
      <c r="J242" s="85">
        <v>1125.6590000000001</v>
      </c>
      <c r="K242" s="87">
        <v>3030</v>
      </c>
      <c r="L242" s="85">
        <v>1125.4469999999999</v>
      </c>
      <c r="M242" s="87">
        <v>3030</v>
      </c>
      <c r="N242" s="85">
        <v>1125.4459999999999</v>
      </c>
      <c r="O242" s="87">
        <v>3010</v>
      </c>
      <c r="P242" s="85">
        <v>1126.576</v>
      </c>
      <c r="Q242" s="87">
        <v>3030</v>
      </c>
      <c r="R242" s="85">
        <v>1126.162</v>
      </c>
      <c r="S242" s="87">
        <v>3030</v>
      </c>
      <c r="T242" s="85">
        <v>1126.615</v>
      </c>
      <c r="U242" s="87">
        <v>3020</v>
      </c>
      <c r="V242" s="85">
        <v>1125.0920000000001</v>
      </c>
      <c r="W242" s="87">
        <v>3030</v>
      </c>
      <c r="X242" s="85">
        <v>1124.9570000000001</v>
      </c>
      <c r="Y242" s="87">
        <v>3030</v>
      </c>
      <c r="Z242" s="85">
        <v>1123.5540000000001</v>
      </c>
      <c r="AA242" s="87">
        <v>3030</v>
      </c>
      <c r="AB242" s="85">
        <v>1123.1210000000001</v>
      </c>
      <c r="AC242" s="87">
        <v>3020</v>
      </c>
      <c r="AD242" s="85">
        <v>1047.3230000000001</v>
      </c>
      <c r="AE242" s="87">
        <v>3030</v>
      </c>
      <c r="AF242" s="85">
        <v>1048.4670000000001</v>
      </c>
      <c r="AG242" s="87">
        <v>3010</v>
      </c>
      <c r="AH242" s="85">
        <v>299.154</v>
      </c>
      <c r="AI242" s="87">
        <v>3010</v>
      </c>
      <c r="AJ242" s="85">
        <v>312.351</v>
      </c>
    </row>
    <row r="243" spans="1:36" ht="14.25" customHeight="1">
      <c r="A243" s="88">
        <v>3040</v>
      </c>
      <c r="B243" s="84">
        <v>626.19399999999996</v>
      </c>
      <c r="C243" s="88">
        <v>3050</v>
      </c>
      <c r="D243" s="85">
        <v>621.60900000000004</v>
      </c>
      <c r="E243" s="86">
        <v>3040</v>
      </c>
      <c r="F243" s="85">
        <v>1317.64</v>
      </c>
      <c r="G243" s="87">
        <v>3040</v>
      </c>
      <c r="H243" s="85">
        <v>1316.346</v>
      </c>
      <c r="I243" s="87">
        <v>3040</v>
      </c>
      <c r="J243" s="85">
        <v>1124.471</v>
      </c>
      <c r="K243" s="87">
        <v>3040</v>
      </c>
      <c r="L243" s="85">
        <v>1124.258</v>
      </c>
      <c r="M243" s="87">
        <v>3040</v>
      </c>
      <c r="N243" s="85">
        <v>1124.259</v>
      </c>
      <c r="O243" s="87">
        <v>3020</v>
      </c>
      <c r="P243" s="85">
        <v>1125.3889999999999</v>
      </c>
      <c r="Q243" s="87">
        <v>3040</v>
      </c>
      <c r="R243" s="85">
        <v>1124.9749999999999</v>
      </c>
      <c r="S243" s="87">
        <v>3040</v>
      </c>
      <c r="T243" s="85">
        <v>1125.4290000000001</v>
      </c>
      <c r="U243" s="87">
        <v>3030</v>
      </c>
      <c r="V243" s="85">
        <v>1123.9079999999999</v>
      </c>
      <c r="W243" s="87">
        <v>3040</v>
      </c>
      <c r="X243" s="85">
        <v>1123.7719999999999</v>
      </c>
      <c r="Y243" s="87">
        <v>3040</v>
      </c>
      <c r="Z243" s="85">
        <v>1122.3689999999999</v>
      </c>
      <c r="AA243" s="87">
        <v>3040</v>
      </c>
      <c r="AB243" s="85">
        <v>1121.9369999999999</v>
      </c>
      <c r="AC243" s="87">
        <v>3030</v>
      </c>
      <c r="AD243" s="85">
        <v>1046.1379999999999</v>
      </c>
      <c r="AE243" s="87">
        <v>3040</v>
      </c>
      <c r="AF243" s="85">
        <v>1047.2829999999999</v>
      </c>
      <c r="AG243" s="87">
        <v>3020</v>
      </c>
      <c r="AH243" s="85">
        <v>298.767</v>
      </c>
      <c r="AI243" s="87">
        <v>3020</v>
      </c>
      <c r="AJ243" s="85">
        <v>311.95</v>
      </c>
    </row>
    <row r="244" spans="1:36" ht="14.25" customHeight="1">
      <c r="A244" s="88">
        <v>3050</v>
      </c>
      <c r="B244" s="84">
        <v>625.41</v>
      </c>
      <c r="C244" s="88">
        <v>3060</v>
      </c>
      <c r="D244" s="85">
        <v>620.83100000000002</v>
      </c>
      <c r="E244" s="86">
        <v>3050</v>
      </c>
      <c r="F244" s="85">
        <v>1316.163</v>
      </c>
      <c r="G244" s="87">
        <v>3050</v>
      </c>
      <c r="H244" s="85">
        <v>1314.873</v>
      </c>
      <c r="I244" s="87">
        <v>3050</v>
      </c>
      <c r="J244" s="85">
        <v>1123.2829999999999</v>
      </c>
      <c r="K244" s="87">
        <v>3050</v>
      </c>
      <c r="L244" s="85">
        <v>1123.07</v>
      </c>
      <c r="M244" s="87">
        <v>3050</v>
      </c>
      <c r="N244" s="85">
        <v>1123.0709999999999</v>
      </c>
      <c r="O244" s="87">
        <v>3030</v>
      </c>
      <c r="P244" s="85">
        <v>1124.202</v>
      </c>
      <c r="Q244" s="87">
        <v>3050</v>
      </c>
      <c r="R244" s="85">
        <v>1123.787</v>
      </c>
      <c r="S244" s="87">
        <v>3050</v>
      </c>
      <c r="T244" s="85">
        <v>1124.242</v>
      </c>
      <c r="U244" s="87">
        <v>3040</v>
      </c>
      <c r="V244" s="85">
        <v>1122.723</v>
      </c>
      <c r="W244" s="87">
        <v>3050</v>
      </c>
      <c r="X244" s="85">
        <v>1122.587</v>
      </c>
      <c r="Y244" s="87">
        <v>3050</v>
      </c>
      <c r="Z244" s="85">
        <v>1121.183</v>
      </c>
      <c r="AA244" s="87">
        <v>3050</v>
      </c>
      <c r="AB244" s="85">
        <v>1120.7539999999999</v>
      </c>
      <c r="AC244" s="87">
        <v>3040</v>
      </c>
      <c r="AD244" s="85">
        <v>1044.953</v>
      </c>
      <c r="AE244" s="87">
        <v>3050</v>
      </c>
      <c r="AF244" s="85">
        <v>1046.0989999999999</v>
      </c>
      <c r="AG244" s="87">
        <v>3030</v>
      </c>
      <c r="AH244" s="85">
        <v>298.38</v>
      </c>
      <c r="AI244" s="87">
        <v>3030</v>
      </c>
      <c r="AJ244" s="85">
        <v>311.55</v>
      </c>
    </row>
    <row r="245" spans="1:36" ht="14.25" customHeight="1">
      <c r="A245" s="88">
        <v>3060</v>
      </c>
      <c r="B245" s="84">
        <v>624.62599999999998</v>
      </c>
      <c r="C245" s="88">
        <v>3070</v>
      </c>
      <c r="D245" s="85">
        <v>620.05399999999997</v>
      </c>
      <c r="E245" s="86">
        <v>3060</v>
      </c>
      <c r="F245" s="85">
        <v>1314.6869999999999</v>
      </c>
      <c r="G245" s="87">
        <v>3060</v>
      </c>
      <c r="H245" s="85">
        <v>1313.4</v>
      </c>
      <c r="I245" s="87">
        <v>3060</v>
      </c>
      <c r="J245" s="85">
        <v>1122.095</v>
      </c>
      <c r="K245" s="87">
        <v>3060</v>
      </c>
      <c r="L245" s="85">
        <v>1121.8810000000001</v>
      </c>
      <c r="M245" s="87">
        <v>3060</v>
      </c>
      <c r="N245" s="85">
        <v>1121.8820000000001</v>
      </c>
      <c r="O245" s="87">
        <v>3040</v>
      </c>
      <c r="P245" s="85">
        <v>1123.0139999999999</v>
      </c>
      <c r="Q245" s="87">
        <v>3060</v>
      </c>
      <c r="R245" s="85">
        <v>1122.5999999999999</v>
      </c>
      <c r="S245" s="87">
        <v>3060</v>
      </c>
      <c r="T245" s="85">
        <v>1123.0550000000001</v>
      </c>
      <c r="U245" s="87">
        <v>3050</v>
      </c>
      <c r="V245" s="85">
        <v>1121.538</v>
      </c>
      <c r="W245" s="87">
        <v>3060</v>
      </c>
      <c r="X245" s="85">
        <v>1121.402</v>
      </c>
      <c r="Y245" s="87">
        <v>3060</v>
      </c>
      <c r="Z245" s="85">
        <v>1119.9970000000001</v>
      </c>
      <c r="AA245" s="87">
        <v>3060</v>
      </c>
      <c r="AB245" s="85">
        <v>1119.57</v>
      </c>
      <c r="AC245" s="87">
        <v>3050</v>
      </c>
      <c r="AD245" s="85">
        <v>1043.7670000000001</v>
      </c>
      <c r="AE245" s="87">
        <v>3060</v>
      </c>
      <c r="AF245" s="85">
        <v>1044.915</v>
      </c>
      <c r="AG245" s="87">
        <v>3040</v>
      </c>
      <c r="AH245" s="85">
        <v>297.99299999999999</v>
      </c>
      <c r="AI245" s="87">
        <v>3040</v>
      </c>
      <c r="AJ245" s="85">
        <v>311.149</v>
      </c>
    </row>
    <row r="246" spans="1:36" ht="14.25" customHeight="1">
      <c r="A246" s="88">
        <v>3070</v>
      </c>
      <c r="B246" s="84">
        <v>623.84199999999998</v>
      </c>
      <c r="C246" s="88">
        <v>3080</v>
      </c>
      <c r="D246" s="85">
        <v>619.27599999999995</v>
      </c>
      <c r="E246" s="86">
        <v>3070</v>
      </c>
      <c r="F246" s="85">
        <v>1313.21</v>
      </c>
      <c r="G246" s="87">
        <v>3070</v>
      </c>
      <c r="H246" s="85">
        <v>1311.9269999999999</v>
      </c>
      <c r="I246" s="87">
        <v>3070</v>
      </c>
      <c r="J246" s="85">
        <v>1120.9059999999999</v>
      </c>
      <c r="K246" s="87">
        <v>3070</v>
      </c>
      <c r="L246" s="85">
        <v>1120.693</v>
      </c>
      <c r="M246" s="87">
        <v>3070</v>
      </c>
      <c r="N246" s="85">
        <v>1120.694</v>
      </c>
      <c r="O246" s="87">
        <v>3050</v>
      </c>
      <c r="P246" s="85">
        <v>1121.826</v>
      </c>
      <c r="Q246" s="87">
        <v>3070</v>
      </c>
      <c r="R246" s="85">
        <v>1121.412</v>
      </c>
      <c r="S246" s="87">
        <v>3070</v>
      </c>
      <c r="T246" s="85">
        <v>1121.867</v>
      </c>
      <c r="U246" s="87">
        <v>3060</v>
      </c>
      <c r="V246" s="85">
        <v>1120.3530000000001</v>
      </c>
      <c r="W246" s="87">
        <v>3070</v>
      </c>
      <c r="X246" s="85">
        <v>1120.2159999999999</v>
      </c>
      <c r="Y246" s="87">
        <v>3070</v>
      </c>
      <c r="Z246" s="85">
        <v>1118.81</v>
      </c>
      <c r="AA246" s="87">
        <v>3070</v>
      </c>
      <c r="AB246" s="85">
        <v>1118.386</v>
      </c>
      <c r="AC246" s="87">
        <v>3060</v>
      </c>
      <c r="AD246" s="85">
        <v>1042.5809999999999</v>
      </c>
      <c r="AE246" s="87">
        <v>3070</v>
      </c>
      <c r="AF246" s="85">
        <v>1043.731</v>
      </c>
      <c r="AG246" s="87">
        <v>3050</v>
      </c>
      <c r="AH246" s="85">
        <v>297.60599999999999</v>
      </c>
      <c r="AI246" s="87">
        <v>3050</v>
      </c>
      <c r="AJ246" s="85">
        <v>310.74799999999999</v>
      </c>
    </row>
    <row r="247" spans="1:36" ht="14.25" customHeight="1">
      <c r="A247" s="88">
        <v>3080</v>
      </c>
      <c r="B247" s="84">
        <v>623.05799999999999</v>
      </c>
      <c r="C247" s="88">
        <v>3090</v>
      </c>
      <c r="D247" s="85">
        <v>618.49699999999996</v>
      </c>
      <c r="E247" s="86">
        <v>3080</v>
      </c>
      <c r="F247" s="85">
        <v>1311.7329999999999</v>
      </c>
      <c r="G247" s="87">
        <v>3080</v>
      </c>
      <c r="H247" s="85">
        <v>1310.453</v>
      </c>
      <c r="I247" s="87">
        <v>3080</v>
      </c>
      <c r="J247" s="85">
        <v>1119.7170000000001</v>
      </c>
      <c r="K247" s="87">
        <v>3080</v>
      </c>
      <c r="L247" s="85">
        <v>1119.5029999999999</v>
      </c>
      <c r="M247" s="87">
        <v>3080</v>
      </c>
      <c r="N247" s="85">
        <v>1119.5050000000001</v>
      </c>
      <c r="O247" s="87">
        <v>3060</v>
      </c>
      <c r="P247" s="85">
        <v>1120.6379999999999</v>
      </c>
      <c r="Q247" s="87">
        <v>3080</v>
      </c>
      <c r="R247" s="85">
        <v>1120.223</v>
      </c>
      <c r="S247" s="87">
        <v>3080</v>
      </c>
      <c r="T247" s="85">
        <v>1120.68</v>
      </c>
      <c r="U247" s="87">
        <v>3070</v>
      </c>
      <c r="V247" s="85">
        <v>1119.1679999999999</v>
      </c>
      <c r="W247" s="87">
        <v>3080</v>
      </c>
      <c r="X247" s="85">
        <v>1119.03</v>
      </c>
      <c r="Y247" s="87">
        <v>3080</v>
      </c>
      <c r="Z247" s="85">
        <v>1117.624</v>
      </c>
      <c r="AA247" s="87">
        <v>3080</v>
      </c>
      <c r="AB247" s="85">
        <v>1117.201</v>
      </c>
      <c r="AC247" s="87">
        <v>3070</v>
      </c>
      <c r="AD247" s="85">
        <v>1041.395</v>
      </c>
      <c r="AE247" s="87">
        <v>3080</v>
      </c>
      <c r="AF247" s="85">
        <v>1042.546</v>
      </c>
      <c r="AG247" s="87">
        <v>3060</v>
      </c>
      <c r="AH247" s="85">
        <v>297.21899999999999</v>
      </c>
      <c r="AI247" s="87">
        <v>3060</v>
      </c>
      <c r="AJ247" s="85">
        <v>310.34699999999998</v>
      </c>
    </row>
    <row r="248" spans="1:36" ht="14.25" customHeight="1">
      <c r="A248" s="88">
        <v>3090</v>
      </c>
      <c r="B248" s="84">
        <v>622.27300000000002</v>
      </c>
      <c r="C248" s="88">
        <v>3100</v>
      </c>
      <c r="D248" s="85">
        <v>617.71900000000005</v>
      </c>
      <c r="E248" s="86">
        <v>3090</v>
      </c>
      <c r="F248" s="85">
        <v>1310.2550000000001</v>
      </c>
      <c r="G248" s="87">
        <v>3090</v>
      </c>
      <c r="H248" s="85">
        <v>1308.979</v>
      </c>
      <c r="I248" s="87">
        <v>3090</v>
      </c>
      <c r="J248" s="85">
        <v>1118.528</v>
      </c>
      <c r="K248" s="87">
        <v>3090</v>
      </c>
      <c r="L248" s="85">
        <v>1118.3140000000001</v>
      </c>
      <c r="M248" s="87">
        <v>3090</v>
      </c>
      <c r="N248" s="85">
        <v>1118.317</v>
      </c>
      <c r="O248" s="87">
        <v>3070</v>
      </c>
      <c r="P248" s="85">
        <v>1119.4490000000001</v>
      </c>
      <c r="Q248" s="87">
        <v>3090</v>
      </c>
      <c r="R248" s="85">
        <v>1119.0350000000001</v>
      </c>
      <c r="S248" s="87">
        <v>3090</v>
      </c>
      <c r="T248" s="85">
        <v>1119.492</v>
      </c>
      <c r="U248" s="87">
        <v>3080</v>
      </c>
      <c r="V248" s="85">
        <v>1117.982</v>
      </c>
      <c r="W248" s="87">
        <v>3090</v>
      </c>
      <c r="X248" s="85">
        <v>1117.8440000000001</v>
      </c>
      <c r="Y248" s="87">
        <v>3090</v>
      </c>
      <c r="Z248" s="85">
        <v>1116.4369999999999</v>
      </c>
      <c r="AA248" s="87">
        <v>3090</v>
      </c>
      <c r="AB248" s="85">
        <v>1116.0170000000001</v>
      </c>
      <c r="AC248" s="87">
        <v>3080</v>
      </c>
      <c r="AD248" s="85">
        <v>1040.2090000000001</v>
      </c>
      <c r="AE248" s="87">
        <v>3090</v>
      </c>
      <c r="AF248" s="85">
        <v>1041.3610000000001</v>
      </c>
      <c r="AG248" s="87">
        <v>3070</v>
      </c>
      <c r="AH248" s="85">
        <v>296.83199999999999</v>
      </c>
      <c r="AI248" s="87">
        <v>3070</v>
      </c>
      <c r="AJ248" s="85">
        <v>309.94600000000003</v>
      </c>
    </row>
    <row r="249" spans="1:36" ht="14.25" customHeight="1">
      <c r="A249" s="88">
        <v>3100</v>
      </c>
      <c r="B249" s="84">
        <v>621.48900000000003</v>
      </c>
      <c r="C249" s="88">
        <v>3110</v>
      </c>
      <c r="D249" s="85">
        <v>616.94100000000003</v>
      </c>
      <c r="E249" s="86">
        <v>3100</v>
      </c>
      <c r="F249" s="85">
        <v>1308.777</v>
      </c>
      <c r="G249" s="87">
        <v>3100</v>
      </c>
      <c r="H249" s="85">
        <v>1307.5050000000001</v>
      </c>
      <c r="I249" s="87">
        <v>3100</v>
      </c>
      <c r="J249" s="85">
        <v>1117.3389999999999</v>
      </c>
      <c r="K249" s="87">
        <v>3100</v>
      </c>
      <c r="L249" s="85">
        <v>1117.125</v>
      </c>
      <c r="M249" s="87">
        <v>3100</v>
      </c>
      <c r="N249" s="85">
        <v>1117.127</v>
      </c>
      <c r="O249" s="87">
        <v>3080</v>
      </c>
      <c r="P249" s="85">
        <v>1118.261</v>
      </c>
      <c r="Q249" s="87">
        <v>3100</v>
      </c>
      <c r="R249" s="85">
        <v>1117.846</v>
      </c>
      <c r="S249" s="87">
        <v>3100</v>
      </c>
      <c r="T249" s="85">
        <v>1118.3040000000001</v>
      </c>
      <c r="U249" s="87">
        <v>3090</v>
      </c>
      <c r="V249" s="85">
        <v>1116.796</v>
      </c>
      <c r="W249" s="87">
        <v>3100</v>
      </c>
      <c r="X249" s="85">
        <v>1116.6579999999999</v>
      </c>
      <c r="Y249" s="87">
        <v>3100</v>
      </c>
      <c r="Z249" s="85">
        <v>1115.25</v>
      </c>
      <c r="AA249" s="87">
        <v>3100</v>
      </c>
      <c r="AB249" s="85">
        <v>1114.8320000000001</v>
      </c>
      <c r="AC249" s="87">
        <v>3090</v>
      </c>
      <c r="AD249" s="85">
        <v>1039.0219999999999</v>
      </c>
      <c r="AE249" s="87">
        <v>3100</v>
      </c>
      <c r="AF249" s="85">
        <v>1040.1759999999999</v>
      </c>
      <c r="AG249" s="87">
        <v>3080</v>
      </c>
      <c r="AH249" s="85">
        <v>296.44499999999999</v>
      </c>
      <c r="AI249" s="87">
        <v>3080</v>
      </c>
      <c r="AJ249" s="85">
        <v>309.54500000000002</v>
      </c>
    </row>
    <row r="250" spans="1:36" ht="14.25" customHeight="1">
      <c r="A250" s="88">
        <v>3110</v>
      </c>
      <c r="B250" s="84">
        <v>620.70399999999995</v>
      </c>
      <c r="C250" s="88">
        <v>3120</v>
      </c>
      <c r="D250" s="85">
        <v>616.16200000000003</v>
      </c>
      <c r="E250" s="86">
        <v>3110</v>
      </c>
      <c r="F250" s="85">
        <v>1307.299</v>
      </c>
      <c r="G250" s="87">
        <v>3110</v>
      </c>
      <c r="H250" s="85">
        <v>1306.0309999999999</v>
      </c>
      <c r="I250" s="87">
        <v>3110</v>
      </c>
      <c r="J250" s="85">
        <v>1116.1489999999999</v>
      </c>
      <c r="K250" s="87">
        <v>3110</v>
      </c>
      <c r="L250" s="85">
        <v>1115.9349999999999</v>
      </c>
      <c r="M250" s="87">
        <v>3110</v>
      </c>
      <c r="N250" s="85">
        <v>1115.9380000000001</v>
      </c>
      <c r="O250" s="87">
        <v>3090</v>
      </c>
      <c r="P250" s="85">
        <v>1117.0719999999999</v>
      </c>
      <c r="Q250" s="87">
        <v>3110</v>
      </c>
      <c r="R250" s="85">
        <v>1116.6569999999999</v>
      </c>
      <c r="S250" s="87">
        <v>3110</v>
      </c>
      <c r="T250" s="85">
        <v>1117.116</v>
      </c>
      <c r="U250" s="87">
        <v>3100</v>
      </c>
      <c r="V250" s="85">
        <v>1115.6099999999999</v>
      </c>
      <c r="W250" s="87">
        <v>3110</v>
      </c>
      <c r="X250" s="85">
        <v>1115.471</v>
      </c>
      <c r="Y250" s="87">
        <v>3110</v>
      </c>
      <c r="Z250" s="85">
        <v>1114.0630000000001</v>
      </c>
      <c r="AA250" s="87">
        <v>3110</v>
      </c>
      <c r="AB250" s="85">
        <v>1113.6469999999999</v>
      </c>
      <c r="AC250" s="87">
        <v>3100</v>
      </c>
      <c r="AD250" s="85">
        <v>1037.835</v>
      </c>
      <c r="AE250" s="87">
        <v>3110</v>
      </c>
      <c r="AF250" s="85">
        <v>1038.991</v>
      </c>
      <c r="AG250" s="87">
        <v>3090</v>
      </c>
      <c r="AH250" s="85">
        <v>296.05799999999999</v>
      </c>
      <c r="AI250" s="87">
        <v>3090</v>
      </c>
      <c r="AJ250" s="85">
        <v>309.14299999999997</v>
      </c>
    </row>
    <row r="251" spans="1:36" ht="14.25" customHeight="1">
      <c r="A251" s="88">
        <v>3120</v>
      </c>
      <c r="B251" s="84">
        <v>619.91899999999998</v>
      </c>
      <c r="C251" s="88">
        <v>3130</v>
      </c>
      <c r="D251" s="85">
        <v>615.38300000000004</v>
      </c>
      <c r="E251" s="86">
        <v>3120</v>
      </c>
      <c r="F251" s="85">
        <v>1305.82</v>
      </c>
      <c r="G251" s="87">
        <v>3120</v>
      </c>
      <c r="H251" s="85">
        <v>1304.556</v>
      </c>
      <c r="I251" s="87">
        <v>3120</v>
      </c>
      <c r="J251" s="85">
        <v>1114.96</v>
      </c>
      <c r="K251" s="87">
        <v>3120</v>
      </c>
      <c r="L251" s="85">
        <v>1114.7449999999999</v>
      </c>
      <c r="M251" s="87">
        <v>3120</v>
      </c>
      <c r="N251" s="85">
        <v>1114.748</v>
      </c>
      <c r="O251" s="87">
        <v>3100</v>
      </c>
      <c r="P251" s="85">
        <v>1115.883</v>
      </c>
      <c r="Q251" s="87">
        <v>3120</v>
      </c>
      <c r="R251" s="85">
        <v>1115.4680000000001</v>
      </c>
      <c r="S251" s="87">
        <v>3120</v>
      </c>
      <c r="T251" s="85">
        <v>1115.9269999999999</v>
      </c>
      <c r="U251" s="87">
        <v>3110</v>
      </c>
      <c r="V251" s="85">
        <v>1114.423</v>
      </c>
      <c r="W251" s="87">
        <v>3120</v>
      </c>
      <c r="X251" s="85">
        <v>1114.2840000000001</v>
      </c>
      <c r="Y251" s="87">
        <v>3120</v>
      </c>
      <c r="Z251" s="85">
        <v>1112.875</v>
      </c>
      <c r="AA251" s="87">
        <v>3120</v>
      </c>
      <c r="AB251" s="85">
        <v>1112.461</v>
      </c>
      <c r="AC251" s="87">
        <v>3110</v>
      </c>
      <c r="AD251" s="85">
        <v>1036.6479999999999</v>
      </c>
      <c r="AE251" s="87">
        <v>3120</v>
      </c>
      <c r="AF251" s="85">
        <v>1037.8050000000001</v>
      </c>
      <c r="AG251" s="87">
        <v>3100</v>
      </c>
      <c r="AH251" s="85">
        <v>295.67</v>
      </c>
      <c r="AI251" s="87">
        <v>3100</v>
      </c>
      <c r="AJ251" s="85">
        <v>308.74200000000002</v>
      </c>
    </row>
    <row r="252" spans="1:36" ht="14.25" customHeight="1">
      <c r="A252" s="88">
        <v>3130</v>
      </c>
      <c r="B252" s="84">
        <v>619.13400000000001</v>
      </c>
      <c r="C252" s="88">
        <v>3140</v>
      </c>
      <c r="D252" s="85">
        <v>614.60400000000004</v>
      </c>
      <c r="E252" s="86">
        <v>3130</v>
      </c>
      <c r="F252" s="85">
        <v>1304.3420000000001</v>
      </c>
      <c r="G252" s="87">
        <v>3130</v>
      </c>
      <c r="H252" s="85">
        <v>1303.0809999999999</v>
      </c>
      <c r="I252" s="87">
        <v>3130</v>
      </c>
      <c r="J252" s="85">
        <v>1113.77</v>
      </c>
      <c r="K252" s="87">
        <v>3130</v>
      </c>
      <c r="L252" s="85">
        <v>1113.5540000000001</v>
      </c>
      <c r="M252" s="87">
        <v>3130</v>
      </c>
      <c r="N252" s="85">
        <v>1113.558</v>
      </c>
      <c r="O252" s="87">
        <v>3110</v>
      </c>
      <c r="P252" s="85">
        <v>1114.694</v>
      </c>
      <c r="Q252" s="87">
        <v>3130</v>
      </c>
      <c r="R252" s="85">
        <v>1114.279</v>
      </c>
      <c r="S252" s="87">
        <v>3130</v>
      </c>
      <c r="T252" s="85">
        <v>1114.7380000000001</v>
      </c>
      <c r="U252" s="87">
        <v>3120</v>
      </c>
      <c r="V252" s="85">
        <v>1113.2370000000001</v>
      </c>
      <c r="W252" s="87">
        <v>3130</v>
      </c>
      <c r="X252" s="85">
        <v>1113.097</v>
      </c>
      <c r="Y252" s="87">
        <v>3130</v>
      </c>
      <c r="Z252" s="85">
        <v>1111.6869999999999</v>
      </c>
      <c r="AA252" s="87">
        <v>3130</v>
      </c>
      <c r="AB252" s="85">
        <v>1111.2760000000001</v>
      </c>
      <c r="AC252" s="87">
        <v>3120</v>
      </c>
      <c r="AD252" s="85">
        <v>1035.461</v>
      </c>
      <c r="AE252" s="87">
        <v>3130</v>
      </c>
      <c r="AF252" s="85">
        <v>1036.6189999999999</v>
      </c>
      <c r="AG252" s="87">
        <v>3110</v>
      </c>
      <c r="AH252" s="85">
        <v>295.28300000000002</v>
      </c>
      <c r="AI252" s="87">
        <v>3110</v>
      </c>
      <c r="AJ252" s="85">
        <v>308.33999999999997</v>
      </c>
    </row>
    <row r="253" spans="1:36" ht="14.25" customHeight="1">
      <c r="A253" s="88">
        <v>3140</v>
      </c>
      <c r="B253" s="84">
        <v>618.34799999999996</v>
      </c>
      <c r="C253" s="88">
        <v>3150</v>
      </c>
      <c r="D253" s="85">
        <v>613.82500000000005</v>
      </c>
      <c r="E253" s="86">
        <v>3140</v>
      </c>
      <c r="F253" s="85">
        <v>1302.8630000000001</v>
      </c>
      <c r="G253" s="87">
        <v>3140</v>
      </c>
      <c r="H253" s="85">
        <v>1301.605</v>
      </c>
      <c r="I253" s="87">
        <v>3140</v>
      </c>
      <c r="J253" s="85">
        <v>1112.579</v>
      </c>
      <c r="K253" s="87">
        <v>3140</v>
      </c>
      <c r="L253" s="85">
        <v>1112.364</v>
      </c>
      <c r="M253" s="87">
        <v>3140</v>
      </c>
      <c r="N253" s="85">
        <v>1112.3679999999999</v>
      </c>
      <c r="O253" s="87">
        <v>3120</v>
      </c>
      <c r="P253" s="85">
        <v>1113.5039999999999</v>
      </c>
      <c r="Q253" s="87">
        <v>3140</v>
      </c>
      <c r="R253" s="85">
        <v>1113.0889999999999</v>
      </c>
      <c r="S253" s="87">
        <v>3140</v>
      </c>
      <c r="T253" s="85">
        <v>1113.549</v>
      </c>
      <c r="U253" s="87">
        <v>3130</v>
      </c>
      <c r="V253" s="85">
        <v>1112.05</v>
      </c>
      <c r="W253" s="87">
        <v>3140</v>
      </c>
      <c r="X253" s="85">
        <v>1111.9100000000001</v>
      </c>
      <c r="Y253" s="87">
        <v>3140</v>
      </c>
      <c r="Z253" s="85">
        <v>1110.499</v>
      </c>
      <c r="AA253" s="87">
        <v>3140</v>
      </c>
      <c r="AB253" s="85">
        <v>1110.0899999999999</v>
      </c>
      <c r="AC253" s="87">
        <v>3130</v>
      </c>
      <c r="AD253" s="85">
        <v>1034.2739999999999</v>
      </c>
      <c r="AE253" s="87">
        <v>3140</v>
      </c>
      <c r="AF253" s="85">
        <v>1035.433</v>
      </c>
      <c r="AG253" s="87">
        <v>3120</v>
      </c>
      <c r="AH253" s="85">
        <v>294.89499999999998</v>
      </c>
      <c r="AI253" s="87">
        <v>3120</v>
      </c>
      <c r="AJ253" s="85">
        <v>307.93900000000002</v>
      </c>
    </row>
    <row r="254" spans="1:36" ht="14.25" customHeight="1">
      <c r="A254" s="88">
        <v>3150</v>
      </c>
      <c r="B254" s="84">
        <v>617.56299999999999</v>
      </c>
      <c r="C254" s="88">
        <v>3160</v>
      </c>
      <c r="D254" s="85">
        <v>613.04499999999996</v>
      </c>
      <c r="E254" s="86">
        <v>3150</v>
      </c>
      <c r="F254" s="85">
        <v>1301.383</v>
      </c>
      <c r="G254" s="87">
        <v>3150</v>
      </c>
      <c r="H254" s="85">
        <v>1300.1300000000001</v>
      </c>
      <c r="I254" s="87">
        <v>3150</v>
      </c>
      <c r="J254" s="85">
        <v>1111.3889999999999</v>
      </c>
      <c r="K254" s="87">
        <v>3150</v>
      </c>
      <c r="L254" s="85">
        <v>1111.173</v>
      </c>
      <c r="M254" s="87">
        <v>3150</v>
      </c>
      <c r="N254" s="85">
        <v>1111.1780000000001</v>
      </c>
      <c r="O254" s="87">
        <v>3130</v>
      </c>
      <c r="P254" s="85">
        <v>1112.3140000000001</v>
      </c>
      <c r="Q254" s="87">
        <v>3150</v>
      </c>
      <c r="R254" s="85">
        <v>1111.8989999999999</v>
      </c>
      <c r="S254" s="87">
        <v>3150</v>
      </c>
      <c r="T254" s="85">
        <v>1112.3599999999999</v>
      </c>
      <c r="U254" s="87">
        <v>3140</v>
      </c>
      <c r="V254" s="85">
        <v>1110.8630000000001</v>
      </c>
      <c r="W254" s="87">
        <v>3150</v>
      </c>
      <c r="X254" s="85">
        <v>1110.722</v>
      </c>
      <c r="Y254" s="87">
        <v>3150</v>
      </c>
      <c r="Z254" s="85">
        <v>1109.3109999999999</v>
      </c>
      <c r="AA254" s="87">
        <v>3150</v>
      </c>
      <c r="AB254" s="85">
        <v>1108.904</v>
      </c>
      <c r="AC254" s="87">
        <v>3140</v>
      </c>
      <c r="AD254" s="85">
        <v>1033.086</v>
      </c>
      <c r="AE254" s="87">
        <v>3150</v>
      </c>
      <c r="AF254" s="85">
        <v>1034.2470000000001</v>
      </c>
      <c r="AG254" s="87">
        <v>3130</v>
      </c>
      <c r="AH254" s="85">
        <v>294.50700000000001</v>
      </c>
      <c r="AI254" s="87">
        <v>3130</v>
      </c>
      <c r="AJ254" s="85">
        <v>307.53699999999998</v>
      </c>
    </row>
    <row r="255" spans="1:36" ht="14.25" customHeight="1">
      <c r="A255" s="88">
        <v>3160</v>
      </c>
      <c r="B255" s="84">
        <v>616.77700000000004</v>
      </c>
      <c r="C255" s="88">
        <v>3170</v>
      </c>
      <c r="D255" s="85">
        <v>612.26599999999996</v>
      </c>
      <c r="E255" s="86">
        <v>3160</v>
      </c>
      <c r="F255" s="85">
        <v>1299.904</v>
      </c>
      <c r="G255" s="87">
        <v>3160</v>
      </c>
      <c r="H255" s="85">
        <v>1298.653</v>
      </c>
      <c r="I255" s="87">
        <v>3160</v>
      </c>
      <c r="J255" s="85">
        <v>1110.1980000000001</v>
      </c>
      <c r="K255" s="87">
        <v>3160</v>
      </c>
      <c r="L255" s="85">
        <v>1109.982</v>
      </c>
      <c r="M255" s="87">
        <v>3160</v>
      </c>
      <c r="N255" s="85">
        <v>1109.9870000000001</v>
      </c>
      <c r="O255" s="87">
        <v>3140</v>
      </c>
      <c r="P255" s="85">
        <v>1111.124</v>
      </c>
      <c r="Q255" s="87">
        <v>3160</v>
      </c>
      <c r="R255" s="85">
        <v>1110.7090000000001</v>
      </c>
      <c r="S255" s="87">
        <v>3160</v>
      </c>
      <c r="T255" s="85">
        <v>1111.171</v>
      </c>
      <c r="U255" s="87">
        <v>3150</v>
      </c>
      <c r="V255" s="85">
        <v>1109.6759999999999</v>
      </c>
      <c r="W255" s="87">
        <v>3160</v>
      </c>
      <c r="X255" s="85">
        <v>1109.5340000000001</v>
      </c>
      <c r="Y255" s="87">
        <v>3160</v>
      </c>
      <c r="Z255" s="85">
        <v>1108.1220000000001</v>
      </c>
      <c r="AA255" s="87">
        <v>3160</v>
      </c>
      <c r="AB255" s="85">
        <v>1107.7180000000001</v>
      </c>
      <c r="AC255" s="87">
        <v>3150</v>
      </c>
      <c r="AD255" s="85">
        <v>1031.8979999999999</v>
      </c>
      <c r="AE255" s="87">
        <v>3160</v>
      </c>
      <c r="AF255" s="85">
        <v>1033.06</v>
      </c>
      <c r="AG255" s="87">
        <v>3140</v>
      </c>
      <c r="AH255" s="85">
        <v>294.12</v>
      </c>
      <c r="AI255" s="87">
        <v>3140</v>
      </c>
      <c r="AJ255" s="85">
        <v>307.13499999999999</v>
      </c>
    </row>
    <row r="256" spans="1:36" ht="14.25" customHeight="1">
      <c r="A256" s="88">
        <v>3170</v>
      </c>
      <c r="B256" s="84">
        <v>615.99099999999999</v>
      </c>
      <c r="C256" s="88">
        <v>3180</v>
      </c>
      <c r="D256" s="85">
        <v>611.48599999999999</v>
      </c>
      <c r="E256" s="86">
        <v>3170</v>
      </c>
      <c r="F256" s="85">
        <v>1298.424</v>
      </c>
      <c r="G256" s="87">
        <v>3170</v>
      </c>
      <c r="H256" s="85">
        <v>1297.1769999999999</v>
      </c>
      <c r="I256" s="87">
        <v>3170</v>
      </c>
      <c r="J256" s="85">
        <v>1109.0070000000001</v>
      </c>
      <c r="K256" s="87">
        <v>3170</v>
      </c>
      <c r="L256" s="85">
        <v>1108.7909999999999</v>
      </c>
      <c r="M256" s="87">
        <v>3170</v>
      </c>
      <c r="N256" s="85">
        <v>1108.797</v>
      </c>
      <c r="O256" s="87">
        <v>3150</v>
      </c>
      <c r="P256" s="85">
        <v>1109.934</v>
      </c>
      <c r="Q256" s="87">
        <v>3170</v>
      </c>
      <c r="R256" s="85">
        <v>1109.518</v>
      </c>
      <c r="S256" s="87">
        <v>3170</v>
      </c>
      <c r="T256" s="85">
        <v>1109.981</v>
      </c>
      <c r="U256" s="87">
        <v>3160</v>
      </c>
      <c r="V256" s="85">
        <v>1108.4880000000001</v>
      </c>
      <c r="W256" s="87">
        <v>3170</v>
      </c>
      <c r="X256" s="85">
        <v>1108.346</v>
      </c>
      <c r="Y256" s="87">
        <v>3170</v>
      </c>
      <c r="Z256" s="85">
        <v>1106.934</v>
      </c>
      <c r="AA256" s="87">
        <v>3170</v>
      </c>
      <c r="AB256" s="85">
        <v>1106.5309999999999</v>
      </c>
      <c r="AC256" s="87">
        <v>3160</v>
      </c>
      <c r="AD256" s="85">
        <v>1030.71</v>
      </c>
      <c r="AE256" s="87">
        <v>3170</v>
      </c>
      <c r="AF256" s="85">
        <v>1031.874</v>
      </c>
      <c r="AG256" s="87">
        <v>3150</v>
      </c>
      <c r="AH256" s="85">
        <v>293.73200000000003</v>
      </c>
      <c r="AI256" s="87">
        <v>3150</v>
      </c>
      <c r="AJ256" s="85">
        <v>306.73399999999998</v>
      </c>
    </row>
    <row r="257" spans="1:36" ht="14.25" customHeight="1">
      <c r="A257" s="88">
        <v>3180</v>
      </c>
      <c r="B257" s="84">
        <v>615.20500000000004</v>
      </c>
      <c r="C257" s="88">
        <v>3190</v>
      </c>
      <c r="D257" s="85">
        <v>610.70600000000002</v>
      </c>
      <c r="E257" s="86">
        <v>3180</v>
      </c>
      <c r="F257" s="85">
        <v>1296.943</v>
      </c>
      <c r="G257" s="87">
        <v>3180</v>
      </c>
      <c r="H257" s="85">
        <v>1295.7</v>
      </c>
      <c r="I257" s="87">
        <v>3180</v>
      </c>
      <c r="J257" s="85">
        <v>1107.816</v>
      </c>
      <c r="K257" s="87">
        <v>3180</v>
      </c>
      <c r="L257" s="85">
        <v>1107.5989999999999</v>
      </c>
      <c r="M257" s="87">
        <v>3180</v>
      </c>
      <c r="N257" s="85">
        <v>1107.606</v>
      </c>
      <c r="O257" s="87">
        <v>3160</v>
      </c>
      <c r="P257" s="85">
        <v>1108.7429999999999</v>
      </c>
      <c r="Q257" s="87">
        <v>3180</v>
      </c>
      <c r="R257" s="85">
        <v>1108.328</v>
      </c>
      <c r="S257" s="87">
        <v>3180</v>
      </c>
      <c r="T257" s="85">
        <v>1108.7909999999999</v>
      </c>
      <c r="U257" s="87">
        <v>3170</v>
      </c>
      <c r="V257" s="85">
        <v>1107.3</v>
      </c>
      <c r="W257" s="87">
        <v>3180</v>
      </c>
      <c r="X257" s="85">
        <v>1107.1579999999999</v>
      </c>
      <c r="Y257" s="87">
        <v>3180</v>
      </c>
      <c r="Z257" s="85">
        <v>1105.7449999999999</v>
      </c>
      <c r="AA257" s="87">
        <v>3180</v>
      </c>
      <c r="AB257" s="85">
        <v>1105.3440000000001</v>
      </c>
      <c r="AC257" s="87">
        <v>3170</v>
      </c>
      <c r="AD257" s="85">
        <v>1029.521</v>
      </c>
      <c r="AE257" s="87">
        <v>3180</v>
      </c>
      <c r="AF257" s="85">
        <v>1030.6869999999999</v>
      </c>
      <c r="AG257" s="87">
        <v>3160</v>
      </c>
      <c r="AH257" s="85">
        <v>293.34399999999999</v>
      </c>
      <c r="AI257" s="87">
        <v>3160</v>
      </c>
      <c r="AJ257" s="85">
        <v>306.33199999999999</v>
      </c>
    </row>
    <row r="258" spans="1:36" ht="14.25" customHeight="1">
      <c r="A258" s="88">
        <v>3190</v>
      </c>
      <c r="B258" s="84">
        <v>614.41899999999998</v>
      </c>
      <c r="C258" s="88">
        <v>3200</v>
      </c>
      <c r="D258" s="85">
        <v>609.92600000000004</v>
      </c>
      <c r="E258" s="86">
        <v>3190</v>
      </c>
      <c r="F258" s="85">
        <v>1295.463</v>
      </c>
      <c r="G258" s="87">
        <v>3190</v>
      </c>
      <c r="H258" s="85">
        <v>1294.223</v>
      </c>
      <c r="I258" s="87">
        <v>3190</v>
      </c>
      <c r="J258" s="85">
        <v>1106.625</v>
      </c>
      <c r="K258" s="87">
        <v>3190</v>
      </c>
      <c r="L258" s="85">
        <v>1106.4069999999999</v>
      </c>
      <c r="M258" s="87">
        <v>3190</v>
      </c>
      <c r="N258" s="85">
        <v>1106.414</v>
      </c>
      <c r="O258" s="87">
        <v>3170</v>
      </c>
      <c r="P258" s="85">
        <v>1107.5519999999999</v>
      </c>
      <c r="Q258" s="87">
        <v>3190</v>
      </c>
      <c r="R258" s="85">
        <v>1107.1369999999999</v>
      </c>
      <c r="S258" s="87">
        <v>3190</v>
      </c>
      <c r="T258" s="85">
        <v>1107.6010000000001</v>
      </c>
      <c r="U258" s="87">
        <v>3180</v>
      </c>
      <c r="V258" s="85">
        <v>1106.1120000000001</v>
      </c>
      <c r="W258" s="87">
        <v>3190</v>
      </c>
      <c r="X258" s="85">
        <v>1105.9690000000001</v>
      </c>
      <c r="Y258" s="87">
        <v>3190</v>
      </c>
      <c r="Z258" s="85">
        <v>1104.5550000000001</v>
      </c>
      <c r="AA258" s="87">
        <v>3190</v>
      </c>
      <c r="AB258" s="85">
        <v>1104.1569999999999</v>
      </c>
      <c r="AC258" s="87">
        <v>3180</v>
      </c>
      <c r="AD258" s="85">
        <v>1028.3330000000001</v>
      </c>
      <c r="AE258" s="87">
        <v>3190</v>
      </c>
      <c r="AF258" s="85">
        <v>1029.499</v>
      </c>
      <c r="AG258" s="87">
        <v>3170</v>
      </c>
      <c r="AH258" s="85">
        <v>292.95600000000002</v>
      </c>
      <c r="AI258" s="87">
        <v>3170</v>
      </c>
      <c r="AJ258" s="85">
        <v>305.93</v>
      </c>
    </row>
    <row r="259" spans="1:36" ht="14.25" customHeight="1">
      <c r="A259" s="88">
        <v>3200</v>
      </c>
      <c r="B259" s="84">
        <v>613.63199999999995</v>
      </c>
      <c r="C259" s="88">
        <v>3210</v>
      </c>
      <c r="D259" s="85">
        <v>609.14599999999996</v>
      </c>
      <c r="E259" s="86">
        <v>3200</v>
      </c>
      <c r="F259" s="85">
        <v>1293.982</v>
      </c>
      <c r="G259" s="87">
        <v>3200</v>
      </c>
      <c r="H259" s="85">
        <v>1292.7460000000001</v>
      </c>
      <c r="I259" s="87">
        <v>3200</v>
      </c>
      <c r="J259" s="85">
        <v>1105.433</v>
      </c>
      <c r="K259" s="87">
        <v>3200</v>
      </c>
      <c r="L259" s="85">
        <v>1105.2149999999999</v>
      </c>
      <c r="M259" s="87">
        <v>3200</v>
      </c>
      <c r="N259" s="85">
        <v>1105.223</v>
      </c>
      <c r="O259" s="87">
        <v>3180</v>
      </c>
      <c r="P259" s="85">
        <v>1106.3610000000001</v>
      </c>
      <c r="Q259" s="87">
        <v>3200</v>
      </c>
      <c r="R259" s="85">
        <v>1105.9459999999999</v>
      </c>
      <c r="S259" s="87">
        <v>3200</v>
      </c>
      <c r="T259" s="85">
        <v>1106.4100000000001</v>
      </c>
      <c r="U259" s="87">
        <v>3190</v>
      </c>
      <c r="V259" s="85">
        <v>1104.924</v>
      </c>
      <c r="W259" s="87">
        <v>3200</v>
      </c>
      <c r="X259" s="85">
        <v>1104.78</v>
      </c>
      <c r="Y259" s="87">
        <v>3200</v>
      </c>
      <c r="Z259" s="85">
        <v>1103.366</v>
      </c>
      <c r="AA259" s="87">
        <v>3200</v>
      </c>
      <c r="AB259" s="85">
        <v>1102.97</v>
      </c>
      <c r="AC259" s="87">
        <v>3190</v>
      </c>
      <c r="AD259" s="85">
        <v>1027.144</v>
      </c>
      <c r="AE259" s="87">
        <v>3200</v>
      </c>
      <c r="AF259" s="85">
        <v>1028.3119999999999</v>
      </c>
      <c r="AG259" s="87">
        <v>3180</v>
      </c>
      <c r="AH259" s="85">
        <v>292.56799999999998</v>
      </c>
      <c r="AI259" s="87">
        <v>3180</v>
      </c>
      <c r="AJ259" s="85">
        <v>305.52800000000002</v>
      </c>
    </row>
    <row r="260" spans="1:36" ht="14.25" customHeight="1">
      <c r="A260" s="88">
        <v>3210</v>
      </c>
      <c r="B260" s="84">
        <v>612.846</v>
      </c>
      <c r="C260" s="88">
        <v>3220</v>
      </c>
      <c r="D260" s="85">
        <v>608.36500000000001</v>
      </c>
      <c r="E260" s="86">
        <v>3210</v>
      </c>
      <c r="F260" s="85">
        <v>1292.501</v>
      </c>
      <c r="G260" s="87">
        <v>3210</v>
      </c>
      <c r="H260" s="85">
        <v>1291.269</v>
      </c>
      <c r="I260" s="87">
        <v>3210</v>
      </c>
      <c r="J260" s="85">
        <v>1104.241</v>
      </c>
      <c r="K260" s="87">
        <v>3210</v>
      </c>
      <c r="L260" s="85">
        <v>1104.0229999999999</v>
      </c>
      <c r="M260" s="87">
        <v>3210</v>
      </c>
      <c r="N260" s="85">
        <v>1104.0309999999999</v>
      </c>
      <c r="O260" s="87">
        <v>3190</v>
      </c>
      <c r="P260" s="85">
        <v>1105.17</v>
      </c>
      <c r="Q260" s="87">
        <v>3210</v>
      </c>
      <c r="R260" s="85">
        <v>1104.7539999999999</v>
      </c>
      <c r="S260" s="87">
        <v>3210</v>
      </c>
      <c r="T260" s="85">
        <v>1105.2190000000001</v>
      </c>
      <c r="U260" s="87">
        <v>3200</v>
      </c>
      <c r="V260" s="85">
        <v>1103.7349999999999</v>
      </c>
      <c r="W260" s="87">
        <v>3210</v>
      </c>
      <c r="X260" s="85">
        <v>1103.5909999999999</v>
      </c>
      <c r="Y260" s="87">
        <v>3210</v>
      </c>
      <c r="Z260" s="85">
        <v>1102.1759999999999</v>
      </c>
      <c r="AA260" s="87">
        <v>3210</v>
      </c>
      <c r="AB260" s="85">
        <v>1101.7819999999999</v>
      </c>
      <c r="AC260" s="87">
        <v>3200</v>
      </c>
      <c r="AD260" s="85">
        <v>1025.954</v>
      </c>
      <c r="AE260" s="87">
        <v>3210</v>
      </c>
      <c r="AF260" s="85">
        <v>1027.124</v>
      </c>
      <c r="AG260" s="87">
        <v>3190</v>
      </c>
      <c r="AH260" s="85">
        <v>292.17899999999997</v>
      </c>
      <c r="AI260" s="87">
        <v>3190</v>
      </c>
      <c r="AJ260" s="85">
        <v>305.125</v>
      </c>
    </row>
    <row r="261" spans="1:36" ht="14.25" customHeight="1">
      <c r="A261" s="88">
        <v>3220</v>
      </c>
      <c r="B261" s="84">
        <v>612.05899999999997</v>
      </c>
      <c r="C261" s="88">
        <v>3230</v>
      </c>
      <c r="D261" s="85">
        <v>607.58399999999995</v>
      </c>
      <c r="E261" s="86">
        <v>3220</v>
      </c>
      <c r="F261" s="85">
        <v>1291.02</v>
      </c>
      <c r="G261" s="87">
        <v>3220</v>
      </c>
      <c r="H261" s="85">
        <v>1289.7909999999999</v>
      </c>
      <c r="I261" s="87">
        <v>3220</v>
      </c>
      <c r="J261" s="85">
        <v>1103.049</v>
      </c>
      <c r="K261" s="87">
        <v>3220</v>
      </c>
      <c r="L261" s="85">
        <v>1102.83</v>
      </c>
      <c r="M261" s="87">
        <v>3220</v>
      </c>
      <c r="N261" s="85">
        <v>1102.8389999999999</v>
      </c>
      <c r="O261" s="87">
        <v>3200</v>
      </c>
      <c r="P261" s="85">
        <v>1103.979</v>
      </c>
      <c r="Q261" s="87">
        <v>3220</v>
      </c>
      <c r="R261" s="85">
        <v>1103.5630000000001</v>
      </c>
      <c r="S261" s="87">
        <v>3220</v>
      </c>
      <c r="T261" s="85">
        <v>1104.028</v>
      </c>
      <c r="U261" s="87">
        <v>3210</v>
      </c>
      <c r="V261" s="85">
        <v>1102.546</v>
      </c>
      <c r="W261" s="87">
        <v>3220</v>
      </c>
      <c r="X261" s="85">
        <v>1102.402</v>
      </c>
      <c r="Y261" s="87">
        <v>3220</v>
      </c>
      <c r="Z261" s="85">
        <v>1100.9860000000001</v>
      </c>
      <c r="AA261" s="87">
        <v>3220</v>
      </c>
      <c r="AB261" s="85">
        <v>1100.5940000000001</v>
      </c>
      <c r="AC261" s="87">
        <v>3210</v>
      </c>
      <c r="AD261" s="85">
        <v>1024.7650000000001</v>
      </c>
      <c r="AE261" s="87">
        <v>3220</v>
      </c>
      <c r="AF261" s="85">
        <v>1025.9359999999999</v>
      </c>
      <c r="AG261" s="87">
        <v>3200</v>
      </c>
      <c r="AH261" s="85">
        <v>291.791</v>
      </c>
      <c r="AI261" s="87">
        <v>3200</v>
      </c>
      <c r="AJ261" s="85">
        <v>304.72300000000001</v>
      </c>
    </row>
    <row r="262" spans="1:36" ht="14.25" customHeight="1">
      <c r="A262" s="88">
        <v>3230</v>
      </c>
      <c r="B262" s="84">
        <v>611.27200000000005</v>
      </c>
      <c r="C262" s="88">
        <v>3240</v>
      </c>
      <c r="D262" s="85">
        <v>606.803</v>
      </c>
      <c r="E262" s="86">
        <v>3230</v>
      </c>
      <c r="F262" s="85">
        <v>1289.538</v>
      </c>
      <c r="G262" s="87">
        <v>3230</v>
      </c>
      <c r="H262" s="85">
        <v>1288.3130000000001</v>
      </c>
      <c r="I262" s="87">
        <v>3230</v>
      </c>
      <c r="J262" s="85">
        <v>1101.857</v>
      </c>
      <c r="K262" s="87">
        <v>3230</v>
      </c>
      <c r="L262" s="85">
        <v>1101.6379999999999</v>
      </c>
      <c r="M262" s="87">
        <v>3230</v>
      </c>
      <c r="N262" s="85">
        <v>1101.6469999999999</v>
      </c>
      <c r="O262" s="87">
        <v>3210</v>
      </c>
      <c r="P262" s="85">
        <v>1102.787</v>
      </c>
      <c r="Q262" s="87">
        <v>3230</v>
      </c>
      <c r="R262" s="85">
        <v>1102.3710000000001</v>
      </c>
      <c r="S262" s="87">
        <v>3230</v>
      </c>
      <c r="T262" s="85">
        <v>1102.837</v>
      </c>
      <c r="U262" s="87">
        <v>3220</v>
      </c>
      <c r="V262" s="85">
        <v>1101.357</v>
      </c>
      <c r="W262" s="87">
        <v>3230</v>
      </c>
      <c r="X262" s="85">
        <v>1101.212</v>
      </c>
      <c r="Y262" s="87">
        <v>3230</v>
      </c>
      <c r="Z262" s="85">
        <v>1099.796</v>
      </c>
      <c r="AA262" s="87">
        <v>3230</v>
      </c>
      <c r="AB262" s="85">
        <v>1099.4059999999999</v>
      </c>
      <c r="AC262" s="87">
        <v>3220</v>
      </c>
      <c r="AD262" s="85">
        <v>1023.575</v>
      </c>
      <c r="AE262" s="87">
        <v>3230</v>
      </c>
      <c r="AF262" s="85">
        <v>1024.748</v>
      </c>
      <c r="AG262" s="87">
        <v>3210</v>
      </c>
      <c r="AH262" s="85">
        <v>291.40300000000002</v>
      </c>
      <c r="AI262" s="87">
        <v>3210</v>
      </c>
      <c r="AJ262" s="85">
        <v>304.32100000000003</v>
      </c>
    </row>
    <row r="263" spans="1:36" ht="14.25" customHeight="1">
      <c r="A263" s="88">
        <v>3240</v>
      </c>
      <c r="B263" s="84">
        <v>610.48500000000001</v>
      </c>
      <c r="C263" s="88">
        <v>3250</v>
      </c>
      <c r="D263" s="85">
        <v>606.02200000000005</v>
      </c>
      <c r="E263" s="86">
        <v>3240</v>
      </c>
      <c r="F263" s="85">
        <v>1288.056</v>
      </c>
      <c r="G263" s="87">
        <v>3240</v>
      </c>
      <c r="H263" s="85">
        <v>1286.8340000000001</v>
      </c>
      <c r="I263" s="87">
        <v>3240</v>
      </c>
      <c r="J263" s="85">
        <v>1100.664</v>
      </c>
      <c r="K263" s="87">
        <v>3240</v>
      </c>
      <c r="L263" s="85">
        <v>1100.4449999999999</v>
      </c>
      <c r="M263" s="87">
        <v>3240</v>
      </c>
      <c r="N263" s="85">
        <v>1100.454</v>
      </c>
      <c r="O263" s="87">
        <v>3220</v>
      </c>
      <c r="P263" s="85">
        <v>1101.595</v>
      </c>
      <c r="Q263" s="87">
        <v>3240</v>
      </c>
      <c r="R263" s="85">
        <v>1101.1790000000001</v>
      </c>
      <c r="S263" s="87">
        <v>3240</v>
      </c>
      <c r="T263" s="85">
        <v>1101.646</v>
      </c>
      <c r="U263" s="87">
        <v>3230</v>
      </c>
      <c r="V263" s="85">
        <v>1100.1679999999999</v>
      </c>
      <c r="W263" s="87">
        <v>3240</v>
      </c>
      <c r="X263" s="85">
        <v>1100.0219999999999</v>
      </c>
      <c r="Y263" s="87">
        <v>3240</v>
      </c>
      <c r="Z263" s="85">
        <v>1098.606</v>
      </c>
      <c r="AA263" s="87">
        <v>3240</v>
      </c>
      <c r="AB263" s="85">
        <v>1098.2180000000001</v>
      </c>
      <c r="AC263" s="87">
        <v>3230</v>
      </c>
      <c r="AD263" s="85">
        <v>1022.385</v>
      </c>
      <c r="AE263" s="87">
        <v>3240</v>
      </c>
      <c r="AF263" s="85">
        <v>1023.559</v>
      </c>
      <c r="AG263" s="87">
        <v>3220</v>
      </c>
      <c r="AH263" s="85">
        <v>291.01400000000001</v>
      </c>
      <c r="AI263" s="87">
        <v>3220</v>
      </c>
      <c r="AJ263" s="85">
        <v>303.91800000000001</v>
      </c>
    </row>
    <row r="264" spans="1:36" ht="14.25" customHeight="1">
      <c r="A264" s="88">
        <v>3250</v>
      </c>
      <c r="B264" s="84">
        <v>609.69799999999998</v>
      </c>
      <c r="C264" s="88">
        <v>3260</v>
      </c>
      <c r="D264" s="85">
        <v>605.24099999999999</v>
      </c>
      <c r="E264" s="86">
        <v>3250</v>
      </c>
      <c r="F264" s="85">
        <v>1286.5730000000001</v>
      </c>
      <c r="G264" s="87">
        <v>3250</v>
      </c>
      <c r="H264" s="85">
        <v>1285.355</v>
      </c>
      <c r="I264" s="87">
        <v>3250</v>
      </c>
      <c r="J264" s="85">
        <v>1099.471</v>
      </c>
      <c r="K264" s="87">
        <v>3250</v>
      </c>
      <c r="L264" s="85">
        <v>1099.251</v>
      </c>
      <c r="M264" s="87">
        <v>3250</v>
      </c>
      <c r="N264" s="85">
        <v>1099.261</v>
      </c>
      <c r="O264" s="87">
        <v>3230</v>
      </c>
      <c r="P264" s="85">
        <v>1100.402</v>
      </c>
      <c r="Q264" s="87">
        <v>3250</v>
      </c>
      <c r="R264" s="85">
        <v>1099.9860000000001</v>
      </c>
      <c r="S264" s="87">
        <v>3250</v>
      </c>
      <c r="T264" s="85">
        <v>1100.454</v>
      </c>
      <c r="U264" s="87">
        <v>3240</v>
      </c>
      <c r="V264" s="85">
        <v>1098.9780000000001</v>
      </c>
      <c r="W264" s="87">
        <v>3250</v>
      </c>
      <c r="X264" s="85">
        <v>1098.8320000000001</v>
      </c>
      <c r="Y264" s="87">
        <v>3250</v>
      </c>
      <c r="Z264" s="85">
        <v>1097.415</v>
      </c>
      <c r="AA264" s="87">
        <v>3250</v>
      </c>
      <c r="AB264" s="85">
        <v>1097.03</v>
      </c>
      <c r="AC264" s="87">
        <v>3240</v>
      </c>
      <c r="AD264" s="85">
        <v>1021.1950000000001</v>
      </c>
      <c r="AE264" s="87">
        <v>3250</v>
      </c>
      <c r="AF264" s="85">
        <v>1022.37</v>
      </c>
      <c r="AG264" s="87">
        <v>3230</v>
      </c>
      <c r="AH264" s="85">
        <v>290.62599999999998</v>
      </c>
      <c r="AI264" s="87">
        <v>3230</v>
      </c>
      <c r="AJ264" s="85">
        <v>303.51600000000002</v>
      </c>
    </row>
    <row r="265" spans="1:36" ht="14.25" customHeight="1">
      <c r="A265" s="88">
        <v>3260</v>
      </c>
      <c r="B265" s="84">
        <v>608.91</v>
      </c>
      <c r="C265" s="88">
        <v>3270</v>
      </c>
      <c r="D265" s="85">
        <v>604.46</v>
      </c>
      <c r="E265" s="86">
        <v>3260</v>
      </c>
      <c r="F265" s="85">
        <v>1285.0909999999999</v>
      </c>
      <c r="G265" s="87">
        <v>3260</v>
      </c>
      <c r="H265" s="85">
        <v>1283.876</v>
      </c>
      <c r="I265" s="87">
        <v>3260</v>
      </c>
      <c r="J265" s="85">
        <v>1098.278</v>
      </c>
      <c r="K265" s="87">
        <v>3260</v>
      </c>
      <c r="L265" s="85">
        <v>1098.058</v>
      </c>
      <c r="M265" s="87">
        <v>3260</v>
      </c>
      <c r="N265" s="85">
        <v>1098.068</v>
      </c>
      <c r="O265" s="87">
        <v>3240</v>
      </c>
      <c r="P265" s="85">
        <v>1099.21</v>
      </c>
      <c r="Q265" s="87">
        <v>3260</v>
      </c>
      <c r="R265" s="85">
        <v>1098.7940000000001</v>
      </c>
      <c r="S265" s="87">
        <v>3260</v>
      </c>
      <c r="T265" s="85">
        <v>1099.2619999999999</v>
      </c>
      <c r="U265" s="87">
        <v>3250</v>
      </c>
      <c r="V265" s="85">
        <v>1097.789</v>
      </c>
      <c r="W265" s="87">
        <v>3260</v>
      </c>
      <c r="X265" s="85">
        <v>1097.6420000000001</v>
      </c>
      <c r="Y265" s="87">
        <v>3260</v>
      </c>
      <c r="Z265" s="85">
        <v>1096.2239999999999</v>
      </c>
      <c r="AA265" s="87">
        <v>3260</v>
      </c>
      <c r="AB265" s="85">
        <v>1095.8409999999999</v>
      </c>
      <c r="AC265" s="87">
        <v>3250</v>
      </c>
      <c r="AD265" s="85">
        <v>1020.005</v>
      </c>
      <c r="AE265" s="87">
        <v>3260</v>
      </c>
      <c r="AF265" s="85">
        <v>1021.181</v>
      </c>
      <c r="AG265" s="87">
        <v>3240</v>
      </c>
      <c r="AH265" s="85">
        <v>290.23700000000002</v>
      </c>
      <c r="AI265" s="87">
        <v>3240</v>
      </c>
      <c r="AJ265" s="85">
        <v>303.113</v>
      </c>
    </row>
    <row r="266" spans="1:36" ht="14.25" customHeight="1">
      <c r="A266" s="88">
        <v>3270</v>
      </c>
      <c r="B266" s="84">
        <v>608.12300000000005</v>
      </c>
      <c r="C266" s="88">
        <v>3280</v>
      </c>
      <c r="D266" s="85">
        <v>603.678</v>
      </c>
      <c r="E266" s="86">
        <v>3270</v>
      </c>
      <c r="F266" s="85">
        <v>1283.6079999999999</v>
      </c>
      <c r="G266" s="87">
        <v>3270</v>
      </c>
      <c r="H266" s="85">
        <v>1282.3969999999999</v>
      </c>
      <c r="I266" s="87">
        <v>3270</v>
      </c>
      <c r="J266" s="85">
        <v>1097.085</v>
      </c>
      <c r="K266" s="87">
        <v>3270</v>
      </c>
      <c r="L266" s="85">
        <v>1096.864</v>
      </c>
      <c r="M266" s="87">
        <v>3270</v>
      </c>
      <c r="N266" s="85">
        <v>1096.875</v>
      </c>
      <c r="O266" s="87">
        <v>3250</v>
      </c>
      <c r="P266" s="85">
        <v>1098.0170000000001</v>
      </c>
      <c r="Q266" s="87">
        <v>3270</v>
      </c>
      <c r="R266" s="85">
        <v>1097.6010000000001</v>
      </c>
      <c r="S266" s="87">
        <v>3270</v>
      </c>
      <c r="T266" s="85">
        <v>1098.07</v>
      </c>
      <c r="U266" s="87">
        <v>3260</v>
      </c>
      <c r="V266" s="85">
        <v>1096.5989999999999</v>
      </c>
      <c r="W266" s="87">
        <v>3270</v>
      </c>
      <c r="X266" s="85">
        <v>1096.451</v>
      </c>
      <c r="Y266" s="87">
        <v>3270</v>
      </c>
      <c r="Z266" s="85">
        <v>1095.0329999999999</v>
      </c>
      <c r="AA266" s="87">
        <v>3270</v>
      </c>
      <c r="AB266" s="85">
        <v>1094.652</v>
      </c>
      <c r="AC266" s="87">
        <v>3260</v>
      </c>
      <c r="AD266" s="85">
        <v>1018.814</v>
      </c>
      <c r="AE266" s="87">
        <v>3270</v>
      </c>
      <c r="AF266" s="85">
        <v>1019.992</v>
      </c>
      <c r="AG266" s="87">
        <v>3250</v>
      </c>
      <c r="AH266" s="85">
        <v>289.84800000000001</v>
      </c>
      <c r="AI266" s="87">
        <v>3250</v>
      </c>
      <c r="AJ266" s="85">
        <v>302.70999999999998</v>
      </c>
    </row>
    <row r="267" spans="1:36" ht="14.25" customHeight="1">
      <c r="A267" s="88">
        <v>3280</v>
      </c>
      <c r="B267" s="84">
        <v>607.33500000000004</v>
      </c>
      <c r="C267" s="88">
        <v>3290</v>
      </c>
      <c r="D267" s="85">
        <v>602.89599999999996</v>
      </c>
      <c r="E267" s="86">
        <v>3280</v>
      </c>
      <c r="F267" s="85">
        <v>1282.125</v>
      </c>
      <c r="G267" s="87">
        <v>3280</v>
      </c>
      <c r="H267" s="85">
        <v>1280.9169999999999</v>
      </c>
      <c r="I267" s="87">
        <v>3280</v>
      </c>
      <c r="J267" s="85">
        <v>1095.8910000000001</v>
      </c>
      <c r="K267" s="87">
        <v>3280</v>
      </c>
      <c r="L267" s="85">
        <v>1095.67</v>
      </c>
      <c r="M267" s="87">
        <v>3280</v>
      </c>
      <c r="N267" s="85">
        <v>1095.682</v>
      </c>
      <c r="O267" s="87">
        <v>3260</v>
      </c>
      <c r="P267" s="85">
        <v>1096.8240000000001</v>
      </c>
      <c r="Q267" s="87">
        <v>3280</v>
      </c>
      <c r="R267" s="85">
        <v>1096.4079999999999</v>
      </c>
      <c r="S267" s="87">
        <v>3280</v>
      </c>
      <c r="T267" s="85">
        <v>1096.8779999999999</v>
      </c>
      <c r="U267" s="87">
        <v>3270</v>
      </c>
      <c r="V267" s="85">
        <v>1095.4079999999999</v>
      </c>
      <c r="W267" s="87">
        <v>3280</v>
      </c>
      <c r="X267" s="85">
        <v>1095.261</v>
      </c>
      <c r="Y267" s="87">
        <v>3280</v>
      </c>
      <c r="Z267" s="85">
        <v>1093.8409999999999</v>
      </c>
      <c r="AA267" s="87">
        <v>3280</v>
      </c>
      <c r="AB267" s="85">
        <v>1093.462</v>
      </c>
      <c r="AC267" s="87">
        <v>3270</v>
      </c>
      <c r="AD267" s="85">
        <v>1017.623</v>
      </c>
      <c r="AE267" s="87">
        <v>3280</v>
      </c>
      <c r="AF267" s="85">
        <v>1018.803</v>
      </c>
      <c r="AG267" s="87">
        <v>3260</v>
      </c>
      <c r="AH267" s="85">
        <v>289.459</v>
      </c>
      <c r="AI267" s="87">
        <v>3260</v>
      </c>
      <c r="AJ267" s="85">
        <v>302.30700000000002</v>
      </c>
    </row>
    <row r="268" spans="1:36" ht="14.25" customHeight="1">
      <c r="A268" s="88">
        <v>3290</v>
      </c>
      <c r="B268" s="84">
        <v>606.54700000000003</v>
      </c>
      <c r="C268" s="88">
        <v>3300</v>
      </c>
      <c r="D268" s="85">
        <v>602.11400000000003</v>
      </c>
      <c r="E268" s="86">
        <v>3290</v>
      </c>
      <c r="F268" s="85">
        <v>1280.6410000000001</v>
      </c>
      <c r="G268" s="87">
        <v>3290</v>
      </c>
      <c r="H268" s="85">
        <v>1279.4369999999999</v>
      </c>
      <c r="I268" s="87">
        <v>3290</v>
      </c>
      <c r="J268" s="85">
        <v>1094.6969999999999</v>
      </c>
      <c r="K268" s="87">
        <v>3290</v>
      </c>
      <c r="L268" s="85">
        <v>1094.4760000000001</v>
      </c>
      <c r="M268" s="87">
        <v>3290</v>
      </c>
      <c r="N268" s="85">
        <v>1094.4880000000001</v>
      </c>
      <c r="O268" s="87">
        <v>3270</v>
      </c>
      <c r="P268" s="85">
        <v>1095.6310000000001</v>
      </c>
      <c r="Q268" s="87">
        <v>3290</v>
      </c>
      <c r="R268" s="85">
        <v>1095.2149999999999</v>
      </c>
      <c r="S268" s="87">
        <v>3290</v>
      </c>
      <c r="T268" s="85">
        <v>1095.6849999999999</v>
      </c>
      <c r="U268" s="87">
        <v>3280</v>
      </c>
      <c r="V268" s="85">
        <v>1094.2180000000001</v>
      </c>
      <c r="W268" s="87">
        <v>3290</v>
      </c>
      <c r="X268" s="85">
        <v>1094.069</v>
      </c>
      <c r="Y268" s="87">
        <v>3290</v>
      </c>
      <c r="Z268" s="85">
        <v>1092.6500000000001</v>
      </c>
      <c r="AA268" s="87">
        <v>3290</v>
      </c>
      <c r="AB268" s="85">
        <v>1092.2729999999999</v>
      </c>
      <c r="AC268" s="87">
        <v>3280</v>
      </c>
      <c r="AD268" s="85">
        <v>1016.432</v>
      </c>
      <c r="AE268" s="87">
        <v>3290</v>
      </c>
      <c r="AF268" s="85">
        <v>1017.6130000000001</v>
      </c>
      <c r="AG268" s="87">
        <v>3270</v>
      </c>
      <c r="AH268" s="85">
        <v>289.07</v>
      </c>
      <c r="AI268" s="87">
        <v>3270</v>
      </c>
      <c r="AJ268" s="85">
        <v>301.90499999999997</v>
      </c>
    </row>
    <row r="269" spans="1:36" ht="14.25" customHeight="1">
      <c r="A269" s="88">
        <v>3300</v>
      </c>
      <c r="B269" s="84">
        <v>605.75900000000001</v>
      </c>
      <c r="C269" s="88">
        <v>3310</v>
      </c>
      <c r="D269" s="85">
        <v>601.33199999999999</v>
      </c>
      <c r="E269" s="86">
        <v>3300</v>
      </c>
      <c r="F269" s="85">
        <v>1279.1569999999999</v>
      </c>
      <c r="G269" s="87">
        <v>3300</v>
      </c>
      <c r="H269" s="85">
        <v>1277.9570000000001</v>
      </c>
      <c r="I269" s="87">
        <v>3300</v>
      </c>
      <c r="J269" s="85">
        <v>1093.5029999999999</v>
      </c>
      <c r="K269" s="87">
        <v>3300</v>
      </c>
      <c r="L269" s="85">
        <v>1093.2809999999999</v>
      </c>
      <c r="M269" s="87">
        <v>3300</v>
      </c>
      <c r="N269" s="85">
        <v>1093.2940000000001</v>
      </c>
      <c r="O269" s="87">
        <v>3280</v>
      </c>
      <c r="P269" s="85">
        <v>1094.4380000000001</v>
      </c>
      <c r="Q269" s="87">
        <v>3300</v>
      </c>
      <c r="R269" s="85">
        <v>1094.021</v>
      </c>
      <c r="S269" s="87">
        <v>3300</v>
      </c>
      <c r="T269" s="85">
        <v>1094.492</v>
      </c>
      <c r="U269" s="87">
        <v>3290</v>
      </c>
      <c r="V269" s="85">
        <v>1093.027</v>
      </c>
      <c r="W269" s="87">
        <v>3300</v>
      </c>
      <c r="X269" s="85">
        <v>1092.8779999999999</v>
      </c>
      <c r="Y269" s="87">
        <v>3300</v>
      </c>
      <c r="Z269" s="85">
        <v>1091.4580000000001</v>
      </c>
      <c r="AA269" s="87">
        <v>3300</v>
      </c>
      <c r="AB269" s="85">
        <v>1091.0830000000001</v>
      </c>
      <c r="AC269" s="87">
        <v>3290</v>
      </c>
      <c r="AD269" s="85">
        <v>1015.241</v>
      </c>
      <c r="AE269" s="87">
        <v>3300</v>
      </c>
      <c r="AF269" s="85">
        <v>1016.423</v>
      </c>
      <c r="AG269" s="87">
        <v>3280</v>
      </c>
      <c r="AH269" s="85">
        <v>288.68099999999998</v>
      </c>
      <c r="AI269" s="87">
        <v>3280</v>
      </c>
      <c r="AJ269" s="85">
        <v>301.50200000000001</v>
      </c>
    </row>
    <row r="270" spans="1:36" ht="14.25" customHeight="1">
      <c r="A270" s="88">
        <v>3310</v>
      </c>
      <c r="B270" s="84">
        <v>604.97</v>
      </c>
      <c r="C270" s="88">
        <v>3320</v>
      </c>
      <c r="D270" s="85">
        <v>600.54999999999995</v>
      </c>
      <c r="E270" s="86">
        <v>3310</v>
      </c>
      <c r="F270" s="85">
        <v>1277.673</v>
      </c>
      <c r="G270" s="87">
        <v>3310</v>
      </c>
      <c r="H270" s="85">
        <v>1276.4760000000001</v>
      </c>
      <c r="I270" s="87">
        <v>3310</v>
      </c>
      <c r="J270" s="85">
        <v>1092.309</v>
      </c>
      <c r="K270" s="87">
        <v>3310</v>
      </c>
      <c r="L270" s="85">
        <v>1092.087</v>
      </c>
      <c r="M270" s="87">
        <v>3310</v>
      </c>
      <c r="N270" s="85">
        <v>1092.0999999999999</v>
      </c>
      <c r="O270" s="87">
        <v>3290</v>
      </c>
      <c r="P270" s="85">
        <v>1093.2439999999999</v>
      </c>
      <c r="Q270" s="87">
        <v>3310</v>
      </c>
      <c r="R270" s="85">
        <v>1092.827</v>
      </c>
      <c r="S270" s="87">
        <v>3310</v>
      </c>
      <c r="T270" s="85">
        <v>1093.299</v>
      </c>
      <c r="U270" s="87">
        <v>3300</v>
      </c>
      <c r="V270" s="85">
        <v>1091.836</v>
      </c>
      <c r="W270" s="87">
        <v>3310</v>
      </c>
      <c r="X270" s="85">
        <v>1091.6869999999999</v>
      </c>
      <c r="Y270" s="87">
        <v>3310</v>
      </c>
      <c r="Z270" s="85">
        <v>1090.2660000000001</v>
      </c>
      <c r="AA270" s="87">
        <v>3310</v>
      </c>
      <c r="AB270" s="85">
        <v>1089.893</v>
      </c>
      <c r="AC270" s="87">
        <v>3300</v>
      </c>
      <c r="AD270" s="85">
        <v>1014.049</v>
      </c>
      <c r="AE270" s="87">
        <v>3310</v>
      </c>
      <c r="AF270" s="85">
        <v>1015.2329999999999</v>
      </c>
      <c r="AG270" s="87">
        <v>3290</v>
      </c>
      <c r="AH270" s="85">
        <v>288.29199999999997</v>
      </c>
      <c r="AI270" s="87">
        <v>3290</v>
      </c>
      <c r="AJ270" s="85">
        <v>301.09800000000001</v>
      </c>
    </row>
    <row r="271" spans="1:36" ht="14.25" customHeight="1">
      <c r="A271" s="88">
        <v>3320</v>
      </c>
      <c r="B271" s="84">
        <v>604.18200000000002</v>
      </c>
      <c r="C271" s="88">
        <v>3330</v>
      </c>
      <c r="D271" s="85">
        <v>599.76700000000005</v>
      </c>
      <c r="E271" s="86">
        <v>3320</v>
      </c>
      <c r="F271" s="85">
        <v>1276.1890000000001</v>
      </c>
      <c r="G271" s="87">
        <v>3320</v>
      </c>
      <c r="H271" s="85">
        <v>1274.9949999999999</v>
      </c>
      <c r="I271" s="87">
        <v>3320</v>
      </c>
      <c r="J271" s="85">
        <v>1091.115</v>
      </c>
      <c r="K271" s="87">
        <v>3320</v>
      </c>
      <c r="L271" s="85">
        <v>1090.8920000000001</v>
      </c>
      <c r="M271" s="87">
        <v>3320</v>
      </c>
      <c r="N271" s="85">
        <v>1090.905</v>
      </c>
      <c r="O271" s="87">
        <v>3300</v>
      </c>
      <c r="P271" s="85">
        <v>1092.05</v>
      </c>
      <c r="Q271" s="87">
        <v>3320</v>
      </c>
      <c r="R271" s="85">
        <v>1091.633</v>
      </c>
      <c r="S271" s="87">
        <v>3320</v>
      </c>
      <c r="T271" s="85">
        <v>1092.105</v>
      </c>
      <c r="U271" s="87">
        <v>3310</v>
      </c>
      <c r="V271" s="85">
        <v>1090.645</v>
      </c>
      <c r="W271" s="87">
        <v>3320</v>
      </c>
      <c r="X271" s="85">
        <v>1090.4949999999999</v>
      </c>
      <c r="Y271" s="87">
        <v>3320</v>
      </c>
      <c r="Z271" s="85">
        <v>1089.0730000000001</v>
      </c>
      <c r="AA271" s="87">
        <v>3320</v>
      </c>
      <c r="AB271" s="85">
        <v>1088.703</v>
      </c>
      <c r="AC271" s="87">
        <v>3310</v>
      </c>
      <c r="AD271" s="85">
        <v>1012.857</v>
      </c>
      <c r="AE271" s="87">
        <v>3320</v>
      </c>
      <c r="AF271" s="85">
        <v>1014.042</v>
      </c>
      <c r="AG271" s="87">
        <v>3300</v>
      </c>
      <c r="AH271" s="85">
        <v>287.90300000000002</v>
      </c>
      <c r="AI271" s="87">
        <v>3300</v>
      </c>
      <c r="AJ271" s="85">
        <v>300.69499999999999</v>
      </c>
    </row>
    <row r="272" spans="1:36" ht="14.25" customHeight="1">
      <c r="A272" s="88">
        <v>3330</v>
      </c>
      <c r="B272" s="84">
        <v>603.39300000000003</v>
      </c>
      <c r="C272" s="88">
        <v>3340</v>
      </c>
      <c r="D272" s="85">
        <v>598.98400000000004</v>
      </c>
      <c r="E272" s="86">
        <v>3330</v>
      </c>
      <c r="F272" s="85">
        <v>1274.704</v>
      </c>
      <c r="G272" s="87">
        <v>3330</v>
      </c>
      <c r="H272" s="85">
        <v>1273.5139999999999</v>
      </c>
      <c r="I272" s="87">
        <v>3330</v>
      </c>
      <c r="J272" s="85">
        <v>1089.92</v>
      </c>
      <c r="K272" s="87">
        <v>3330</v>
      </c>
      <c r="L272" s="85">
        <v>1089.6969999999999</v>
      </c>
      <c r="M272" s="87">
        <v>3330</v>
      </c>
      <c r="N272" s="85">
        <v>1089.711</v>
      </c>
      <c r="O272" s="87">
        <v>3310</v>
      </c>
      <c r="P272" s="85">
        <v>1090.856</v>
      </c>
      <c r="Q272" s="87">
        <v>3330</v>
      </c>
      <c r="R272" s="85">
        <v>1090.4390000000001</v>
      </c>
      <c r="S272" s="87">
        <v>3330</v>
      </c>
      <c r="T272" s="85">
        <v>1090.912</v>
      </c>
      <c r="U272" s="87">
        <v>3320</v>
      </c>
      <c r="V272" s="85">
        <v>1089.453</v>
      </c>
      <c r="W272" s="87">
        <v>3330</v>
      </c>
      <c r="X272" s="85">
        <v>1089.3030000000001</v>
      </c>
      <c r="Y272" s="87">
        <v>3330</v>
      </c>
      <c r="Z272" s="85">
        <v>1087.8810000000001</v>
      </c>
      <c r="AA272" s="87">
        <v>3330</v>
      </c>
      <c r="AB272" s="85">
        <v>1087.5119999999999</v>
      </c>
      <c r="AC272" s="87">
        <v>3320</v>
      </c>
      <c r="AD272" s="85">
        <v>1011.665</v>
      </c>
      <c r="AE272" s="87">
        <v>3330</v>
      </c>
      <c r="AF272" s="85">
        <v>1012.851</v>
      </c>
      <c r="AG272" s="87">
        <v>3310</v>
      </c>
      <c r="AH272" s="85">
        <v>287.51400000000001</v>
      </c>
      <c r="AI272" s="87">
        <v>3310</v>
      </c>
      <c r="AJ272" s="85">
        <v>300.29199999999997</v>
      </c>
    </row>
    <row r="273" spans="1:36" ht="14.25" customHeight="1">
      <c r="A273" s="88">
        <v>3340</v>
      </c>
      <c r="B273" s="84">
        <v>602.60400000000004</v>
      </c>
      <c r="C273" s="88">
        <v>3350</v>
      </c>
      <c r="D273" s="85">
        <v>598.202</v>
      </c>
      <c r="E273" s="86">
        <v>3340</v>
      </c>
      <c r="F273" s="85">
        <v>1273.2190000000001</v>
      </c>
      <c r="G273" s="87">
        <v>3340</v>
      </c>
      <c r="H273" s="85">
        <v>1272.0319999999999</v>
      </c>
      <c r="I273" s="87">
        <v>3340</v>
      </c>
      <c r="J273" s="85">
        <v>1088.7249999999999</v>
      </c>
      <c r="K273" s="87">
        <v>3340</v>
      </c>
      <c r="L273" s="85">
        <v>1088.501</v>
      </c>
      <c r="M273" s="87">
        <v>3340</v>
      </c>
      <c r="N273" s="85">
        <v>1088.5160000000001</v>
      </c>
      <c r="O273" s="87">
        <v>3320</v>
      </c>
      <c r="P273" s="85">
        <v>1089.662</v>
      </c>
      <c r="Q273" s="87">
        <v>3340</v>
      </c>
      <c r="R273" s="85">
        <v>1089.2449999999999</v>
      </c>
      <c r="S273" s="87">
        <v>3340</v>
      </c>
      <c r="T273" s="85">
        <v>1089.7180000000001</v>
      </c>
      <c r="U273" s="87">
        <v>3330</v>
      </c>
      <c r="V273" s="85">
        <v>1088.2619999999999</v>
      </c>
      <c r="W273" s="87">
        <v>3340</v>
      </c>
      <c r="X273" s="85">
        <v>1088.1099999999999</v>
      </c>
      <c r="Y273" s="87">
        <v>3340</v>
      </c>
      <c r="Z273" s="85">
        <v>1086.6880000000001</v>
      </c>
      <c r="AA273" s="87">
        <v>3340</v>
      </c>
      <c r="AB273" s="85">
        <v>1086.3219999999999</v>
      </c>
      <c r="AC273" s="87">
        <v>3330</v>
      </c>
      <c r="AD273" s="85">
        <v>1010.473</v>
      </c>
      <c r="AE273" s="87">
        <v>3340</v>
      </c>
      <c r="AF273" s="85">
        <v>1011.66</v>
      </c>
      <c r="AG273" s="87">
        <v>3320</v>
      </c>
      <c r="AH273" s="85">
        <v>287.12400000000002</v>
      </c>
      <c r="AI273" s="87">
        <v>3320</v>
      </c>
      <c r="AJ273" s="85">
        <v>299.88799999999998</v>
      </c>
    </row>
    <row r="274" spans="1:36" ht="14.25" customHeight="1">
      <c r="A274" s="88">
        <v>3350</v>
      </c>
      <c r="B274" s="84">
        <v>601.81500000000005</v>
      </c>
      <c r="C274" s="88">
        <v>3360</v>
      </c>
      <c r="D274" s="85">
        <v>597.41800000000001</v>
      </c>
      <c r="E274" s="86">
        <v>3350</v>
      </c>
      <c r="F274" s="85">
        <v>1271.7339999999999</v>
      </c>
      <c r="G274" s="87">
        <v>3350</v>
      </c>
      <c r="H274" s="85">
        <v>1270.5509999999999</v>
      </c>
      <c r="I274" s="87">
        <v>3350</v>
      </c>
      <c r="J274" s="85">
        <v>1087.53</v>
      </c>
      <c r="K274" s="87">
        <v>3350</v>
      </c>
      <c r="L274" s="85">
        <v>1087.3050000000001</v>
      </c>
      <c r="M274" s="87">
        <v>3350</v>
      </c>
      <c r="N274" s="85">
        <v>1087.3209999999999</v>
      </c>
      <c r="O274" s="87">
        <v>3330</v>
      </c>
      <c r="P274" s="85">
        <v>1088.4670000000001</v>
      </c>
      <c r="Q274" s="87">
        <v>3350</v>
      </c>
      <c r="R274" s="85">
        <v>1088.05</v>
      </c>
      <c r="S274" s="87">
        <v>3350</v>
      </c>
      <c r="T274" s="85">
        <v>1088.5239999999999</v>
      </c>
      <c r="U274" s="87">
        <v>3340</v>
      </c>
      <c r="V274" s="85">
        <v>1087.07</v>
      </c>
      <c r="W274" s="87">
        <v>3350</v>
      </c>
      <c r="X274" s="85">
        <v>1086.9179999999999</v>
      </c>
      <c r="Y274" s="87">
        <v>3350</v>
      </c>
      <c r="Z274" s="85">
        <v>1085.4949999999999</v>
      </c>
      <c r="AA274" s="87">
        <v>3350</v>
      </c>
      <c r="AB274" s="85">
        <v>1085.1310000000001</v>
      </c>
      <c r="AC274" s="87">
        <v>3340</v>
      </c>
      <c r="AD274" s="85">
        <v>1009.28</v>
      </c>
      <c r="AE274" s="87">
        <v>3350</v>
      </c>
      <c r="AF274" s="85">
        <v>1010.4690000000001</v>
      </c>
      <c r="AG274" s="87">
        <v>3330</v>
      </c>
      <c r="AH274" s="85">
        <v>286.73500000000001</v>
      </c>
      <c r="AI274" s="87">
        <v>3330</v>
      </c>
      <c r="AJ274" s="85">
        <v>299.48500000000001</v>
      </c>
    </row>
    <row r="275" spans="1:36" ht="14.25" customHeight="1">
      <c r="A275" s="88">
        <v>3360</v>
      </c>
      <c r="B275" s="84">
        <v>601.02599999999995</v>
      </c>
      <c r="C275" s="88">
        <v>3370</v>
      </c>
      <c r="D275" s="85">
        <v>596.63499999999999</v>
      </c>
      <c r="E275" s="86">
        <v>3360</v>
      </c>
      <c r="F275" s="85">
        <v>1270.248</v>
      </c>
      <c r="G275" s="87">
        <v>3360</v>
      </c>
      <c r="H275" s="85">
        <v>1269.068</v>
      </c>
      <c r="I275" s="87">
        <v>3360</v>
      </c>
      <c r="J275" s="85">
        <v>1086.3340000000001</v>
      </c>
      <c r="K275" s="87">
        <v>3360</v>
      </c>
      <c r="L275" s="85">
        <v>1086.1089999999999</v>
      </c>
      <c r="M275" s="87">
        <v>3360</v>
      </c>
      <c r="N275" s="85">
        <v>1086.125</v>
      </c>
      <c r="O275" s="87">
        <v>3340</v>
      </c>
      <c r="P275" s="85">
        <v>1087.2719999999999</v>
      </c>
      <c r="Q275" s="87">
        <v>3360</v>
      </c>
      <c r="R275" s="85">
        <v>1086.855</v>
      </c>
      <c r="S275" s="87">
        <v>3360</v>
      </c>
      <c r="T275" s="85">
        <v>1087.33</v>
      </c>
      <c r="U275" s="87">
        <v>3350</v>
      </c>
      <c r="V275" s="85">
        <v>1085.877</v>
      </c>
      <c r="W275" s="87">
        <v>3360</v>
      </c>
      <c r="X275" s="85">
        <v>1085.7249999999999</v>
      </c>
      <c r="Y275" s="87">
        <v>3360</v>
      </c>
      <c r="Z275" s="85">
        <v>1084.3009999999999</v>
      </c>
      <c r="AA275" s="87">
        <v>3360</v>
      </c>
      <c r="AB275" s="85">
        <v>1083.94</v>
      </c>
      <c r="AC275" s="87">
        <v>3350</v>
      </c>
      <c r="AD275" s="85">
        <v>1008.088</v>
      </c>
      <c r="AE275" s="87">
        <v>3360</v>
      </c>
      <c r="AF275" s="85">
        <v>1009.278</v>
      </c>
      <c r="AG275" s="87">
        <v>3340</v>
      </c>
      <c r="AH275" s="85">
        <v>286.34500000000003</v>
      </c>
      <c r="AI275" s="87">
        <v>3340</v>
      </c>
      <c r="AJ275" s="85">
        <v>299.08100000000002</v>
      </c>
    </row>
    <row r="276" spans="1:36" ht="14.25" customHeight="1">
      <c r="A276" s="88">
        <v>3370</v>
      </c>
      <c r="B276" s="84">
        <v>600.23699999999997</v>
      </c>
      <c r="C276" s="88">
        <v>3380</v>
      </c>
      <c r="D276" s="85">
        <v>595.85199999999998</v>
      </c>
      <c r="E276" s="86">
        <v>3370</v>
      </c>
      <c r="F276" s="85">
        <v>1268.7629999999999</v>
      </c>
      <c r="G276" s="87">
        <v>3370</v>
      </c>
      <c r="H276" s="85">
        <v>1267.586</v>
      </c>
      <c r="I276" s="87">
        <v>3370</v>
      </c>
      <c r="J276" s="85">
        <v>1085.1389999999999</v>
      </c>
      <c r="K276" s="87">
        <v>3370</v>
      </c>
      <c r="L276" s="85">
        <v>1084.913</v>
      </c>
      <c r="M276" s="87">
        <v>3370</v>
      </c>
      <c r="N276" s="85">
        <v>1084.93</v>
      </c>
      <c r="O276" s="87">
        <v>3350</v>
      </c>
      <c r="P276" s="85">
        <v>1086.077</v>
      </c>
      <c r="Q276" s="87">
        <v>3370</v>
      </c>
      <c r="R276" s="85">
        <v>1085.6600000000001</v>
      </c>
      <c r="S276" s="87">
        <v>3370</v>
      </c>
      <c r="T276" s="85">
        <v>1086.135</v>
      </c>
      <c r="U276" s="87">
        <v>3360</v>
      </c>
      <c r="V276" s="85">
        <v>1084.6849999999999</v>
      </c>
      <c r="W276" s="87">
        <v>3370</v>
      </c>
      <c r="X276" s="85">
        <v>1084.5319999999999</v>
      </c>
      <c r="Y276" s="87">
        <v>3370</v>
      </c>
      <c r="Z276" s="85">
        <v>1083.1079999999999</v>
      </c>
      <c r="AA276" s="87">
        <v>3370</v>
      </c>
      <c r="AB276" s="85">
        <v>1082.748</v>
      </c>
      <c r="AC276" s="87">
        <v>3360</v>
      </c>
      <c r="AD276" s="85">
        <v>1006.895</v>
      </c>
      <c r="AE276" s="87">
        <v>3370</v>
      </c>
      <c r="AF276" s="85">
        <v>1008.086</v>
      </c>
      <c r="AG276" s="87">
        <v>3350</v>
      </c>
      <c r="AH276" s="85">
        <v>285.95600000000002</v>
      </c>
      <c r="AI276" s="87">
        <v>3350</v>
      </c>
      <c r="AJ276" s="85">
        <v>298.678</v>
      </c>
    </row>
    <row r="277" spans="1:36" ht="14.25" customHeight="1">
      <c r="A277" s="88">
        <v>3380</v>
      </c>
      <c r="B277" s="84">
        <v>599.447</v>
      </c>
      <c r="C277" s="88">
        <v>3390</v>
      </c>
      <c r="D277" s="85">
        <v>595.06799999999998</v>
      </c>
      <c r="E277" s="86">
        <v>3380</v>
      </c>
      <c r="F277" s="85">
        <v>1267.2760000000001</v>
      </c>
      <c r="G277" s="87">
        <v>3380</v>
      </c>
      <c r="H277" s="85">
        <v>1266.1030000000001</v>
      </c>
      <c r="I277" s="87">
        <v>3380</v>
      </c>
      <c r="J277" s="85">
        <v>1083.943</v>
      </c>
      <c r="K277" s="87">
        <v>3380</v>
      </c>
      <c r="L277" s="85">
        <v>1083.7170000000001</v>
      </c>
      <c r="M277" s="87">
        <v>3380</v>
      </c>
      <c r="N277" s="85">
        <v>1083.7339999999999</v>
      </c>
      <c r="O277" s="87">
        <v>3360</v>
      </c>
      <c r="P277" s="85">
        <v>1084.8820000000001</v>
      </c>
      <c r="Q277" s="87">
        <v>3380</v>
      </c>
      <c r="R277" s="85">
        <v>1084.4639999999999</v>
      </c>
      <c r="S277" s="87">
        <v>3380</v>
      </c>
      <c r="T277" s="85">
        <v>1084.94</v>
      </c>
      <c r="U277" s="87">
        <v>3370</v>
      </c>
      <c r="V277" s="85">
        <v>1083.492</v>
      </c>
      <c r="W277" s="87">
        <v>3380</v>
      </c>
      <c r="X277" s="85">
        <v>1083.3389999999999</v>
      </c>
      <c r="Y277" s="87">
        <v>3380</v>
      </c>
      <c r="Z277" s="85">
        <v>1081.914</v>
      </c>
      <c r="AA277" s="87">
        <v>3380</v>
      </c>
      <c r="AB277" s="85">
        <v>1081.556</v>
      </c>
      <c r="AC277" s="87">
        <v>3370</v>
      </c>
      <c r="AD277" s="85">
        <v>1005.701</v>
      </c>
      <c r="AE277" s="87">
        <v>3380</v>
      </c>
      <c r="AF277" s="85">
        <v>1006.894</v>
      </c>
      <c r="AG277" s="87">
        <v>3360</v>
      </c>
      <c r="AH277" s="85">
        <v>285.56599999999997</v>
      </c>
      <c r="AI277" s="87">
        <v>3360</v>
      </c>
      <c r="AJ277" s="85">
        <v>298.274</v>
      </c>
    </row>
    <row r="278" spans="1:36" ht="14.25" customHeight="1">
      <c r="A278" s="88">
        <v>3390</v>
      </c>
      <c r="B278" s="84">
        <v>598.65700000000004</v>
      </c>
      <c r="C278" s="88">
        <v>3400</v>
      </c>
      <c r="D278" s="85">
        <v>594.28399999999999</v>
      </c>
      <c r="E278" s="86">
        <v>3390</v>
      </c>
      <c r="F278" s="85">
        <v>1265.79</v>
      </c>
      <c r="G278" s="87">
        <v>3390</v>
      </c>
      <c r="H278" s="85">
        <v>1264.6199999999999</v>
      </c>
      <c r="I278" s="87">
        <v>3390</v>
      </c>
      <c r="J278" s="85">
        <v>1082.7470000000001</v>
      </c>
      <c r="K278" s="87">
        <v>3390</v>
      </c>
      <c r="L278" s="85">
        <v>1082.52</v>
      </c>
      <c r="M278" s="87">
        <v>3390</v>
      </c>
      <c r="N278" s="85">
        <v>1082.538</v>
      </c>
      <c r="O278" s="87">
        <v>3370</v>
      </c>
      <c r="P278" s="85">
        <v>1083.6859999999999</v>
      </c>
      <c r="Q278" s="87">
        <v>3390</v>
      </c>
      <c r="R278" s="85">
        <v>1083.269</v>
      </c>
      <c r="S278" s="87">
        <v>3390</v>
      </c>
      <c r="T278" s="85">
        <v>1083.7449999999999</v>
      </c>
      <c r="U278" s="87">
        <v>3380</v>
      </c>
      <c r="V278" s="85">
        <v>1082.299</v>
      </c>
      <c r="W278" s="87">
        <v>3390</v>
      </c>
      <c r="X278" s="85">
        <v>1082.145</v>
      </c>
      <c r="Y278" s="87">
        <v>3390</v>
      </c>
      <c r="Z278" s="85">
        <v>1080.72</v>
      </c>
      <c r="AA278" s="87">
        <v>3390</v>
      </c>
      <c r="AB278" s="85">
        <v>1080.364</v>
      </c>
      <c r="AC278" s="87">
        <v>3380</v>
      </c>
      <c r="AD278" s="85">
        <v>1004.508</v>
      </c>
      <c r="AE278" s="87">
        <v>3390</v>
      </c>
      <c r="AF278" s="85">
        <v>1005.702</v>
      </c>
      <c r="AG278" s="87">
        <v>3370</v>
      </c>
      <c r="AH278" s="85">
        <v>285.17599999999999</v>
      </c>
      <c r="AI278" s="87">
        <v>3370</v>
      </c>
      <c r="AJ278" s="85">
        <v>297.87</v>
      </c>
    </row>
    <row r="279" spans="1:36" ht="14.25" customHeight="1">
      <c r="A279" s="88">
        <v>3400</v>
      </c>
      <c r="B279" s="84">
        <v>597.86800000000005</v>
      </c>
      <c r="C279" s="88">
        <v>3410</v>
      </c>
      <c r="D279" s="85">
        <v>593.5</v>
      </c>
      <c r="E279" s="86">
        <v>3400</v>
      </c>
      <c r="F279" s="85">
        <v>1264.3030000000001</v>
      </c>
      <c r="G279" s="87">
        <v>3400</v>
      </c>
      <c r="H279" s="85">
        <v>1263.1369999999999</v>
      </c>
      <c r="I279" s="87">
        <v>3400</v>
      </c>
      <c r="J279" s="85">
        <v>1081.55</v>
      </c>
      <c r="K279" s="87">
        <v>3400</v>
      </c>
      <c r="L279" s="85">
        <v>1081.3230000000001</v>
      </c>
      <c r="M279" s="87">
        <v>3400</v>
      </c>
      <c r="N279" s="85">
        <v>1081.3420000000001</v>
      </c>
      <c r="O279" s="87">
        <v>3380</v>
      </c>
      <c r="P279" s="85">
        <v>1082.49</v>
      </c>
      <c r="Q279" s="87">
        <v>3400</v>
      </c>
      <c r="R279" s="85">
        <v>1082.0730000000001</v>
      </c>
      <c r="S279" s="87">
        <v>3400</v>
      </c>
      <c r="T279" s="85">
        <v>1082.55</v>
      </c>
      <c r="U279" s="87">
        <v>3390</v>
      </c>
      <c r="V279" s="85">
        <v>1081.106</v>
      </c>
      <c r="W279" s="87">
        <v>3400</v>
      </c>
      <c r="X279" s="85">
        <v>1080.952</v>
      </c>
      <c r="Y279" s="87">
        <v>3400</v>
      </c>
      <c r="Z279" s="85">
        <v>1079.5260000000001</v>
      </c>
      <c r="AA279" s="87">
        <v>3400</v>
      </c>
      <c r="AB279" s="85">
        <v>1079.172</v>
      </c>
      <c r="AC279" s="87">
        <v>3390</v>
      </c>
      <c r="AD279" s="85">
        <v>1003.314</v>
      </c>
      <c r="AE279" s="87">
        <v>3400</v>
      </c>
      <c r="AF279" s="85">
        <v>1004.51</v>
      </c>
      <c r="AG279" s="87">
        <v>3380</v>
      </c>
      <c r="AH279" s="85">
        <v>284.786</v>
      </c>
      <c r="AI279" s="87">
        <v>3380</v>
      </c>
      <c r="AJ279" s="85">
        <v>297.46600000000001</v>
      </c>
    </row>
    <row r="280" spans="1:36" ht="14.25" customHeight="1">
      <c r="A280" s="88">
        <v>3410</v>
      </c>
      <c r="B280" s="84">
        <v>597.077</v>
      </c>
      <c r="C280" s="88">
        <v>3420</v>
      </c>
      <c r="D280" s="85">
        <v>592.71600000000001</v>
      </c>
      <c r="E280" s="86">
        <v>3410</v>
      </c>
      <c r="F280" s="85">
        <v>1262.816</v>
      </c>
      <c r="G280" s="87">
        <v>3410</v>
      </c>
      <c r="H280" s="85">
        <v>1261.653</v>
      </c>
      <c r="I280" s="87">
        <v>3410</v>
      </c>
      <c r="J280" s="85">
        <v>1080.354</v>
      </c>
      <c r="K280" s="87">
        <v>3410</v>
      </c>
      <c r="L280" s="85">
        <v>1080.126</v>
      </c>
      <c r="M280" s="87">
        <v>3410</v>
      </c>
      <c r="N280" s="85">
        <v>1080.145</v>
      </c>
      <c r="O280" s="87">
        <v>3390</v>
      </c>
      <c r="P280" s="85">
        <v>1081.2940000000001</v>
      </c>
      <c r="Q280" s="87">
        <v>3410</v>
      </c>
      <c r="R280" s="85">
        <v>1080.876</v>
      </c>
      <c r="S280" s="87">
        <v>3410</v>
      </c>
      <c r="T280" s="85">
        <v>1081.354</v>
      </c>
      <c r="U280" s="87">
        <v>3400</v>
      </c>
      <c r="V280" s="85">
        <v>1079.913</v>
      </c>
      <c r="W280" s="87">
        <v>3410</v>
      </c>
      <c r="X280" s="85">
        <v>1079.758</v>
      </c>
      <c r="Y280" s="87">
        <v>3410</v>
      </c>
      <c r="Z280" s="85">
        <v>1078.3309999999999</v>
      </c>
      <c r="AA280" s="87">
        <v>3410</v>
      </c>
      <c r="AB280" s="85">
        <v>1077.98</v>
      </c>
      <c r="AC280" s="87">
        <v>3400</v>
      </c>
      <c r="AD280" s="85">
        <v>1002.12</v>
      </c>
      <c r="AE280" s="87">
        <v>3410</v>
      </c>
      <c r="AF280" s="85">
        <v>1003.317</v>
      </c>
      <c r="AG280" s="87">
        <v>3390</v>
      </c>
      <c r="AH280" s="85">
        <v>284.39600000000002</v>
      </c>
      <c r="AI280" s="87">
        <v>3390</v>
      </c>
      <c r="AJ280" s="85">
        <v>297.06200000000001</v>
      </c>
    </row>
    <row r="281" spans="1:36" ht="14.25" customHeight="1">
      <c r="A281" s="88">
        <v>3420</v>
      </c>
      <c r="B281" s="84">
        <v>596.28700000000003</v>
      </c>
      <c r="C281" s="88">
        <v>3430</v>
      </c>
      <c r="D281" s="85">
        <v>591.93200000000002</v>
      </c>
      <c r="E281" s="86">
        <v>3420</v>
      </c>
      <c r="F281" s="85">
        <v>1261.329</v>
      </c>
      <c r="G281" s="87">
        <v>3420</v>
      </c>
      <c r="H281" s="85">
        <v>1260.1690000000001</v>
      </c>
      <c r="I281" s="87">
        <v>3420</v>
      </c>
      <c r="J281" s="85">
        <v>1079.1569999999999</v>
      </c>
      <c r="K281" s="87">
        <v>3420</v>
      </c>
      <c r="L281" s="85">
        <v>1078.9290000000001</v>
      </c>
      <c r="M281" s="87">
        <v>3420</v>
      </c>
      <c r="N281" s="85">
        <v>1078.9480000000001</v>
      </c>
      <c r="O281" s="87">
        <v>3400</v>
      </c>
      <c r="P281" s="85">
        <v>1080.098</v>
      </c>
      <c r="Q281" s="87">
        <v>3420</v>
      </c>
      <c r="R281" s="85">
        <v>1079.68</v>
      </c>
      <c r="S281" s="87">
        <v>3420</v>
      </c>
      <c r="T281" s="85">
        <v>1080.1579999999999</v>
      </c>
      <c r="U281" s="87">
        <v>3410</v>
      </c>
      <c r="V281" s="85">
        <v>1078.7190000000001</v>
      </c>
      <c r="W281" s="87">
        <v>3420</v>
      </c>
      <c r="X281" s="85">
        <v>1078.5630000000001</v>
      </c>
      <c r="Y281" s="87">
        <v>3420</v>
      </c>
      <c r="Z281" s="85">
        <v>1077.1369999999999</v>
      </c>
      <c r="AA281" s="87">
        <v>3420</v>
      </c>
      <c r="AB281" s="85">
        <v>1076.787</v>
      </c>
      <c r="AC281" s="87">
        <v>3410</v>
      </c>
      <c r="AD281" s="85">
        <v>1000.926</v>
      </c>
      <c r="AE281" s="87">
        <v>3420</v>
      </c>
      <c r="AF281" s="85">
        <v>1002.124</v>
      </c>
      <c r="AG281" s="87">
        <v>3400</v>
      </c>
      <c r="AH281" s="85">
        <v>284.00599999999997</v>
      </c>
      <c r="AI281" s="87">
        <v>3400</v>
      </c>
      <c r="AJ281" s="85">
        <v>296.65800000000002</v>
      </c>
    </row>
    <row r="282" spans="1:36" ht="14.25" customHeight="1">
      <c r="A282" s="88">
        <v>3430</v>
      </c>
      <c r="B282" s="84">
        <v>595.49699999999996</v>
      </c>
      <c r="C282" s="88">
        <v>3440</v>
      </c>
      <c r="D282" s="85">
        <v>591.14700000000005</v>
      </c>
      <c r="E282" s="86">
        <v>3430</v>
      </c>
      <c r="F282" s="85">
        <v>1259.8409999999999</v>
      </c>
      <c r="G282" s="87">
        <v>3430</v>
      </c>
      <c r="H282" s="85">
        <v>1258.6849999999999</v>
      </c>
      <c r="I282" s="87">
        <v>3430</v>
      </c>
      <c r="J282" s="85">
        <v>1077.96</v>
      </c>
      <c r="K282" s="87">
        <v>3430</v>
      </c>
      <c r="L282" s="85">
        <v>1077.731</v>
      </c>
      <c r="M282" s="87">
        <v>3430</v>
      </c>
      <c r="N282" s="85">
        <v>1077.751</v>
      </c>
      <c r="O282" s="87">
        <v>3410</v>
      </c>
      <c r="P282" s="85">
        <v>1078.9010000000001</v>
      </c>
      <c r="Q282" s="87">
        <v>3430</v>
      </c>
      <c r="R282" s="85">
        <v>1078.4829999999999</v>
      </c>
      <c r="S282" s="87">
        <v>3430</v>
      </c>
      <c r="T282" s="85">
        <v>1078.962</v>
      </c>
      <c r="U282" s="87">
        <v>3420</v>
      </c>
      <c r="V282" s="85">
        <v>1077.5250000000001</v>
      </c>
      <c r="W282" s="87">
        <v>3430</v>
      </c>
      <c r="X282" s="85">
        <v>1077.3689999999999</v>
      </c>
      <c r="Y282" s="87">
        <v>3430</v>
      </c>
      <c r="Z282" s="85">
        <v>1075.942</v>
      </c>
      <c r="AA282" s="87">
        <v>3430</v>
      </c>
      <c r="AB282" s="85">
        <v>1075.5940000000001</v>
      </c>
      <c r="AC282" s="87">
        <v>3420</v>
      </c>
      <c r="AD282" s="85">
        <v>999.73099999999999</v>
      </c>
      <c r="AE282" s="87">
        <v>3430</v>
      </c>
      <c r="AF282" s="85">
        <v>1000.931</v>
      </c>
      <c r="AG282" s="87">
        <v>3410</v>
      </c>
      <c r="AH282" s="85">
        <v>283.61500000000001</v>
      </c>
      <c r="AI282" s="87">
        <v>3410</v>
      </c>
      <c r="AJ282" s="85">
        <v>296.25400000000002</v>
      </c>
    </row>
    <row r="283" spans="1:36" ht="14.25" customHeight="1">
      <c r="A283" s="88">
        <v>3440</v>
      </c>
      <c r="B283" s="84">
        <v>594.70600000000002</v>
      </c>
      <c r="C283" s="88">
        <v>3450</v>
      </c>
      <c r="D283" s="85">
        <v>590.36199999999997</v>
      </c>
      <c r="E283" s="86">
        <v>3440</v>
      </c>
      <c r="F283" s="85">
        <v>1258.3530000000001</v>
      </c>
      <c r="G283" s="87">
        <v>3440</v>
      </c>
      <c r="H283" s="85">
        <v>1257.2</v>
      </c>
      <c r="I283" s="87">
        <v>3440</v>
      </c>
      <c r="J283" s="85">
        <v>1076.7619999999999</v>
      </c>
      <c r="K283" s="87">
        <v>3440</v>
      </c>
      <c r="L283" s="85">
        <v>1076.5329999999999</v>
      </c>
      <c r="M283" s="87">
        <v>3440</v>
      </c>
      <c r="N283" s="85">
        <v>1076.5540000000001</v>
      </c>
      <c r="O283" s="87">
        <v>3420</v>
      </c>
      <c r="P283" s="85">
        <v>1077.7049999999999</v>
      </c>
      <c r="Q283" s="87">
        <v>3440</v>
      </c>
      <c r="R283" s="85">
        <v>1077.287</v>
      </c>
      <c r="S283" s="87">
        <v>3440</v>
      </c>
      <c r="T283" s="85">
        <v>1077.7660000000001</v>
      </c>
      <c r="U283" s="87">
        <v>3430</v>
      </c>
      <c r="V283" s="85">
        <v>1076.3309999999999</v>
      </c>
      <c r="W283" s="87">
        <v>3440</v>
      </c>
      <c r="X283" s="85">
        <v>1076.174</v>
      </c>
      <c r="Y283" s="87">
        <v>3440</v>
      </c>
      <c r="Z283" s="85">
        <v>1074.7460000000001</v>
      </c>
      <c r="AA283" s="87">
        <v>3440</v>
      </c>
      <c r="AB283" s="85">
        <v>1074.4010000000001</v>
      </c>
      <c r="AC283" s="87">
        <v>3430</v>
      </c>
      <c r="AD283" s="85">
        <v>998.53700000000003</v>
      </c>
      <c r="AE283" s="87">
        <v>3440</v>
      </c>
      <c r="AF283" s="85">
        <v>999.73800000000006</v>
      </c>
      <c r="AG283" s="87">
        <v>3420</v>
      </c>
      <c r="AH283" s="85">
        <v>283.22500000000002</v>
      </c>
      <c r="AI283" s="87">
        <v>3420</v>
      </c>
      <c r="AJ283" s="85">
        <v>295.85000000000002</v>
      </c>
    </row>
    <row r="284" spans="1:36" ht="14.25" customHeight="1">
      <c r="A284" s="88">
        <v>3450</v>
      </c>
      <c r="B284" s="84">
        <v>593.91499999999996</v>
      </c>
      <c r="C284" s="88">
        <v>3460</v>
      </c>
      <c r="D284" s="85">
        <v>589.577</v>
      </c>
      <c r="E284" s="86">
        <v>3450</v>
      </c>
      <c r="F284" s="85">
        <v>1256.865</v>
      </c>
      <c r="G284" s="87">
        <v>3450</v>
      </c>
      <c r="H284" s="85">
        <v>1255.7149999999999</v>
      </c>
      <c r="I284" s="87">
        <v>3450</v>
      </c>
      <c r="J284" s="85">
        <v>1075.5650000000001</v>
      </c>
      <c r="K284" s="87">
        <v>3450</v>
      </c>
      <c r="L284" s="85">
        <v>1075.335</v>
      </c>
      <c r="M284" s="87">
        <v>3450</v>
      </c>
      <c r="N284" s="85">
        <v>1075.356</v>
      </c>
      <c r="O284" s="87">
        <v>3430</v>
      </c>
      <c r="P284" s="85">
        <v>1076.508</v>
      </c>
      <c r="Q284" s="87">
        <v>3450</v>
      </c>
      <c r="R284" s="85">
        <v>1076.0889999999999</v>
      </c>
      <c r="S284" s="87">
        <v>3450</v>
      </c>
      <c r="T284" s="85">
        <v>1076.569</v>
      </c>
      <c r="U284" s="87">
        <v>3440</v>
      </c>
      <c r="V284" s="85">
        <v>1075.1369999999999</v>
      </c>
      <c r="W284" s="87">
        <v>3450</v>
      </c>
      <c r="X284" s="85">
        <v>1074.979</v>
      </c>
      <c r="Y284" s="87">
        <v>3450</v>
      </c>
      <c r="Z284" s="85">
        <v>1073.5509999999999</v>
      </c>
      <c r="AA284" s="87">
        <v>3450</v>
      </c>
      <c r="AB284" s="85">
        <v>1073.2080000000001</v>
      </c>
      <c r="AC284" s="87">
        <v>3440</v>
      </c>
      <c r="AD284" s="85">
        <v>997.34199999999998</v>
      </c>
      <c r="AE284" s="87">
        <v>3450</v>
      </c>
      <c r="AF284" s="85">
        <v>998.54399999999998</v>
      </c>
      <c r="AG284" s="87">
        <v>3430</v>
      </c>
      <c r="AH284" s="85">
        <v>282.83499999999998</v>
      </c>
      <c r="AI284" s="87">
        <v>3430</v>
      </c>
      <c r="AJ284" s="85">
        <v>295.44499999999999</v>
      </c>
    </row>
    <row r="285" spans="1:36" ht="14.25" customHeight="1">
      <c r="A285" s="88">
        <v>3460</v>
      </c>
      <c r="B285" s="84">
        <v>593.12400000000002</v>
      </c>
      <c r="C285" s="88">
        <v>3470</v>
      </c>
      <c r="D285" s="85">
        <v>588.79200000000003</v>
      </c>
      <c r="E285" s="86">
        <v>3460</v>
      </c>
      <c r="F285" s="85">
        <v>1255.376</v>
      </c>
      <c r="G285" s="87">
        <v>3460</v>
      </c>
      <c r="H285" s="85">
        <v>1254.23</v>
      </c>
      <c r="I285" s="87">
        <v>3460</v>
      </c>
      <c r="J285" s="85">
        <v>1074.367</v>
      </c>
      <c r="K285" s="87">
        <v>3460</v>
      </c>
      <c r="L285" s="85">
        <v>1074.1369999999999</v>
      </c>
      <c r="M285" s="87">
        <v>3460</v>
      </c>
      <c r="N285" s="85">
        <v>1074.1590000000001</v>
      </c>
      <c r="O285" s="87">
        <v>3440</v>
      </c>
      <c r="P285" s="85">
        <v>1075.31</v>
      </c>
      <c r="Q285" s="87">
        <v>3460</v>
      </c>
      <c r="R285" s="85">
        <v>1074.8920000000001</v>
      </c>
      <c r="S285" s="87">
        <v>3460</v>
      </c>
      <c r="T285" s="85">
        <v>1075.373</v>
      </c>
      <c r="U285" s="87">
        <v>3450</v>
      </c>
      <c r="V285" s="85">
        <v>1073.942</v>
      </c>
      <c r="W285" s="87">
        <v>3460</v>
      </c>
      <c r="X285" s="85">
        <v>1073.7840000000001</v>
      </c>
      <c r="Y285" s="87">
        <v>3460</v>
      </c>
      <c r="Z285" s="85">
        <v>1072.355</v>
      </c>
      <c r="AA285" s="87">
        <v>3460</v>
      </c>
      <c r="AB285" s="85">
        <v>1072.0139999999999</v>
      </c>
      <c r="AC285" s="87">
        <v>3450</v>
      </c>
      <c r="AD285" s="85">
        <v>996.14700000000005</v>
      </c>
      <c r="AE285" s="87">
        <v>3460</v>
      </c>
      <c r="AF285" s="85">
        <v>997.35</v>
      </c>
      <c r="AG285" s="87">
        <v>3440</v>
      </c>
      <c r="AH285" s="85">
        <v>282.44400000000002</v>
      </c>
      <c r="AI285" s="87">
        <v>3440</v>
      </c>
      <c r="AJ285" s="85">
        <v>295.041</v>
      </c>
    </row>
    <row r="286" spans="1:36" ht="14.25" customHeight="1">
      <c r="A286" s="88">
        <v>3470</v>
      </c>
      <c r="B286" s="84">
        <v>592.33299999999997</v>
      </c>
      <c r="C286" s="88">
        <v>3480</v>
      </c>
      <c r="D286" s="92">
        <v>588.00699999999995</v>
      </c>
      <c r="E286" s="86">
        <v>3470</v>
      </c>
      <c r="F286" s="85">
        <v>1253.8869999999999</v>
      </c>
      <c r="G286" s="87">
        <v>3470</v>
      </c>
      <c r="H286" s="85">
        <v>1252.7449999999999</v>
      </c>
      <c r="I286" s="87">
        <v>3470</v>
      </c>
      <c r="J286" s="85">
        <v>1073.1690000000001</v>
      </c>
      <c r="K286" s="87">
        <v>3470</v>
      </c>
      <c r="L286" s="85">
        <v>1072.9380000000001</v>
      </c>
      <c r="M286" s="87">
        <v>3470</v>
      </c>
      <c r="N286" s="85">
        <v>1072.961</v>
      </c>
      <c r="O286" s="87">
        <v>3450</v>
      </c>
      <c r="P286" s="85">
        <v>1074.1130000000001</v>
      </c>
      <c r="Q286" s="87">
        <v>3470</v>
      </c>
      <c r="R286" s="85">
        <v>1073.694</v>
      </c>
      <c r="S286" s="87">
        <v>3470</v>
      </c>
      <c r="T286" s="85">
        <v>1074.1759999999999</v>
      </c>
      <c r="U286" s="87">
        <v>3460</v>
      </c>
      <c r="V286" s="85">
        <v>1072.7470000000001</v>
      </c>
      <c r="W286" s="87">
        <v>3470</v>
      </c>
      <c r="X286" s="85">
        <v>1072.5889999999999</v>
      </c>
      <c r="Y286" s="87">
        <v>3470</v>
      </c>
      <c r="Z286" s="85">
        <v>1071.1590000000001</v>
      </c>
      <c r="AA286" s="87">
        <v>3470</v>
      </c>
      <c r="AB286" s="85">
        <v>1070.82</v>
      </c>
      <c r="AC286" s="87">
        <v>3460</v>
      </c>
      <c r="AD286" s="85">
        <v>994.95100000000002</v>
      </c>
      <c r="AE286" s="87">
        <v>3470</v>
      </c>
      <c r="AF286" s="85">
        <v>996.15599999999995</v>
      </c>
      <c r="AG286" s="87">
        <v>3450</v>
      </c>
      <c r="AH286" s="85">
        <v>282.05399999999997</v>
      </c>
      <c r="AI286" s="87">
        <v>3450</v>
      </c>
      <c r="AJ286" s="85">
        <v>294.63600000000002</v>
      </c>
    </row>
    <row r="287" spans="1:36" ht="14.25" customHeight="1">
      <c r="A287" s="88">
        <v>3480</v>
      </c>
      <c r="B287" s="84">
        <v>591.54200000000003</v>
      </c>
      <c r="C287" s="88">
        <v>3490</v>
      </c>
      <c r="D287" s="85">
        <v>587.22199999999998</v>
      </c>
      <c r="E287" s="86">
        <v>3480</v>
      </c>
      <c r="F287" s="85">
        <v>1252.3979999999999</v>
      </c>
      <c r="G287" s="87">
        <v>3480</v>
      </c>
      <c r="H287" s="85">
        <v>1251.259</v>
      </c>
      <c r="I287" s="87">
        <v>3480</v>
      </c>
      <c r="J287" s="85">
        <v>1071.971</v>
      </c>
      <c r="K287" s="87">
        <v>3480</v>
      </c>
      <c r="L287" s="85">
        <v>1071.739</v>
      </c>
      <c r="M287" s="87">
        <v>3480</v>
      </c>
      <c r="N287" s="85">
        <v>1071.7619999999999</v>
      </c>
      <c r="O287" s="87">
        <v>3460</v>
      </c>
      <c r="P287" s="85">
        <v>1072.915</v>
      </c>
      <c r="Q287" s="87">
        <v>3480</v>
      </c>
      <c r="R287" s="85">
        <v>1072.4970000000001</v>
      </c>
      <c r="S287" s="87">
        <v>3480</v>
      </c>
      <c r="T287" s="85">
        <v>1072.9780000000001</v>
      </c>
      <c r="U287" s="87">
        <v>3470</v>
      </c>
      <c r="V287" s="85">
        <v>1071.5519999999999</v>
      </c>
      <c r="W287" s="87">
        <v>3480</v>
      </c>
      <c r="X287" s="85">
        <v>1071.393</v>
      </c>
      <c r="Y287" s="87">
        <v>3480</v>
      </c>
      <c r="Z287" s="85">
        <v>1069.963</v>
      </c>
      <c r="AA287" s="87">
        <v>3480</v>
      </c>
      <c r="AB287" s="85">
        <v>1069.626</v>
      </c>
      <c r="AC287" s="87">
        <v>3470</v>
      </c>
      <c r="AD287" s="85">
        <v>993.755</v>
      </c>
      <c r="AE287" s="87">
        <v>3480</v>
      </c>
      <c r="AF287" s="85">
        <v>994.96199999999999</v>
      </c>
      <c r="AG287" s="87">
        <v>3460</v>
      </c>
      <c r="AH287" s="85">
        <v>281.66300000000001</v>
      </c>
      <c r="AI287" s="87">
        <v>3460</v>
      </c>
      <c r="AJ287" s="85">
        <v>294.23099999999999</v>
      </c>
    </row>
    <row r="288" spans="1:36" ht="14.25" customHeight="1">
      <c r="A288" s="88">
        <v>3490</v>
      </c>
      <c r="B288" s="84">
        <v>590.75</v>
      </c>
      <c r="C288" s="88">
        <v>3500</v>
      </c>
      <c r="D288" s="85">
        <v>586.43600000000004</v>
      </c>
      <c r="E288" s="86">
        <v>3490</v>
      </c>
      <c r="F288" s="85">
        <v>1250.9090000000001</v>
      </c>
      <c r="G288" s="87">
        <v>3490</v>
      </c>
      <c r="H288" s="85">
        <v>1249.7729999999999</v>
      </c>
      <c r="I288" s="87">
        <v>3490</v>
      </c>
      <c r="J288" s="85">
        <v>1070.7719999999999</v>
      </c>
      <c r="K288" s="87">
        <v>3490</v>
      </c>
      <c r="L288" s="85">
        <v>1070.54</v>
      </c>
      <c r="M288" s="87">
        <v>3490</v>
      </c>
      <c r="N288" s="85">
        <v>1070.5640000000001</v>
      </c>
      <c r="O288" s="87">
        <v>3470</v>
      </c>
      <c r="P288" s="85">
        <v>1071.7170000000001</v>
      </c>
      <c r="Q288" s="87">
        <v>3490</v>
      </c>
      <c r="R288" s="85">
        <v>1071.298</v>
      </c>
      <c r="S288" s="87">
        <v>3490</v>
      </c>
      <c r="T288" s="85">
        <v>1071.7809999999999</v>
      </c>
      <c r="U288" s="87">
        <v>3480</v>
      </c>
      <c r="V288" s="85">
        <v>1070.357</v>
      </c>
      <c r="W288" s="87">
        <v>3490</v>
      </c>
      <c r="X288" s="85">
        <v>1070.1969999999999</v>
      </c>
      <c r="Y288" s="87">
        <v>3490</v>
      </c>
      <c r="Z288" s="85">
        <v>1068.7660000000001</v>
      </c>
      <c r="AA288" s="87">
        <v>3490</v>
      </c>
      <c r="AB288" s="85">
        <v>1068.432</v>
      </c>
      <c r="AC288" s="87">
        <v>3480</v>
      </c>
      <c r="AD288" s="85">
        <v>992.56</v>
      </c>
      <c r="AE288" s="87">
        <v>3490</v>
      </c>
      <c r="AF288" s="85">
        <v>993.76700000000005</v>
      </c>
      <c r="AG288" s="87">
        <v>3470</v>
      </c>
      <c r="AH288" s="85">
        <v>281.27199999999999</v>
      </c>
      <c r="AI288" s="87">
        <v>3470</v>
      </c>
      <c r="AJ288" s="85">
        <v>293.827</v>
      </c>
    </row>
    <row r="289" spans="1:36" ht="14.25" customHeight="1">
      <c r="A289" s="88">
        <v>3500</v>
      </c>
      <c r="B289" s="84">
        <v>589.95899999999995</v>
      </c>
      <c r="C289" s="88">
        <v>3510</v>
      </c>
      <c r="D289" s="85">
        <v>585.65</v>
      </c>
      <c r="E289" s="86">
        <v>3500</v>
      </c>
      <c r="F289" s="85">
        <v>1249.4190000000001</v>
      </c>
      <c r="G289" s="87">
        <v>3500</v>
      </c>
      <c r="H289" s="85">
        <v>1248.2860000000001</v>
      </c>
      <c r="I289" s="87">
        <v>3500</v>
      </c>
      <c r="J289" s="85">
        <v>1069.5730000000001</v>
      </c>
      <c r="K289" s="87">
        <v>3500</v>
      </c>
      <c r="L289" s="85">
        <v>1069.3409999999999</v>
      </c>
      <c r="M289" s="87">
        <v>3500</v>
      </c>
      <c r="N289" s="85">
        <v>1069.365</v>
      </c>
      <c r="O289" s="87">
        <v>3480</v>
      </c>
      <c r="P289" s="85">
        <v>1070.519</v>
      </c>
      <c r="Q289" s="87">
        <v>3500</v>
      </c>
      <c r="R289" s="85">
        <v>1070.0999999999999</v>
      </c>
      <c r="S289" s="87">
        <v>3500</v>
      </c>
      <c r="T289" s="85">
        <v>1070.5830000000001</v>
      </c>
      <c r="U289" s="87">
        <v>3490</v>
      </c>
      <c r="V289" s="85">
        <v>1069.1610000000001</v>
      </c>
      <c r="W289" s="87">
        <v>3500</v>
      </c>
      <c r="X289" s="85">
        <v>1069.001</v>
      </c>
      <c r="Y289" s="87">
        <v>3500</v>
      </c>
      <c r="Z289" s="85">
        <v>1067.57</v>
      </c>
      <c r="AA289" s="87">
        <v>3500</v>
      </c>
      <c r="AB289" s="85">
        <v>1067.2370000000001</v>
      </c>
      <c r="AC289" s="87">
        <v>3490</v>
      </c>
      <c r="AD289" s="85">
        <v>991.36300000000006</v>
      </c>
      <c r="AE289" s="87">
        <v>3500</v>
      </c>
      <c r="AF289" s="85">
        <v>992.572</v>
      </c>
      <c r="AG289" s="87">
        <v>3480</v>
      </c>
      <c r="AH289" s="85">
        <v>280.88099999999997</v>
      </c>
      <c r="AI289" s="87">
        <v>3480</v>
      </c>
      <c r="AJ289" s="85">
        <v>293.42200000000003</v>
      </c>
    </row>
    <row r="290" spans="1:36" ht="14.25" customHeight="1">
      <c r="A290" s="88">
        <v>3510</v>
      </c>
      <c r="B290" s="84">
        <v>589.16700000000003</v>
      </c>
      <c r="C290" s="88">
        <v>3520</v>
      </c>
      <c r="D290" s="85">
        <v>584.86400000000003</v>
      </c>
      <c r="E290" s="86">
        <v>3510</v>
      </c>
      <c r="F290" s="85">
        <v>1247.9290000000001</v>
      </c>
      <c r="G290" s="87">
        <v>3510</v>
      </c>
      <c r="H290" s="85">
        <v>1246.8</v>
      </c>
      <c r="I290" s="87">
        <v>3510</v>
      </c>
      <c r="J290" s="85">
        <v>1068.374</v>
      </c>
      <c r="K290" s="87">
        <v>3510</v>
      </c>
      <c r="L290" s="85">
        <v>1068.1410000000001</v>
      </c>
      <c r="M290" s="87">
        <v>3510</v>
      </c>
      <c r="N290" s="85">
        <v>1068.1659999999999</v>
      </c>
      <c r="O290" s="87">
        <v>3490</v>
      </c>
      <c r="P290" s="85">
        <v>1069.32</v>
      </c>
      <c r="Q290" s="87">
        <v>3510</v>
      </c>
      <c r="R290" s="85">
        <v>1068.9010000000001</v>
      </c>
      <c r="S290" s="87">
        <v>3510</v>
      </c>
      <c r="T290" s="85">
        <v>1069.385</v>
      </c>
      <c r="U290" s="87">
        <v>3500</v>
      </c>
      <c r="V290" s="85">
        <v>1067.9649999999999</v>
      </c>
      <c r="W290" s="87">
        <v>3510</v>
      </c>
      <c r="X290" s="85">
        <v>1067.8040000000001</v>
      </c>
      <c r="Y290" s="87">
        <v>3510</v>
      </c>
      <c r="Z290" s="85">
        <v>1066.373</v>
      </c>
      <c r="AA290" s="87">
        <v>3510</v>
      </c>
      <c r="AB290" s="85">
        <v>1066.0419999999999</v>
      </c>
      <c r="AC290" s="87">
        <v>3500</v>
      </c>
      <c r="AD290" s="85">
        <v>990.16700000000003</v>
      </c>
      <c r="AE290" s="87">
        <v>3510</v>
      </c>
      <c r="AF290" s="85">
        <v>991.37699999999995</v>
      </c>
      <c r="AG290" s="87">
        <v>3490</v>
      </c>
      <c r="AH290" s="85">
        <v>280.49</v>
      </c>
      <c r="AI290" s="87">
        <v>3490</v>
      </c>
      <c r="AJ290" s="85">
        <v>293.017</v>
      </c>
    </row>
    <row r="291" spans="1:36" ht="14.25" customHeight="1">
      <c r="A291" s="88">
        <v>3520</v>
      </c>
      <c r="B291" s="84">
        <v>588.375</v>
      </c>
      <c r="C291" s="88">
        <v>3530</v>
      </c>
      <c r="D291" s="85">
        <v>584.07799999999997</v>
      </c>
      <c r="E291" s="86">
        <v>3520</v>
      </c>
      <c r="F291" s="85">
        <v>1246.4390000000001</v>
      </c>
      <c r="G291" s="87">
        <v>3520</v>
      </c>
      <c r="H291" s="85">
        <v>1245.3119999999999</v>
      </c>
      <c r="I291" s="87">
        <v>3520</v>
      </c>
      <c r="J291" s="85">
        <v>1067.175</v>
      </c>
      <c r="K291" s="87">
        <v>3520</v>
      </c>
      <c r="L291" s="85">
        <v>1066.941</v>
      </c>
      <c r="M291" s="87">
        <v>3520</v>
      </c>
      <c r="N291" s="85">
        <v>1066.9670000000001</v>
      </c>
      <c r="O291" s="87">
        <v>3500</v>
      </c>
      <c r="P291" s="85">
        <v>1068.1220000000001</v>
      </c>
      <c r="Q291" s="87">
        <v>3520</v>
      </c>
      <c r="R291" s="85">
        <v>1067.703</v>
      </c>
      <c r="S291" s="87">
        <v>3520</v>
      </c>
      <c r="T291" s="85">
        <v>1068.1869999999999</v>
      </c>
      <c r="U291" s="87">
        <v>3510</v>
      </c>
      <c r="V291" s="85">
        <v>1066.769</v>
      </c>
      <c r="W291" s="87">
        <v>3520</v>
      </c>
      <c r="X291" s="85">
        <v>1066.6079999999999</v>
      </c>
      <c r="Y291" s="87">
        <v>3520</v>
      </c>
      <c r="Z291" s="85">
        <v>1065.1759999999999</v>
      </c>
      <c r="AA291" s="87">
        <v>3520</v>
      </c>
      <c r="AB291" s="85">
        <v>1064.847</v>
      </c>
      <c r="AC291" s="87">
        <v>3510</v>
      </c>
      <c r="AD291" s="85">
        <v>988.97</v>
      </c>
      <c r="AE291" s="87">
        <v>3520</v>
      </c>
      <c r="AF291" s="85">
        <v>990.18200000000002</v>
      </c>
      <c r="AG291" s="87">
        <v>3500</v>
      </c>
      <c r="AH291" s="85">
        <v>280.09899999999999</v>
      </c>
      <c r="AI291" s="87">
        <v>3500</v>
      </c>
      <c r="AJ291" s="85">
        <v>292.61200000000002</v>
      </c>
    </row>
    <row r="292" spans="1:36" ht="14.25" customHeight="1">
      <c r="A292" s="88">
        <v>3530</v>
      </c>
      <c r="B292" s="84">
        <v>587.58299999999997</v>
      </c>
      <c r="C292" s="88">
        <v>3540</v>
      </c>
      <c r="D292" s="85">
        <v>583.29200000000003</v>
      </c>
      <c r="E292" s="86">
        <v>3530</v>
      </c>
      <c r="F292" s="85">
        <v>1244.9480000000001</v>
      </c>
      <c r="G292" s="87">
        <v>3530</v>
      </c>
      <c r="H292" s="85">
        <v>1243.825</v>
      </c>
      <c r="I292" s="87">
        <v>3530</v>
      </c>
      <c r="J292" s="85">
        <v>1065.9760000000001</v>
      </c>
      <c r="K292" s="87">
        <v>3530</v>
      </c>
      <c r="L292" s="85">
        <v>1065.741</v>
      </c>
      <c r="M292" s="87">
        <v>3530</v>
      </c>
      <c r="N292" s="85">
        <v>1065.768</v>
      </c>
      <c r="O292" s="87">
        <v>3510</v>
      </c>
      <c r="P292" s="85">
        <v>1066.923</v>
      </c>
      <c r="Q292" s="87">
        <v>3530</v>
      </c>
      <c r="R292" s="85">
        <v>1066.5039999999999</v>
      </c>
      <c r="S292" s="87">
        <v>3530</v>
      </c>
      <c r="T292" s="85">
        <v>1066.989</v>
      </c>
      <c r="U292" s="87">
        <v>3520</v>
      </c>
      <c r="V292" s="85">
        <v>1065.5730000000001</v>
      </c>
      <c r="W292" s="87">
        <v>3530</v>
      </c>
      <c r="X292" s="85">
        <v>1065.4110000000001</v>
      </c>
      <c r="Y292" s="87">
        <v>3530</v>
      </c>
      <c r="Z292" s="85">
        <v>1063.9780000000001</v>
      </c>
      <c r="AA292" s="87">
        <v>3530</v>
      </c>
      <c r="AB292" s="85">
        <v>1063.652</v>
      </c>
      <c r="AC292" s="87">
        <v>3520</v>
      </c>
      <c r="AD292" s="85">
        <v>987.77300000000002</v>
      </c>
      <c r="AE292" s="87">
        <v>3530</v>
      </c>
      <c r="AF292" s="85">
        <v>988.98599999999999</v>
      </c>
      <c r="AG292" s="87">
        <v>3510</v>
      </c>
      <c r="AH292" s="85">
        <v>279.70800000000003</v>
      </c>
      <c r="AI292" s="87">
        <v>3510</v>
      </c>
      <c r="AJ292" s="85">
        <v>292.20699999999999</v>
      </c>
    </row>
    <row r="293" spans="1:36" ht="14.25" customHeight="1">
      <c r="A293" s="88">
        <v>3540</v>
      </c>
      <c r="B293" s="84">
        <v>586.79</v>
      </c>
      <c r="C293" s="88">
        <v>3550</v>
      </c>
      <c r="D293" s="85">
        <v>582.505</v>
      </c>
      <c r="E293" s="86">
        <v>3540</v>
      </c>
      <c r="F293" s="85">
        <v>1243.4570000000001</v>
      </c>
      <c r="G293" s="87">
        <v>3540</v>
      </c>
      <c r="H293" s="85">
        <v>1242.337</v>
      </c>
      <c r="I293" s="87">
        <v>3540</v>
      </c>
      <c r="J293" s="85">
        <v>1064.7760000000001</v>
      </c>
      <c r="K293" s="87">
        <v>3540</v>
      </c>
      <c r="L293" s="85">
        <v>1064.5409999999999</v>
      </c>
      <c r="M293" s="87">
        <v>3540</v>
      </c>
      <c r="N293" s="85">
        <v>1064.568</v>
      </c>
      <c r="O293" s="87">
        <v>3520</v>
      </c>
      <c r="P293" s="85">
        <v>1065.7239999999999</v>
      </c>
      <c r="Q293" s="87">
        <v>3540</v>
      </c>
      <c r="R293" s="85">
        <v>1065.3040000000001</v>
      </c>
      <c r="S293" s="87">
        <v>3540</v>
      </c>
      <c r="T293" s="85">
        <v>1065.79</v>
      </c>
      <c r="U293" s="87">
        <v>3530</v>
      </c>
      <c r="V293" s="85">
        <v>1064.376</v>
      </c>
      <c r="W293" s="87">
        <v>3540</v>
      </c>
      <c r="X293" s="85">
        <v>1064.2139999999999</v>
      </c>
      <c r="Y293" s="87">
        <v>3540</v>
      </c>
      <c r="Z293" s="85">
        <v>1062.7809999999999</v>
      </c>
      <c r="AA293" s="87">
        <v>3540</v>
      </c>
      <c r="AB293" s="85">
        <v>1062.4559999999999</v>
      </c>
      <c r="AC293" s="87">
        <v>3530</v>
      </c>
      <c r="AD293" s="85">
        <v>986.57600000000002</v>
      </c>
      <c r="AE293" s="87">
        <v>3540</v>
      </c>
      <c r="AF293" s="85">
        <v>987.79100000000005</v>
      </c>
      <c r="AG293" s="87">
        <v>3520</v>
      </c>
      <c r="AH293" s="85">
        <v>279.31700000000001</v>
      </c>
      <c r="AI293" s="87">
        <v>3520</v>
      </c>
      <c r="AJ293" s="85">
        <v>291.80099999999999</v>
      </c>
    </row>
    <row r="294" spans="1:36" ht="14.25" customHeight="1">
      <c r="A294" s="88">
        <v>3550</v>
      </c>
      <c r="B294" s="84">
        <v>585.99800000000005</v>
      </c>
      <c r="C294" s="88">
        <v>3560</v>
      </c>
      <c r="D294" s="85">
        <v>581.71799999999996</v>
      </c>
      <c r="E294" s="86">
        <v>3550</v>
      </c>
      <c r="F294" s="85">
        <v>1241.9659999999999</v>
      </c>
      <c r="G294" s="87">
        <v>3550</v>
      </c>
      <c r="H294" s="85">
        <v>1240.8499999999999</v>
      </c>
      <c r="I294" s="87">
        <v>3550</v>
      </c>
      <c r="J294" s="85">
        <v>1063.576</v>
      </c>
      <c r="K294" s="87">
        <v>3550</v>
      </c>
      <c r="L294" s="85">
        <v>1063.3399999999999</v>
      </c>
      <c r="M294" s="87">
        <v>3550</v>
      </c>
      <c r="N294" s="85">
        <v>1063.3679999999999</v>
      </c>
      <c r="O294" s="87">
        <v>3530</v>
      </c>
      <c r="P294" s="85">
        <v>1064.5239999999999</v>
      </c>
      <c r="Q294" s="87">
        <v>3550</v>
      </c>
      <c r="R294" s="85">
        <v>1064.105</v>
      </c>
      <c r="S294" s="87">
        <v>3550</v>
      </c>
      <c r="T294" s="85">
        <v>1064.5909999999999</v>
      </c>
      <c r="U294" s="87">
        <v>3540</v>
      </c>
      <c r="V294" s="85">
        <v>1063.1790000000001</v>
      </c>
      <c r="W294" s="87">
        <v>3550</v>
      </c>
      <c r="X294" s="85">
        <v>1063.0160000000001</v>
      </c>
      <c r="Y294" s="87">
        <v>3550</v>
      </c>
      <c r="Z294" s="85">
        <v>1061.5830000000001</v>
      </c>
      <c r="AA294" s="87">
        <v>3550</v>
      </c>
      <c r="AB294" s="85">
        <v>1061.26</v>
      </c>
      <c r="AC294" s="87">
        <v>3540</v>
      </c>
      <c r="AD294" s="85">
        <v>985.37900000000002</v>
      </c>
      <c r="AE294" s="87">
        <v>3550</v>
      </c>
      <c r="AF294" s="85">
        <v>986.59400000000005</v>
      </c>
      <c r="AG294" s="87">
        <v>3530</v>
      </c>
      <c r="AH294" s="85">
        <v>278.92599999999999</v>
      </c>
      <c r="AI294" s="87">
        <v>3530</v>
      </c>
      <c r="AJ294" s="85">
        <v>291.39600000000002</v>
      </c>
    </row>
    <row r="295" spans="1:36" ht="14.25" customHeight="1">
      <c r="A295" s="88">
        <v>3560</v>
      </c>
      <c r="B295" s="84">
        <v>585.20500000000004</v>
      </c>
      <c r="C295" s="88">
        <v>3570</v>
      </c>
      <c r="D295" s="85">
        <v>580.93100000000004</v>
      </c>
      <c r="E295" s="86">
        <v>3560</v>
      </c>
      <c r="F295" s="85">
        <v>1240.4739999999999</v>
      </c>
      <c r="G295" s="87">
        <v>3560</v>
      </c>
      <c r="H295" s="85">
        <v>1239.3610000000001</v>
      </c>
      <c r="I295" s="87">
        <v>3560</v>
      </c>
      <c r="J295" s="85">
        <v>1062.376</v>
      </c>
      <c r="K295" s="87">
        <v>3560</v>
      </c>
      <c r="L295" s="85">
        <v>1062.1389999999999</v>
      </c>
      <c r="M295" s="87">
        <v>3560</v>
      </c>
      <c r="N295" s="85">
        <v>1062.1679999999999</v>
      </c>
      <c r="O295" s="87">
        <v>3540</v>
      </c>
      <c r="P295" s="85">
        <v>1063.325</v>
      </c>
      <c r="Q295" s="87">
        <v>3560</v>
      </c>
      <c r="R295" s="85">
        <v>1062.905</v>
      </c>
      <c r="S295" s="87">
        <v>3560</v>
      </c>
      <c r="T295" s="85">
        <v>1063.3920000000001</v>
      </c>
      <c r="U295" s="87">
        <v>3550</v>
      </c>
      <c r="V295" s="85">
        <v>1061.982</v>
      </c>
      <c r="W295" s="87">
        <v>3560</v>
      </c>
      <c r="X295" s="85">
        <v>1061.818</v>
      </c>
      <c r="Y295" s="87">
        <v>3560</v>
      </c>
      <c r="Z295" s="85">
        <v>1060.385</v>
      </c>
      <c r="AA295" s="87">
        <v>3560</v>
      </c>
      <c r="AB295" s="85">
        <v>1060.0640000000001</v>
      </c>
      <c r="AC295" s="87">
        <v>3550</v>
      </c>
      <c r="AD295" s="85">
        <v>984.18100000000004</v>
      </c>
      <c r="AE295" s="87">
        <v>3560</v>
      </c>
      <c r="AF295" s="85">
        <v>985.39800000000002</v>
      </c>
      <c r="AG295" s="87">
        <v>3540</v>
      </c>
      <c r="AH295" s="85">
        <v>278.53399999999999</v>
      </c>
      <c r="AI295" s="87">
        <v>3540</v>
      </c>
      <c r="AJ295" s="85">
        <v>290.99099999999999</v>
      </c>
    </row>
    <row r="296" spans="1:36" ht="14.25" customHeight="1">
      <c r="A296" s="88">
        <v>3570</v>
      </c>
      <c r="B296" s="84">
        <v>584.41200000000003</v>
      </c>
      <c r="C296" s="88">
        <v>3580</v>
      </c>
      <c r="D296" s="85">
        <v>580.14400000000001</v>
      </c>
      <c r="E296" s="86">
        <v>3570</v>
      </c>
      <c r="F296" s="85">
        <v>1238.9829999999999</v>
      </c>
      <c r="G296" s="87">
        <v>3570</v>
      </c>
      <c r="H296" s="85">
        <v>1237.873</v>
      </c>
      <c r="I296" s="87">
        <v>3570</v>
      </c>
      <c r="J296" s="85">
        <v>1061.1759999999999</v>
      </c>
      <c r="K296" s="87">
        <v>3570</v>
      </c>
      <c r="L296" s="85">
        <v>1060.9380000000001</v>
      </c>
      <c r="M296" s="87">
        <v>3570</v>
      </c>
      <c r="N296" s="85">
        <v>1060.9680000000001</v>
      </c>
      <c r="O296" s="87">
        <v>3550</v>
      </c>
      <c r="P296" s="85">
        <v>1062.125</v>
      </c>
      <c r="Q296" s="87">
        <v>3570</v>
      </c>
      <c r="R296" s="85">
        <v>1061.7049999999999</v>
      </c>
      <c r="S296" s="87">
        <v>3570</v>
      </c>
      <c r="T296" s="85">
        <v>1062.192</v>
      </c>
      <c r="U296" s="87">
        <v>3560</v>
      </c>
      <c r="V296" s="85">
        <v>1060.7850000000001</v>
      </c>
      <c r="W296" s="87">
        <v>3570</v>
      </c>
      <c r="X296" s="85">
        <v>1060.6210000000001</v>
      </c>
      <c r="Y296" s="87">
        <v>3570</v>
      </c>
      <c r="Z296" s="85">
        <v>1059.1859999999999</v>
      </c>
      <c r="AA296" s="87">
        <v>3570</v>
      </c>
      <c r="AB296" s="85">
        <v>1058.8679999999999</v>
      </c>
      <c r="AC296" s="87">
        <v>3560</v>
      </c>
      <c r="AD296" s="85">
        <v>982.98400000000004</v>
      </c>
      <c r="AE296" s="87">
        <v>3570</v>
      </c>
      <c r="AF296" s="85">
        <v>984.202</v>
      </c>
      <c r="AG296" s="87">
        <v>3550</v>
      </c>
      <c r="AH296" s="85">
        <v>278.14299999999997</v>
      </c>
      <c r="AI296" s="87">
        <v>3550</v>
      </c>
      <c r="AJ296" s="85">
        <v>290.58499999999998</v>
      </c>
    </row>
    <row r="297" spans="1:36" ht="14.25" customHeight="1">
      <c r="A297" s="88">
        <v>3580</v>
      </c>
      <c r="B297" s="84">
        <v>583.61900000000003</v>
      </c>
      <c r="C297" s="88">
        <v>3590</v>
      </c>
      <c r="D297" s="85">
        <v>579.35699999999997</v>
      </c>
      <c r="E297" s="86">
        <v>3580</v>
      </c>
      <c r="F297" s="85">
        <v>1237.49</v>
      </c>
      <c r="G297" s="87">
        <v>3580</v>
      </c>
      <c r="H297" s="85">
        <v>1236.384</v>
      </c>
      <c r="I297" s="87">
        <v>3580</v>
      </c>
      <c r="J297" s="85">
        <v>1059.9749999999999</v>
      </c>
      <c r="K297" s="87">
        <v>3580</v>
      </c>
      <c r="L297" s="85">
        <v>1059.7370000000001</v>
      </c>
      <c r="M297" s="87">
        <v>3580</v>
      </c>
      <c r="N297" s="85">
        <v>1059.7670000000001</v>
      </c>
      <c r="O297" s="87">
        <v>3560</v>
      </c>
      <c r="P297" s="85">
        <v>1060.925</v>
      </c>
      <c r="Q297" s="87">
        <v>3580</v>
      </c>
      <c r="R297" s="85">
        <v>1060.5050000000001</v>
      </c>
      <c r="S297" s="87">
        <v>3580</v>
      </c>
      <c r="T297" s="85">
        <v>1060.9929999999999</v>
      </c>
      <c r="U297" s="87">
        <v>3570</v>
      </c>
      <c r="V297" s="85">
        <v>1059.587</v>
      </c>
      <c r="W297" s="87">
        <v>3580</v>
      </c>
      <c r="X297" s="85">
        <v>1059.422</v>
      </c>
      <c r="Y297" s="87">
        <v>3580</v>
      </c>
      <c r="Z297" s="85">
        <v>1057.9880000000001</v>
      </c>
      <c r="AA297" s="87">
        <v>3580</v>
      </c>
      <c r="AB297" s="85">
        <v>1057.671</v>
      </c>
      <c r="AC297" s="87">
        <v>3570</v>
      </c>
      <c r="AD297" s="85">
        <v>981.78499999999997</v>
      </c>
      <c r="AE297" s="87">
        <v>3580</v>
      </c>
      <c r="AF297" s="85">
        <v>983.005</v>
      </c>
      <c r="AG297" s="87">
        <v>3560</v>
      </c>
      <c r="AH297" s="85">
        <v>277.75099999999998</v>
      </c>
      <c r="AI297" s="87">
        <v>3560</v>
      </c>
      <c r="AJ297" s="85">
        <v>290.18</v>
      </c>
    </row>
    <row r="298" spans="1:36" ht="14.25" customHeight="1">
      <c r="A298" s="88">
        <v>3590</v>
      </c>
      <c r="B298" s="84">
        <v>582.82600000000002</v>
      </c>
      <c r="C298" s="88">
        <v>3600</v>
      </c>
      <c r="D298" s="85">
        <v>578.56899999999996</v>
      </c>
      <c r="E298" s="86">
        <v>3590</v>
      </c>
      <c r="F298" s="85">
        <v>1235.998</v>
      </c>
      <c r="G298" s="87">
        <v>3590</v>
      </c>
      <c r="H298" s="85">
        <v>1234.895</v>
      </c>
      <c r="I298" s="87">
        <v>3590</v>
      </c>
      <c r="J298" s="85">
        <v>1058.7739999999999</v>
      </c>
      <c r="K298" s="87">
        <v>3590</v>
      </c>
      <c r="L298" s="85">
        <v>1058.5350000000001</v>
      </c>
      <c r="M298" s="87">
        <v>3590</v>
      </c>
      <c r="N298" s="85">
        <v>1058.566</v>
      </c>
      <c r="O298" s="87">
        <v>3570</v>
      </c>
      <c r="P298" s="85">
        <v>1059.7239999999999</v>
      </c>
      <c r="Q298" s="87">
        <v>3590</v>
      </c>
      <c r="R298" s="85">
        <v>1059.3040000000001</v>
      </c>
      <c r="S298" s="87">
        <v>3590</v>
      </c>
      <c r="T298" s="85">
        <v>1059.7929999999999</v>
      </c>
      <c r="U298" s="87">
        <v>3580</v>
      </c>
      <c r="V298" s="85">
        <v>1058.3889999999999</v>
      </c>
      <c r="W298" s="87">
        <v>3590</v>
      </c>
      <c r="X298" s="85">
        <v>1058.2239999999999</v>
      </c>
      <c r="Y298" s="87">
        <v>3590</v>
      </c>
      <c r="Z298" s="85">
        <v>1056.789</v>
      </c>
      <c r="AA298" s="87">
        <v>3590</v>
      </c>
      <c r="AB298" s="85">
        <v>1056.4739999999999</v>
      </c>
      <c r="AC298" s="87">
        <v>3580</v>
      </c>
      <c r="AD298" s="85">
        <v>980.58699999999999</v>
      </c>
      <c r="AE298" s="87">
        <v>3590</v>
      </c>
      <c r="AF298" s="85">
        <v>981.80799999999999</v>
      </c>
      <c r="AG298" s="87">
        <v>3570</v>
      </c>
      <c r="AH298" s="85">
        <v>277.35899999999998</v>
      </c>
      <c r="AI298" s="87">
        <v>3570</v>
      </c>
      <c r="AJ298" s="85">
        <v>289.774</v>
      </c>
    </row>
    <row r="299" spans="1:36" ht="14.25" customHeight="1">
      <c r="A299" s="88">
        <v>3600</v>
      </c>
      <c r="B299" s="84">
        <v>582.03300000000002</v>
      </c>
      <c r="C299" s="88">
        <v>3610</v>
      </c>
      <c r="D299" s="85">
        <v>577.78200000000004</v>
      </c>
      <c r="E299" s="86">
        <v>3600</v>
      </c>
      <c r="F299" s="85">
        <v>1234.5050000000001</v>
      </c>
      <c r="G299" s="87">
        <v>3600</v>
      </c>
      <c r="H299" s="85">
        <v>1233.405</v>
      </c>
      <c r="I299" s="87">
        <v>3600</v>
      </c>
      <c r="J299" s="85">
        <v>1057.5730000000001</v>
      </c>
      <c r="K299" s="87">
        <v>3600</v>
      </c>
      <c r="L299" s="85">
        <v>1057.3330000000001</v>
      </c>
      <c r="M299" s="87">
        <v>3600</v>
      </c>
      <c r="N299" s="85">
        <v>1057.365</v>
      </c>
      <c r="O299" s="87">
        <v>3580</v>
      </c>
      <c r="P299" s="85">
        <v>1058.5239999999999</v>
      </c>
      <c r="Q299" s="87">
        <v>3600</v>
      </c>
      <c r="R299" s="85">
        <v>1058.1030000000001</v>
      </c>
      <c r="S299" s="87">
        <v>3600</v>
      </c>
      <c r="T299" s="85">
        <v>1058.5920000000001</v>
      </c>
      <c r="U299" s="87">
        <v>3590</v>
      </c>
      <c r="V299" s="85">
        <v>1057.191</v>
      </c>
      <c r="W299" s="87">
        <v>3600</v>
      </c>
      <c r="X299" s="85">
        <v>1057.0250000000001</v>
      </c>
      <c r="Y299" s="87">
        <v>3600</v>
      </c>
      <c r="Z299" s="85">
        <v>1055.5899999999999</v>
      </c>
      <c r="AA299" s="87">
        <v>3600</v>
      </c>
      <c r="AB299" s="85">
        <v>1055.277</v>
      </c>
      <c r="AC299" s="87">
        <v>3590</v>
      </c>
      <c r="AD299" s="85">
        <v>979.38900000000001</v>
      </c>
      <c r="AE299" s="87">
        <v>3600</v>
      </c>
      <c r="AF299" s="85">
        <v>980.61099999999999</v>
      </c>
      <c r="AG299" s="87">
        <v>3580</v>
      </c>
      <c r="AH299" s="85">
        <v>276.96800000000002</v>
      </c>
      <c r="AI299" s="87">
        <v>3580</v>
      </c>
      <c r="AJ299" s="85">
        <v>289.36799999999999</v>
      </c>
    </row>
    <row r="300" spans="1:36" ht="14.25" customHeight="1">
      <c r="A300" s="88">
        <v>3610</v>
      </c>
      <c r="B300" s="84">
        <v>581.23900000000003</v>
      </c>
      <c r="C300" s="88">
        <v>3620</v>
      </c>
      <c r="D300" s="85">
        <v>576.99400000000003</v>
      </c>
      <c r="E300" s="86">
        <v>3610</v>
      </c>
      <c r="F300" s="85">
        <v>1233.0119999999999</v>
      </c>
      <c r="G300" s="87">
        <v>3610</v>
      </c>
      <c r="H300" s="85">
        <v>1231.915</v>
      </c>
      <c r="I300" s="87">
        <v>3610</v>
      </c>
      <c r="J300" s="85">
        <v>1056.3720000000001</v>
      </c>
      <c r="K300" s="87">
        <v>3610</v>
      </c>
      <c r="L300" s="85">
        <v>1056.1310000000001</v>
      </c>
      <c r="M300" s="87">
        <v>3610</v>
      </c>
      <c r="N300" s="85">
        <v>1056.164</v>
      </c>
      <c r="O300" s="87">
        <v>3590</v>
      </c>
      <c r="P300" s="85">
        <v>1057.3230000000001</v>
      </c>
      <c r="Q300" s="87">
        <v>3610</v>
      </c>
      <c r="R300" s="85">
        <v>1056.903</v>
      </c>
      <c r="S300" s="87">
        <v>3610</v>
      </c>
      <c r="T300" s="85">
        <v>1057.3920000000001</v>
      </c>
      <c r="U300" s="87">
        <v>3600</v>
      </c>
      <c r="V300" s="85">
        <v>1055.9929999999999</v>
      </c>
      <c r="W300" s="87">
        <v>3610</v>
      </c>
      <c r="X300" s="85">
        <v>1055.826</v>
      </c>
      <c r="Y300" s="87">
        <v>3610</v>
      </c>
      <c r="Z300" s="85">
        <v>1054.3900000000001</v>
      </c>
      <c r="AA300" s="87">
        <v>3610</v>
      </c>
      <c r="AB300" s="85">
        <v>1054.08</v>
      </c>
      <c r="AC300" s="87">
        <v>3600</v>
      </c>
      <c r="AD300" s="85">
        <v>978.19</v>
      </c>
      <c r="AE300" s="87">
        <v>3610</v>
      </c>
      <c r="AF300" s="85">
        <v>979.41300000000001</v>
      </c>
      <c r="AG300" s="87">
        <v>3590</v>
      </c>
      <c r="AH300" s="85">
        <v>276.57600000000002</v>
      </c>
      <c r="AI300" s="87">
        <v>3590</v>
      </c>
      <c r="AJ300" s="85">
        <v>288.96199999999999</v>
      </c>
    </row>
    <row r="301" spans="1:36" ht="14.25" customHeight="1">
      <c r="A301" s="88">
        <v>3620</v>
      </c>
      <c r="B301" s="84">
        <v>580.44500000000005</v>
      </c>
      <c r="C301" s="88">
        <v>3630</v>
      </c>
      <c r="D301" s="85">
        <v>576.20600000000002</v>
      </c>
      <c r="E301" s="86">
        <v>3620</v>
      </c>
      <c r="F301" s="85">
        <v>1231.519</v>
      </c>
      <c r="G301" s="87">
        <v>3620</v>
      </c>
      <c r="H301" s="85">
        <v>1230.425</v>
      </c>
      <c r="I301" s="87">
        <v>3620</v>
      </c>
      <c r="J301" s="85">
        <v>1055.17</v>
      </c>
      <c r="K301" s="87">
        <v>3620</v>
      </c>
      <c r="L301" s="85">
        <v>1054.9290000000001</v>
      </c>
      <c r="M301" s="87">
        <v>3620</v>
      </c>
      <c r="N301" s="85">
        <v>1054.962</v>
      </c>
      <c r="O301" s="87">
        <v>3600</v>
      </c>
      <c r="P301" s="85">
        <v>1056.1220000000001</v>
      </c>
      <c r="Q301" s="87">
        <v>3620</v>
      </c>
      <c r="R301" s="85">
        <v>1055.701</v>
      </c>
      <c r="S301" s="87">
        <v>3620</v>
      </c>
      <c r="T301" s="85">
        <v>1056.191</v>
      </c>
      <c r="U301" s="87">
        <v>3610</v>
      </c>
      <c r="V301" s="85">
        <v>1054.7940000000001</v>
      </c>
      <c r="W301" s="87">
        <v>3620</v>
      </c>
      <c r="X301" s="85">
        <v>1054.627</v>
      </c>
      <c r="Y301" s="87">
        <v>3620</v>
      </c>
      <c r="Z301" s="85">
        <v>1053.191</v>
      </c>
      <c r="AA301" s="87">
        <v>3620</v>
      </c>
      <c r="AB301" s="85">
        <v>1052.8820000000001</v>
      </c>
      <c r="AC301" s="87">
        <v>3610</v>
      </c>
      <c r="AD301" s="85">
        <v>976.99099999999999</v>
      </c>
      <c r="AE301" s="87">
        <v>3620</v>
      </c>
      <c r="AF301" s="85">
        <v>978.21500000000003</v>
      </c>
      <c r="AG301" s="87">
        <v>3600</v>
      </c>
      <c r="AH301" s="85">
        <v>276.18400000000003</v>
      </c>
      <c r="AI301" s="87">
        <v>3600</v>
      </c>
      <c r="AJ301" s="85">
        <v>288.55599999999998</v>
      </c>
    </row>
    <row r="302" spans="1:36" ht="14.25" customHeight="1">
      <c r="A302" s="88">
        <v>3630</v>
      </c>
      <c r="B302" s="84">
        <v>579.65200000000004</v>
      </c>
      <c r="C302" s="88">
        <v>3640</v>
      </c>
      <c r="D302" s="85">
        <v>575.41800000000001</v>
      </c>
      <c r="E302" s="86">
        <v>3630</v>
      </c>
      <c r="F302" s="85">
        <v>1230.0250000000001</v>
      </c>
      <c r="G302" s="87">
        <v>3630</v>
      </c>
      <c r="H302" s="85">
        <v>1228.9349999999999</v>
      </c>
      <c r="I302" s="87">
        <v>3630</v>
      </c>
      <c r="J302" s="85">
        <v>1053.9680000000001</v>
      </c>
      <c r="K302" s="87">
        <v>3630</v>
      </c>
      <c r="L302" s="85">
        <v>1053.7260000000001</v>
      </c>
      <c r="M302" s="87">
        <v>3630</v>
      </c>
      <c r="N302" s="85">
        <v>1053.76</v>
      </c>
      <c r="O302" s="87">
        <v>3610</v>
      </c>
      <c r="P302" s="85">
        <v>1054.92</v>
      </c>
      <c r="Q302" s="87">
        <v>3630</v>
      </c>
      <c r="R302" s="85">
        <v>1054.5</v>
      </c>
      <c r="S302" s="87">
        <v>3630</v>
      </c>
      <c r="T302" s="85">
        <v>1054.99</v>
      </c>
      <c r="U302" s="87">
        <v>3620</v>
      </c>
      <c r="V302" s="85">
        <v>1053.596</v>
      </c>
      <c r="W302" s="87">
        <v>3630</v>
      </c>
      <c r="X302" s="85">
        <v>1053.4280000000001</v>
      </c>
      <c r="Y302" s="87">
        <v>3630</v>
      </c>
      <c r="Z302" s="85">
        <v>1051.991</v>
      </c>
      <c r="AA302" s="87">
        <v>3630</v>
      </c>
      <c r="AB302" s="85">
        <v>1051.684</v>
      </c>
      <c r="AC302" s="87">
        <v>3620</v>
      </c>
      <c r="AD302" s="85">
        <v>975.79100000000005</v>
      </c>
      <c r="AE302" s="87">
        <v>3630</v>
      </c>
      <c r="AF302" s="85">
        <v>977.01700000000005</v>
      </c>
      <c r="AG302" s="87">
        <v>3610</v>
      </c>
      <c r="AH302" s="85">
        <v>275.79199999999997</v>
      </c>
      <c r="AI302" s="87">
        <v>3610</v>
      </c>
      <c r="AJ302" s="85">
        <v>288.14999999999998</v>
      </c>
    </row>
    <row r="303" spans="1:36" ht="14.25" customHeight="1">
      <c r="A303" s="88">
        <v>3640</v>
      </c>
      <c r="B303" s="84">
        <v>578.85699999999997</v>
      </c>
      <c r="C303" s="88">
        <v>3650</v>
      </c>
      <c r="D303" s="85">
        <v>574.63</v>
      </c>
      <c r="E303" s="86">
        <v>3640</v>
      </c>
      <c r="F303" s="85">
        <v>1228.5309999999999</v>
      </c>
      <c r="G303" s="87">
        <v>3640</v>
      </c>
      <c r="H303" s="85">
        <v>1227.444</v>
      </c>
      <c r="I303" s="87">
        <v>3640</v>
      </c>
      <c r="J303" s="85">
        <v>1052.7660000000001</v>
      </c>
      <c r="K303" s="87">
        <v>3640</v>
      </c>
      <c r="L303" s="85">
        <v>1052.5239999999999</v>
      </c>
      <c r="M303" s="87">
        <v>3640</v>
      </c>
      <c r="N303" s="85">
        <v>1052.558</v>
      </c>
      <c r="O303" s="87">
        <v>3620</v>
      </c>
      <c r="P303" s="85">
        <v>1053.7190000000001</v>
      </c>
      <c r="Q303" s="87">
        <v>3640</v>
      </c>
      <c r="R303" s="85">
        <v>1053.298</v>
      </c>
      <c r="S303" s="87">
        <v>3640</v>
      </c>
      <c r="T303" s="85">
        <v>1053.789</v>
      </c>
      <c r="U303" s="87">
        <v>3630</v>
      </c>
      <c r="V303" s="85">
        <v>1052.3969999999999</v>
      </c>
      <c r="W303" s="87">
        <v>3640</v>
      </c>
      <c r="X303" s="85">
        <v>1052.2280000000001</v>
      </c>
      <c r="Y303" s="87">
        <v>3640</v>
      </c>
      <c r="Z303" s="85">
        <v>1050.7909999999999</v>
      </c>
      <c r="AA303" s="87">
        <v>3640</v>
      </c>
      <c r="AB303" s="85">
        <v>1050.4860000000001</v>
      </c>
      <c r="AC303" s="87">
        <v>3630</v>
      </c>
      <c r="AD303" s="85">
        <v>974.59199999999998</v>
      </c>
      <c r="AE303" s="87">
        <v>3640</v>
      </c>
      <c r="AF303" s="85">
        <v>975.81899999999996</v>
      </c>
      <c r="AG303" s="87">
        <v>3620</v>
      </c>
      <c r="AH303" s="85">
        <v>275.39999999999998</v>
      </c>
      <c r="AI303" s="87">
        <v>3620</v>
      </c>
      <c r="AJ303" s="85">
        <v>287.74400000000003</v>
      </c>
    </row>
    <row r="304" spans="1:36" ht="14.25" customHeight="1">
      <c r="A304" s="88">
        <v>3650</v>
      </c>
      <c r="B304" s="84">
        <v>578.06299999999999</v>
      </c>
      <c r="C304" s="88">
        <v>3660</v>
      </c>
      <c r="D304" s="85">
        <v>573.84100000000001</v>
      </c>
      <c r="E304" s="86">
        <v>3650</v>
      </c>
      <c r="F304" s="85">
        <v>1227.037</v>
      </c>
      <c r="G304" s="87">
        <v>3650</v>
      </c>
      <c r="H304" s="85">
        <v>1225.953</v>
      </c>
      <c r="I304" s="87">
        <v>3650</v>
      </c>
      <c r="J304" s="85">
        <v>1051.5640000000001</v>
      </c>
      <c r="K304" s="87">
        <v>3650</v>
      </c>
      <c r="L304" s="85">
        <v>1051.3209999999999</v>
      </c>
      <c r="M304" s="87">
        <v>3650</v>
      </c>
      <c r="N304" s="85">
        <v>1051.356</v>
      </c>
      <c r="O304" s="87">
        <v>3630</v>
      </c>
      <c r="P304" s="85">
        <v>1052.5170000000001</v>
      </c>
      <c r="Q304" s="87">
        <v>3650</v>
      </c>
      <c r="R304" s="85">
        <v>1052.096</v>
      </c>
      <c r="S304" s="87">
        <v>3650</v>
      </c>
      <c r="T304" s="85">
        <v>1052.588</v>
      </c>
      <c r="U304" s="87">
        <v>3640</v>
      </c>
      <c r="V304" s="85">
        <v>1051.1969999999999</v>
      </c>
      <c r="W304" s="87">
        <v>3650</v>
      </c>
      <c r="X304" s="85">
        <v>1051.029</v>
      </c>
      <c r="Y304" s="87">
        <v>3650</v>
      </c>
      <c r="Z304" s="85">
        <v>1049.5909999999999</v>
      </c>
      <c r="AA304" s="87">
        <v>3650</v>
      </c>
      <c r="AB304" s="85">
        <v>1049.288</v>
      </c>
      <c r="AC304" s="87">
        <v>3640</v>
      </c>
      <c r="AD304" s="85">
        <v>973.39200000000005</v>
      </c>
      <c r="AE304" s="87">
        <v>3650</v>
      </c>
      <c r="AF304" s="85">
        <v>974.62099999999998</v>
      </c>
      <c r="AG304" s="87">
        <v>3630</v>
      </c>
      <c r="AH304" s="85">
        <v>275.00700000000001</v>
      </c>
      <c r="AI304" s="87">
        <v>3630</v>
      </c>
      <c r="AJ304" s="85">
        <v>287.33800000000002</v>
      </c>
    </row>
    <row r="305" spans="1:36" ht="14.25" customHeight="1">
      <c r="A305" s="88">
        <v>3660</v>
      </c>
      <c r="B305" s="84">
        <v>577.26900000000001</v>
      </c>
      <c r="C305" s="88">
        <v>3670</v>
      </c>
      <c r="D305" s="85">
        <v>573.05200000000002</v>
      </c>
      <c r="E305" s="86">
        <v>3660</v>
      </c>
      <c r="F305" s="85">
        <v>1225.5429999999999</v>
      </c>
      <c r="G305" s="87">
        <v>3660</v>
      </c>
      <c r="H305" s="85">
        <v>1224.462</v>
      </c>
      <c r="I305" s="87">
        <v>3660</v>
      </c>
      <c r="J305" s="85">
        <v>1050.3610000000001</v>
      </c>
      <c r="K305" s="87">
        <v>3660</v>
      </c>
      <c r="L305" s="85">
        <v>1050.117</v>
      </c>
      <c r="M305" s="87">
        <v>3660</v>
      </c>
      <c r="N305" s="85">
        <v>1050.153</v>
      </c>
      <c r="O305" s="87">
        <v>3640</v>
      </c>
      <c r="P305" s="85">
        <v>1051.3150000000001</v>
      </c>
      <c r="Q305" s="87">
        <v>3660</v>
      </c>
      <c r="R305" s="85">
        <v>1050.894</v>
      </c>
      <c r="S305" s="87">
        <v>3660</v>
      </c>
      <c r="T305" s="85">
        <v>1051.386</v>
      </c>
      <c r="U305" s="87">
        <v>3650</v>
      </c>
      <c r="V305" s="85">
        <v>1049.998</v>
      </c>
      <c r="W305" s="87">
        <v>3660</v>
      </c>
      <c r="X305" s="85">
        <v>1049.828</v>
      </c>
      <c r="Y305" s="87">
        <v>3660</v>
      </c>
      <c r="Z305" s="85">
        <v>1048.3900000000001</v>
      </c>
      <c r="AA305" s="87">
        <v>3660</v>
      </c>
      <c r="AB305" s="85">
        <v>1048.0889999999999</v>
      </c>
      <c r="AC305" s="87">
        <v>3650</v>
      </c>
      <c r="AD305" s="85">
        <v>972.19200000000001</v>
      </c>
      <c r="AE305" s="87">
        <v>3660</v>
      </c>
      <c r="AF305" s="85">
        <v>973.42200000000003</v>
      </c>
      <c r="AG305" s="87">
        <v>3640</v>
      </c>
      <c r="AH305" s="85">
        <v>274.61500000000001</v>
      </c>
      <c r="AI305" s="87">
        <v>3640</v>
      </c>
      <c r="AJ305" s="85">
        <v>286.93099999999998</v>
      </c>
    </row>
    <row r="306" spans="1:36" ht="14.25" customHeight="1">
      <c r="A306" s="88">
        <v>3670</v>
      </c>
      <c r="B306" s="84">
        <v>576.47400000000005</v>
      </c>
      <c r="C306" s="88">
        <v>3680</v>
      </c>
      <c r="D306" s="85">
        <v>572.26300000000003</v>
      </c>
      <c r="E306" s="86">
        <v>3670</v>
      </c>
      <c r="F306" s="85">
        <v>1224.048</v>
      </c>
      <c r="G306" s="87">
        <v>3670</v>
      </c>
      <c r="H306" s="85">
        <v>1222.97</v>
      </c>
      <c r="I306" s="87">
        <v>3670</v>
      </c>
      <c r="J306" s="85">
        <v>1049.1590000000001</v>
      </c>
      <c r="K306" s="87">
        <v>3670</v>
      </c>
      <c r="L306" s="85">
        <v>1048.914</v>
      </c>
      <c r="M306" s="87">
        <v>3670</v>
      </c>
      <c r="N306" s="85">
        <v>1048.95</v>
      </c>
      <c r="O306" s="87">
        <v>3650</v>
      </c>
      <c r="P306" s="85">
        <v>1050.1130000000001</v>
      </c>
      <c r="Q306" s="87">
        <v>3670</v>
      </c>
      <c r="R306" s="85">
        <v>1049.692</v>
      </c>
      <c r="S306" s="87">
        <v>3670</v>
      </c>
      <c r="T306" s="85">
        <v>1050.184</v>
      </c>
      <c r="U306" s="87">
        <v>3660</v>
      </c>
      <c r="V306" s="85">
        <v>1048.798</v>
      </c>
      <c r="W306" s="87">
        <v>3670</v>
      </c>
      <c r="X306" s="85">
        <v>1048.6279999999999</v>
      </c>
      <c r="Y306" s="87">
        <v>3670</v>
      </c>
      <c r="Z306" s="85">
        <v>1047.1890000000001</v>
      </c>
      <c r="AA306" s="87">
        <v>3670</v>
      </c>
      <c r="AB306" s="85">
        <v>1046.8910000000001</v>
      </c>
      <c r="AC306" s="87">
        <v>3660</v>
      </c>
      <c r="AD306" s="85">
        <v>970.99199999999996</v>
      </c>
      <c r="AE306" s="87">
        <v>3670</v>
      </c>
      <c r="AF306" s="85">
        <v>972.22299999999996</v>
      </c>
      <c r="AG306" s="87">
        <v>3650</v>
      </c>
      <c r="AH306" s="85">
        <v>274.22300000000001</v>
      </c>
      <c r="AI306" s="87">
        <v>3650</v>
      </c>
      <c r="AJ306" s="85">
        <v>286.52499999999998</v>
      </c>
    </row>
    <row r="307" spans="1:36" ht="14.25" customHeight="1">
      <c r="A307" s="88">
        <v>3680</v>
      </c>
      <c r="B307" s="84">
        <v>575.67999999999995</v>
      </c>
      <c r="C307" s="88">
        <v>3690</v>
      </c>
      <c r="D307" s="85">
        <v>571.47400000000005</v>
      </c>
      <c r="E307" s="86">
        <v>3680</v>
      </c>
      <c r="F307" s="85">
        <v>1222.5530000000001</v>
      </c>
      <c r="G307" s="87">
        <v>3680</v>
      </c>
      <c r="H307" s="85">
        <v>1221.479</v>
      </c>
      <c r="I307" s="87">
        <v>3680</v>
      </c>
      <c r="J307" s="85">
        <v>1047.9559999999999</v>
      </c>
      <c r="K307" s="87">
        <v>3680</v>
      </c>
      <c r="L307" s="85">
        <v>1047.71</v>
      </c>
      <c r="M307" s="87">
        <v>3680</v>
      </c>
      <c r="N307" s="85">
        <v>1047.748</v>
      </c>
      <c r="O307" s="87">
        <v>3660</v>
      </c>
      <c r="P307" s="85">
        <v>1048.9100000000001</v>
      </c>
      <c r="Q307" s="87">
        <v>3680</v>
      </c>
      <c r="R307" s="85">
        <v>1048.489</v>
      </c>
      <c r="S307" s="87">
        <v>3680</v>
      </c>
      <c r="T307" s="85">
        <v>1048.982</v>
      </c>
      <c r="U307" s="87">
        <v>3670</v>
      </c>
      <c r="V307" s="85">
        <v>1047.598</v>
      </c>
      <c r="W307" s="87">
        <v>3680</v>
      </c>
      <c r="X307" s="85">
        <v>1047.4269999999999</v>
      </c>
      <c r="Y307" s="87">
        <v>3680</v>
      </c>
      <c r="Z307" s="85">
        <v>1045.9880000000001</v>
      </c>
      <c r="AA307" s="87">
        <v>3680</v>
      </c>
      <c r="AB307" s="85">
        <v>1045.692</v>
      </c>
      <c r="AC307" s="87">
        <v>3670</v>
      </c>
      <c r="AD307" s="85">
        <v>969.79100000000005</v>
      </c>
      <c r="AE307" s="87">
        <v>3680</v>
      </c>
      <c r="AF307" s="85">
        <v>971.024</v>
      </c>
      <c r="AG307" s="87">
        <v>3660</v>
      </c>
      <c r="AH307" s="85">
        <v>273.83</v>
      </c>
      <c r="AI307" s="87">
        <v>3660</v>
      </c>
      <c r="AJ307" s="85">
        <v>286.11799999999999</v>
      </c>
    </row>
    <row r="308" spans="1:36" ht="14.25" customHeight="1">
      <c r="A308" s="88">
        <v>3690</v>
      </c>
      <c r="B308" s="84">
        <v>574.88499999999999</v>
      </c>
      <c r="C308" s="88">
        <v>3700</v>
      </c>
      <c r="D308" s="85">
        <v>570.68499999999995</v>
      </c>
      <c r="E308" s="86">
        <v>3690</v>
      </c>
      <c r="F308" s="85">
        <v>1221.058</v>
      </c>
      <c r="G308" s="87">
        <v>3690</v>
      </c>
      <c r="H308" s="85">
        <v>1219.9860000000001</v>
      </c>
      <c r="I308" s="87">
        <v>3690</v>
      </c>
      <c r="J308" s="85">
        <v>1046.752</v>
      </c>
      <c r="K308" s="87">
        <v>3690</v>
      </c>
      <c r="L308" s="85">
        <v>1046.5060000000001</v>
      </c>
      <c r="M308" s="87">
        <v>3690</v>
      </c>
      <c r="N308" s="85">
        <v>1046.5440000000001</v>
      </c>
      <c r="O308" s="87">
        <v>3670</v>
      </c>
      <c r="P308" s="85">
        <v>1047.7070000000001</v>
      </c>
      <c r="Q308" s="87">
        <v>3690</v>
      </c>
      <c r="R308" s="85">
        <v>1047.2860000000001</v>
      </c>
      <c r="S308" s="87">
        <v>3690</v>
      </c>
      <c r="T308" s="85">
        <v>1047.78</v>
      </c>
      <c r="U308" s="87">
        <v>3680</v>
      </c>
      <c r="V308" s="85">
        <v>1046.3979999999999</v>
      </c>
      <c r="W308" s="87">
        <v>3690</v>
      </c>
      <c r="X308" s="85">
        <v>1046.2270000000001</v>
      </c>
      <c r="Y308" s="87">
        <v>3690</v>
      </c>
      <c r="Z308" s="85">
        <v>1044.787</v>
      </c>
      <c r="AA308" s="87">
        <v>3690</v>
      </c>
      <c r="AB308" s="85">
        <v>1044.492</v>
      </c>
      <c r="AC308" s="87">
        <v>3680</v>
      </c>
      <c r="AD308" s="85">
        <v>968.59100000000001</v>
      </c>
      <c r="AE308" s="87">
        <v>3690</v>
      </c>
      <c r="AF308" s="85">
        <v>969.82399999999996</v>
      </c>
      <c r="AG308" s="87">
        <v>3670</v>
      </c>
      <c r="AH308" s="85">
        <v>273.43799999999999</v>
      </c>
      <c r="AI308" s="87">
        <v>3670</v>
      </c>
      <c r="AJ308" s="85">
        <v>285.71199999999999</v>
      </c>
    </row>
    <row r="309" spans="1:36" ht="14.25" customHeight="1">
      <c r="A309" s="88">
        <v>3700</v>
      </c>
      <c r="B309" s="84">
        <v>574.08900000000006</v>
      </c>
      <c r="C309" s="88">
        <v>3710</v>
      </c>
      <c r="D309" s="85">
        <v>569.89599999999996</v>
      </c>
      <c r="E309" s="86">
        <v>3700</v>
      </c>
      <c r="F309" s="85">
        <v>1219.5619999999999</v>
      </c>
      <c r="G309" s="87">
        <v>3700</v>
      </c>
      <c r="H309" s="85">
        <v>1218.4939999999999</v>
      </c>
      <c r="I309" s="87">
        <v>3700</v>
      </c>
      <c r="J309" s="85">
        <v>1045.549</v>
      </c>
      <c r="K309" s="87">
        <v>3700</v>
      </c>
      <c r="L309" s="85">
        <v>1045.3019999999999</v>
      </c>
      <c r="M309" s="87">
        <v>3700</v>
      </c>
      <c r="N309" s="85">
        <v>1045.3409999999999</v>
      </c>
      <c r="O309" s="87">
        <v>3680</v>
      </c>
      <c r="P309" s="85">
        <v>1046.5039999999999</v>
      </c>
      <c r="Q309" s="87">
        <v>3700</v>
      </c>
      <c r="R309" s="85">
        <v>1046.0830000000001</v>
      </c>
      <c r="S309" s="87">
        <v>3700</v>
      </c>
      <c r="T309" s="85">
        <v>1046.578</v>
      </c>
      <c r="U309" s="87">
        <v>3690</v>
      </c>
      <c r="V309" s="85">
        <v>1045.1969999999999</v>
      </c>
      <c r="W309" s="87">
        <v>3700</v>
      </c>
      <c r="X309" s="85">
        <v>1045.0260000000001</v>
      </c>
      <c r="Y309" s="87">
        <v>3700</v>
      </c>
      <c r="Z309" s="85">
        <v>1043.586</v>
      </c>
      <c r="AA309" s="87">
        <v>3700</v>
      </c>
      <c r="AB309" s="85">
        <v>1043.2929999999999</v>
      </c>
      <c r="AC309" s="87">
        <v>3690</v>
      </c>
      <c r="AD309" s="85">
        <v>967.39</v>
      </c>
      <c r="AE309" s="87">
        <v>3700</v>
      </c>
      <c r="AF309" s="85">
        <v>968.625</v>
      </c>
      <c r="AG309" s="87">
        <v>3680</v>
      </c>
      <c r="AH309" s="85">
        <v>273.04500000000002</v>
      </c>
      <c r="AI309" s="87">
        <v>3680</v>
      </c>
      <c r="AJ309" s="85">
        <v>285.30500000000001</v>
      </c>
    </row>
    <row r="310" spans="1:36" ht="14.25" customHeight="1">
      <c r="A310" s="88">
        <v>3710</v>
      </c>
      <c r="B310" s="84">
        <v>573.29399999999998</v>
      </c>
      <c r="C310" s="88">
        <v>3720</v>
      </c>
      <c r="D310" s="85">
        <v>569.10599999999999</v>
      </c>
      <c r="E310" s="86">
        <v>3710</v>
      </c>
      <c r="F310" s="85">
        <v>1218.066</v>
      </c>
      <c r="G310" s="87">
        <v>3710</v>
      </c>
      <c r="H310" s="85">
        <v>1217.001</v>
      </c>
      <c r="I310" s="87">
        <v>3710</v>
      </c>
      <c r="J310" s="85">
        <v>1044.345</v>
      </c>
      <c r="K310" s="87">
        <v>3710</v>
      </c>
      <c r="L310" s="85">
        <v>1044.097</v>
      </c>
      <c r="M310" s="87">
        <v>3710</v>
      </c>
      <c r="N310" s="85">
        <v>1044.1369999999999</v>
      </c>
      <c r="O310" s="87">
        <v>3690</v>
      </c>
      <c r="P310" s="85">
        <v>1045.3009999999999</v>
      </c>
      <c r="Q310" s="87">
        <v>3710</v>
      </c>
      <c r="R310" s="85">
        <v>1044.8800000000001</v>
      </c>
      <c r="S310" s="87">
        <v>3710</v>
      </c>
      <c r="T310" s="85">
        <v>1045.375</v>
      </c>
      <c r="U310" s="87">
        <v>3700</v>
      </c>
      <c r="V310" s="85">
        <v>1043.9970000000001</v>
      </c>
      <c r="W310" s="87">
        <v>3710</v>
      </c>
      <c r="X310" s="85">
        <v>1043.8240000000001</v>
      </c>
      <c r="Y310" s="87">
        <v>3710</v>
      </c>
      <c r="Z310" s="85">
        <v>1042.384</v>
      </c>
      <c r="AA310" s="87">
        <v>3710</v>
      </c>
      <c r="AB310" s="85">
        <v>1042.0930000000001</v>
      </c>
      <c r="AC310" s="87">
        <v>3700</v>
      </c>
      <c r="AD310" s="85">
        <v>966.18899999999996</v>
      </c>
      <c r="AE310" s="87">
        <v>3710</v>
      </c>
      <c r="AF310" s="85">
        <v>967.42499999999995</v>
      </c>
      <c r="AG310" s="87">
        <v>3690</v>
      </c>
      <c r="AH310" s="85">
        <v>272.65199999999999</v>
      </c>
      <c r="AI310" s="87">
        <v>3690</v>
      </c>
      <c r="AJ310" s="85">
        <v>284.89800000000002</v>
      </c>
    </row>
    <row r="311" spans="1:36" ht="14.25" customHeight="1">
      <c r="A311" s="88">
        <v>3720</v>
      </c>
      <c r="B311" s="84">
        <v>572.49900000000002</v>
      </c>
      <c r="C311" s="88">
        <v>3730</v>
      </c>
      <c r="D311" s="85">
        <v>568.31600000000003</v>
      </c>
      <c r="E311" s="86">
        <v>3720</v>
      </c>
      <c r="F311" s="85">
        <v>1216.3699999999999</v>
      </c>
      <c r="G311" s="87">
        <v>3720</v>
      </c>
      <c r="H311" s="85">
        <v>1215.508</v>
      </c>
      <c r="I311" s="87">
        <v>3720</v>
      </c>
      <c r="J311" s="85">
        <v>1043.1410000000001</v>
      </c>
      <c r="K311" s="87">
        <v>3720</v>
      </c>
      <c r="L311" s="85">
        <v>1042.8920000000001</v>
      </c>
      <c r="M311" s="87">
        <v>3720</v>
      </c>
      <c r="N311" s="85">
        <v>1042.933</v>
      </c>
      <c r="O311" s="87">
        <v>3700</v>
      </c>
      <c r="P311" s="85">
        <v>1044.098</v>
      </c>
      <c r="Q311" s="87">
        <v>3720</v>
      </c>
      <c r="R311" s="85">
        <v>1043.6759999999999</v>
      </c>
      <c r="S311" s="87">
        <v>3720</v>
      </c>
      <c r="T311" s="85">
        <v>1044.172</v>
      </c>
      <c r="U311" s="87">
        <v>3710</v>
      </c>
      <c r="V311" s="85">
        <v>1042.796</v>
      </c>
      <c r="W311" s="87">
        <v>3720</v>
      </c>
      <c r="X311" s="85">
        <v>1042.623</v>
      </c>
      <c r="Y311" s="87">
        <v>3720</v>
      </c>
      <c r="Z311" s="85">
        <v>1041.182</v>
      </c>
      <c r="AA311" s="87">
        <v>3720</v>
      </c>
      <c r="AB311" s="85">
        <v>1040.893</v>
      </c>
      <c r="AC311" s="87">
        <v>3710</v>
      </c>
      <c r="AD311" s="85">
        <v>964.98699999999997</v>
      </c>
      <c r="AE311" s="87">
        <v>3720</v>
      </c>
      <c r="AF311" s="85">
        <v>966.22500000000002</v>
      </c>
      <c r="AG311" s="87">
        <v>3700</v>
      </c>
      <c r="AH311" s="85">
        <v>272.25900000000001</v>
      </c>
      <c r="AI311" s="87">
        <v>3700</v>
      </c>
      <c r="AJ311" s="85">
        <v>284.49200000000002</v>
      </c>
    </row>
    <row r="312" spans="1:36" ht="14.25" customHeight="1">
      <c r="A312" s="88">
        <v>3730</v>
      </c>
      <c r="B312" s="84">
        <v>571.70299999999997</v>
      </c>
      <c r="C312" s="88">
        <v>3740</v>
      </c>
      <c r="D312" s="85">
        <v>567.52599999999995</v>
      </c>
      <c r="E312" s="86">
        <v>3730</v>
      </c>
      <c r="F312" s="85">
        <v>1215.0730000000001</v>
      </c>
      <c r="G312" s="87">
        <v>3730</v>
      </c>
      <c r="H312" s="85">
        <v>1214.0139999999999</v>
      </c>
      <c r="I312" s="87">
        <v>3730</v>
      </c>
      <c r="J312" s="85">
        <v>1041.9369999999999</v>
      </c>
      <c r="K312" s="87">
        <v>3730</v>
      </c>
      <c r="L312" s="85">
        <v>1041.6869999999999</v>
      </c>
      <c r="M312" s="87">
        <v>3730</v>
      </c>
      <c r="N312" s="85">
        <v>1041.729</v>
      </c>
      <c r="O312" s="87">
        <v>3710</v>
      </c>
      <c r="P312" s="85">
        <v>1042.894</v>
      </c>
      <c r="Q312" s="87">
        <v>3730</v>
      </c>
      <c r="R312" s="85">
        <v>1042.472</v>
      </c>
      <c r="S312" s="87">
        <v>3730</v>
      </c>
      <c r="T312" s="85">
        <v>1042.9680000000001</v>
      </c>
      <c r="U312" s="87">
        <v>3720</v>
      </c>
      <c r="V312" s="85">
        <v>1041.5940000000001</v>
      </c>
      <c r="W312" s="87">
        <v>3730</v>
      </c>
      <c r="X312" s="85">
        <v>1041.421</v>
      </c>
      <c r="Y312" s="87">
        <v>3730</v>
      </c>
      <c r="Z312" s="85">
        <v>1039.98</v>
      </c>
      <c r="AA312" s="87">
        <v>3730</v>
      </c>
      <c r="AB312" s="85">
        <v>1039.693</v>
      </c>
      <c r="AC312" s="87">
        <v>3720</v>
      </c>
      <c r="AD312" s="85">
        <v>963.78499999999997</v>
      </c>
      <c r="AE312" s="87">
        <v>3730</v>
      </c>
      <c r="AF312" s="85">
        <v>965.024</v>
      </c>
      <c r="AG312" s="87">
        <v>3710</v>
      </c>
      <c r="AH312" s="85">
        <v>271.86599999999999</v>
      </c>
      <c r="AI312" s="87">
        <v>3710</v>
      </c>
      <c r="AJ312" s="85">
        <v>284.08499999999998</v>
      </c>
    </row>
    <row r="313" spans="1:36" ht="14.25" customHeight="1">
      <c r="A313" s="88">
        <v>3740</v>
      </c>
      <c r="B313" s="84">
        <v>570.90700000000004</v>
      </c>
      <c r="C313" s="88">
        <v>3750</v>
      </c>
      <c r="D313" s="85">
        <v>566.73599999999999</v>
      </c>
      <c r="E313" s="86">
        <v>3740</v>
      </c>
      <c r="F313" s="85">
        <v>1213.576</v>
      </c>
      <c r="G313" s="87">
        <v>3740</v>
      </c>
      <c r="H313" s="85">
        <v>1212.521</v>
      </c>
      <c r="I313" s="87">
        <v>3740</v>
      </c>
      <c r="J313" s="85">
        <v>1040.7329999999999</v>
      </c>
      <c r="K313" s="87">
        <v>3740</v>
      </c>
      <c r="L313" s="85">
        <v>1040.482</v>
      </c>
      <c r="M313" s="87">
        <v>3740</v>
      </c>
      <c r="N313" s="85">
        <v>1040.5239999999999</v>
      </c>
      <c r="O313" s="87">
        <v>3720</v>
      </c>
      <c r="P313" s="85">
        <v>1041.69</v>
      </c>
      <c r="Q313" s="87">
        <v>3740</v>
      </c>
      <c r="R313" s="85">
        <v>1041.268</v>
      </c>
      <c r="S313" s="87">
        <v>3740</v>
      </c>
      <c r="T313" s="85">
        <v>1041.7650000000001</v>
      </c>
      <c r="U313" s="87">
        <v>3730</v>
      </c>
      <c r="V313" s="85">
        <v>1040.393</v>
      </c>
      <c r="W313" s="87">
        <v>3740</v>
      </c>
      <c r="X313" s="85">
        <v>1040.2190000000001</v>
      </c>
      <c r="Y313" s="87">
        <v>3740</v>
      </c>
      <c r="Z313" s="85">
        <v>1038.777</v>
      </c>
      <c r="AA313" s="87">
        <v>3740</v>
      </c>
      <c r="AB313" s="85">
        <v>1038.492</v>
      </c>
      <c r="AC313" s="87">
        <v>3730</v>
      </c>
      <c r="AD313" s="85">
        <v>962.58299999999997</v>
      </c>
      <c r="AE313" s="87">
        <v>3740</v>
      </c>
      <c r="AF313" s="85">
        <v>963.82299999999998</v>
      </c>
      <c r="AG313" s="87">
        <v>3720</v>
      </c>
      <c r="AH313" s="85">
        <v>271.47300000000001</v>
      </c>
      <c r="AI313" s="87">
        <v>3720</v>
      </c>
      <c r="AJ313" s="85">
        <v>283.678</v>
      </c>
    </row>
    <row r="314" spans="1:36" ht="14.25" customHeight="1">
      <c r="A314" s="88">
        <v>3750</v>
      </c>
      <c r="B314" s="84">
        <v>570.11099999999999</v>
      </c>
      <c r="C314" s="88">
        <v>3760</v>
      </c>
      <c r="D314" s="85">
        <v>565.94600000000003</v>
      </c>
      <c r="E314" s="86">
        <v>3750</v>
      </c>
      <c r="F314" s="85">
        <v>1212.079</v>
      </c>
      <c r="G314" s="87">
        <v>3750</v>
      </c>
      <c r="H314" s="85">
        <v>1211.027</v>
      </c>
      <c r="I314" s="87">
        <v>3750</v>
      </c>
      <c r="J314" s="85">
        <v>1039.528</v>
      </c>
      <c r="K314" s="87">
        <v>3750</v>
      </c>
      <c r="L314" s="85">
        <v>1039.277</v>
      </c>
      <c r="M314" s="87">
        <v>3750</v>
      </c>
      <c r="N314" s="85">
        <v>1039.32</v>
      </c>
      <c r="O314" s="87">
        <v>3730</v>
      </c>
      <c r="P314" s="85">
        <v>1040.4860000000001</v>
      </c>
      <c r="Q314" s="87">
        <v>3750</v>
      </c>
      <c r="R314" s="85">
        <v>1040.0640000000001</v>
      </c>
      <c r="S314" s="87">
        <v>3750</v>
      </c>
      <c r="T314" s="85">
        <v>1040.5609999999999</v>
      </c>
      <c r="U314" s="87">
        <v>3740</v>
      </c>
      <c r="V314" s="85">
        <v>1039.191</v>
      </c>
      <c r="W314" s="87">
        <v>3750</v>
      </c>
      <c r="X314" s="85">
        <v>1039.0170000000001</v>
      </c>
      <c r="Y314" s="87">
        <v>3750</v>
      </c>
      <c r="Z314" s="85">
        <v>1037.575</v>
      </c>
      <c r="AA314" s="87">
        <v>3750</v>
      </c>
      <c r="AB314" s="85">
        <v>1037.2919999999999</v>
      </c>
      <c r="AC314" s="87">
        <v>3740</v>
      </c>
      <c r="AD314" s="85">
        <v>961.38099999999997</v>
      </c>
      <c r="AE314" s="87">
        <v>3750</v>
      </c>
      <c r="AF314" s="85">
        <v>962.62300000000005</v>
      </c>
      <c r="AG314" s="87">
        <v>3730</v>
      </c>
      <c r="AH314" s="85">
        <v>271.08</v>
      </c>
      <c r="AI314" s="87">
        <v>3730</v>
      </c>
      <c r="AJ314" s="85">
        <v>283.27</v>
      </c>
    </row>
    <row r="315" spans="1:36" ht="14.25" customHeight="1">
      <c r="A315" s="88">
        <v>3760</v>
      </c>
      <c r="B315" s="84">
        <v>569.31500000000005</v>
      </c>
      <c r="C315" s="88">
        <v>3770</v>
      </c>
      <c r="D315" s="85">
        <v>565.15499999999997</v>
      </c>
      <c r="E315" s="86">
        <v>3760</v>
      </c>
      <c r="F315" s="85">
        <v>1210.5820000000001</v>
      </c>
      <c r="G315" s="87">
        <v>3760</v>
      </c>
      <c r="H315" s="85">
        <v>1209.5319999999999</v>
      </c>
      <c r="I315" s="87">
        <v>3760</v>
      </c>
      <c r="J315" s="85">
        <v>1038.3230000000001</v>
      </c>
      <c r="K315" s="87">
        <v>3760</v>
      </c>
      <c r="L315" s="85">
        <v>1038.0709999999999</v>
      </c>
      <c r="M315" s="87">
        <v>3760</v>
      </c>
      <c r="N315" s="85">
        <v>1038.115</v>
      </c>
      <c r="O315" s="87">
        <v>3740</v>
      </c>
      <c r="P315" s="85">
        <v>1039.2809999999999</v>
      </c>
      <c r="Q315" s="87">
        <v>3760</v>
      </c>
      <c r="R315" s="85">
        <v>1038.8589999999999</v>
      </c>
      <c r="S315" s="87">
        <v>3760</v>
      </c>
      <c r="T315" s="85">
        <v>1039.357</v>
      </c>
      <c r="U315" s="87">
        <v>3750</v>
      </c>
      <c r="V315" s="85">
        <v>1037.989</v>
      </c>
      <c r="W315" s="87">
        <v>3760</v>
      </c>
      <c r="X315" s="85">
        <v>1037.8140000000001</v>
      </c>
      <c r="Y315" s="87">
        <v>3760</v>
      </c>
      <c r="Z315" s="85">
        <v>1036.3720000000001</v>
      </c>
      <c r="AA315" s="87">
        <v>3760</v>
      </c>
      <c r="AB315" s="85">
        <v>1036.0909999999999</v>
      </c>
      <c r="AC315" s="87">
        <v>3750</v>
      </c>
      <c r="AD315" s="85">
        <v>960.17899999999997</v>
      </c>
      <c r="AE315" s="87">
        <v>3760</v>
      </c>
      <c r="AF315" s="85">
        <v>961.42100000000005</v>
      </c>
      <c r="AG315" s="87">
        <v>3740</v>
      </c>
      <c r="AH315" s="85">
        <v>270.68700000000001</v>
      </c>
      <c r="AI315" s="87">
        <v>3740</v>
      </c>
      <c r="AJ315" s="85">
        <v>282.863</v>
      </c>
    </row>
    <row r="316" spans="1:36" ht="14.25" customHeight="1">
      <c r="A316" s="88">
        <v>3770</v>
      </c>
      <c r="B316" s="84">
        <v>568.51900000000001</v>
      </c>
      <c r="C316" s="88">
        <v>3780</v>
      </c>
      <c r="D316" s="85">
        <v>564.36500000000001</v>
      </c>
      <c r="E316" s="86">
        <v>3770</v>
      </c>
      <c r="F316" s="85">
        <v>1209.0840000000001</v>
      </c>
      <c r="G316" s="87">
        <v>3770</v>
      </c>
      <c r="H316" s="85">
        <v>1208.038</v>
      </c>
      <c r="I316" s="87">
        <v>3770</v>
      </c>
      <c r="J316" s="85">
        <v>1037.1179999999999</v>
      </c>
      <c r="K316" s="87">
        <v>3770</v>
      </c>
      <c r="L316" s="85">
        <v>1036.865</v>
      </c>
      <c r="M316" s="87">
        <v>3770</v>
      </c>
      <c r="N316" s="85">
        <v>1036.9100000000001</v>
      </c>
      <c r="O316" s="87">
        <v>3750</v>
      </c>
      <c r="P316" s="85">
        <v>1038.077</v>
      </c>
      <c r="Q316" s="87">
        <v>3770</v>
      </c>
      <c r="R316" s="85">
        <v>1037.654</v>
      </c>
      <c r="S316" s="87">
        <v>3770</v>
      </c>
      <c r="T316" s="85">
        <v>1038.153</v>
      </c>
      <c r="U316" s="87">
        <v>3760</v>
      </c>
      <c r="V316" s="85">
        <v>1036.787</v>
      </c>
      <c r="W316" s="87">
        <v>3770</v>
      </c>
      <c r="X316" s="85">
        <v>1036.6110000000001</v>
      </c>
      <c r="Y316" s="87">
        <v>3770</v>
      </c>
      <c r="Z316" s="85">
        <v>1035.1679999999999</v>
      </c>
      <c r="AA316" s="87">
        <v>3770</v>
      </c>
      <c r="AB316" s="85">
        <v>1034.8889999999999</v>
      </c>
      <c r="AC316" s="87">
        <v>3760</v>
      </c>
      <c r="AD316" s="85">
        <v>958.976</v>
      </c>
      <c r="AE316" s="87">
        <v>3770</v>
      </c>
      <c r="AF316" s="85">
        <v>960.22</v>
      </c>
      <c r="AG316" s="87">
        <v>3750</v>
      </c>
      <c r="AH316" s="85">
        <v>270.29399999999998</v>
      </c>
      <c r="AI316" s="87">
        <v>3750</v>
      </c>
      <c r="AJ316" s="85">
        <v>282.45600000000002</v>
      </c>
    </row>
    <row r="317" spans="1:36" ht="14.25" customHeight="1">
      <c r="A317" s="88">
        <v>3780</v>
      </c>
      <c r="B317" s="84">
        <v>567.72199999999998</v>
      </c>
      <c r="C317" s="88">
        <v>3790</v>
      </c>
      <c r="D317" s="85">
        <v>563.57399999999996</v>
      </c>
      <c r="E317" s="86">
        <v>3780</v>
      </c>
      <c r="F317" s="85">
        <v>1207.586</v>
      </c>
      <c r="G317" s="87">
        <v>3780</v>
      </c>
      <c r="H317" s="85">
        <v>1206.5429999999999</v>
      </c>
      <c r="I317" s="87">
        <v>3780</v>
      </c>
      <c r="J317" s="85">
        <v>1035.913</v>
      </c>
      <c r="K317" s="87">
        <v>3780</v>
      </c>
      <c r="L317" s="85">
        <v>1035.6590000000001</v>
      </c>
      <c r="M317" s="87">
        <v>3780</v>
      </c>
      <c r="N317" s="85">
        <v>1035.704</v>
      </c>
      <c r="O317" s="87">
        <v>3760</v>
      </c>
      <c r="P317" s="85">
        <v>1036.8720000000001</v>
      </c>
      <c r="Q317" s="87">
        <v>3780</v>
      </c>
      <c r="R317" s="85">
        <v>1036.4490000000001</v>
      </c>
      <c r="S317" s="87">
        <v>3780</v>
      </c>
      <c r="T317" s="85">
        <v>1036.9480000000001</v>
      </c>
      <c r="U317" s="87">
        <v>3770</v>
      </c>
      <c r="V317" s="85">
        <v>1035.585</v>
      </c>
      <c r="W317" s="87">
        <v>3780</v>
      </c>
      <c r="X317" s="85">
        <v>1035.4079999999999</v>
      </c>
      <c r="Y317" s="87">
        <v>3780</v>
      </c>
      <c r="Z317" s="85">
        <v>1033.9649999999999</v>
      </c>
      <c r="AA317" s="87">
        <v>3780</v>
      </c>
      <c r="AB317" s="85">
        <v>1033.6880000000001</v>
      </c>
      <c r="AC317" s="87">
        <v>3770</v>
      </c>
      <c r="AD317" s="85">
        <v>957.77300000000002</v>
      </c>
      <c r="AE317" s="87">
        <v>3780</v>
      </c>
      <c r="AF317" s="85">
        <v>959.01800000000003</v>
      </c>
      <c r="AG317" s="87">
        <v>3760</v>
      </c>
      <c r="AH317" s="85">
        <v>269.89999999999998</v>
      </c>
      <c r="AI317" s="87">
        <v>3760</v>
      </c>
      <c r="AJ317" s="85">
        <v>282.048</v>
      </c>
    </row>
    <row r="318" spans="1:36" ht="14.25" customHeight="1">
      <c r="A318" s="88">
        <v>3790</v>
      </c>
      <c r="B318" s="84">
        <v>566.92600000000004</v>
      </c>
      <c r="C318" s="88">
        <v>3800</v>
      </c>
      <c r="D318" s="85">
        <v>562.78300000000002</v>
      </c>
      <c r="E318" s="86">
        <v>3790</v>
      </c>
      <c r="F318" s="85">
        <v>1206.087</v>
      </c>
      <c r="G318" s="87">
        <v>3790</v>
      </c>
      <c r="H318" s="85">
        <v>1205.047</v>
      </c>
      <c r="I318" s="87">
        <v>3790</v>
      </c>
      <c r="J318" s="85">
        <v>1034.7070000000001</v>
      </c>
      <c r="K318" s="87">
        <v>3790</v>
      </c>
      <c r="L318" s="85">
        <v>1034.452</v>
      </c>
      <c r="M318" s="87">
        <v>3790</v>
      </c>
      <c r="N318" s="85">
        <v>1034.499</v>
      </c>
      <c r="O318" s="87">
        <v>3770</v>
      </c>
      <c r="P318" s="85">
        <v>1035.6669999999999</v>
      </c>
      <c r="Q318" s="87">
        <v>3790</v>
      </c>
      <c r="R318" s="85">
        <v>1035.2439999999999</v>
      </c>
      <c r="S318" s="87">
        <v>3790</v>
      </c>
      <c r="T318" s="85">
        <v>1035.7429999999999</v>
      </c>
      <c r="U318" s="87">
        <v>3780</v>
      </c>
      <c r="V318" s="85">
        <v>1034.3820000000001</v>
      </c>
      <c r="W318" s="87">
        <v>3790</v>
      </c>
      <c r="X318" s="85">
        <v>1034.2049999999999</v>
      </c>
      <c r="Y318" s="87">
        <v>3790</v>
      </c>
      <c r="Z318" s="85">
        <v>1032.761</v>
      </c>
      <c r="AA318" s="87">
        <v>3790</v>
      </c>
      <c r="AB318" s="85">
        <v>1032.4860000000001</v>
      </c>
      <c r="AC318" s="87">
        <v>3780</v>
      </c>
      <c r="AD318" s="85">
        <v>956.57</v>
      </c>
      <c r="AE318" s="87">
        <v>3790</v>
      </c>
      <c r="AF318" s="85">
        <v>957.81700000000001</v>
      </c>
      <c r="AG318" s="87">
        <v>3770</v>
      </c>
      <c r="AH318" s="85">
        <v>269.50700000000001</v>
      </c>
      <c r="AI318" s="87">
        <v>3770</v>
      </c>
      <c r="AJ318" s="85">
        <v>281.64100000000002</v>
      </c>
    </row>
    <row r="319" spans="1:36" ht="14.25" customHeight="1">
      <c r="A319" s="88">
        <v>3800</v>
      </c>
      <c r="B319" s="84">
        <v>566.12900000000002</v>
      </c>
      <c r="C319" s="88">
        <v>3810</v>
      </c>
      <c r="D319" s="85">
        <v>561.99199999999996</v>
      </c>
      <c r="E319" s="86">
        <v>3800</v>
      </c>
      <c r="F319" s="85">
        <v>1204.5889999999999</v>
      </c>
      <c r="G319" s="87">
        <v>3800</v>
      </c>
      <c r="H319" s="85">
        <v>1203.5519999999999</v>
      </c>
      <c r="I319" s="87">
        <v>3800</v>
      </c>
      <c r="J319" s="85">
        <v>1033.501</v>
      </c>
      <c r="K319" s="87">
        <v>3800</v>
      </c>
      <c r="L319" s="85">
        <v>1033.2460000000001</v>
      </c>
      <c r="M319" s="87">
        <v>3800</v>
      </c>
      <c r="N319" s="85">
        <v>1033.2929999999999</v>
      </c>
      <c r="O319" s="87">
        <v>3780</v>
      </c>
      <c r="P319" s="85">
        <v>1034.461</v>
      </c>
      <c r="Q319" s="87">
        <v>3800</v>
      </c>
      <c r="R319" s="85">
        <v>1034.038</v>
      </c>
      <c r="S319" s="87">
        <v>3800</v>
      </c>
      <c r="T319" s="85">
        <v>1034.538</v>
      </c>
      <c r="U319" s="87">
        <v>3790</v>
      </c>
      <c r="V319" s="85">
        <v>1033.1790000000001</v>
      </c>
      <c r="W319" s="87">
        <v>3800</v>
      </c>
      <c r="X319" s="85">
        <v>1033.001</v>
      </c>
      <c r="Y319" s="87">
        <v>3800</v>
      </c>
      <c r="Z319" s="85">
        <v>1031.557</v>
      </c>
      <c r="AA319" s="87">
        <v>3800</v>
      </c>
      <c r="AB319" s="85">
        <v>1031.2840000000001</v>
      </c>
      <c r="AC319" s="87">
        <v>3790</v>
      </c>
      <c r="AD319" s="85">
        <v>955.36699999999996</v>
      </c>
      <c r="AE319" s="87">
        <v>3800</v>
      </c>
      <c r="AF319" s="85">
        <v>956.61400000000003</v>
      </c>
      <c r="AG319" s="87">
        <v>3780</v>
      </c>
      <c r="AH319" s="85">
        <v>269.113</v>
      </c>
      <c r="AI319" s="87">
        <v>3780</v>
      </c>
      <c r="AJ319" s="85">
        <v>281.233</v>
      </c>
    </row>
    <row r="320" spans="1:36" ht="14.25" customHeight="1">
      <c r="A320" s="88">
        <v>3810</v>
      </c>
      <c r="B320" s="84">
        <v>565.33199999999999</v>
      </c>
      <c r="C320" s="88">
        <v>3820</v>
      </c>
      <c r="D320" s="85">
        <v>561.20000000000005</v>
      </c>
      <c r="E320" s="86">
        <v>3810</v>
      </c>
      <c r="F320" s="85">
        <v>1203.0899999999999</v>
      </c>
      <c r="G320" s="87">
        <v>3810</v>
      </c>
      <c r="H320" s="85">
        <v>1202.056</v>
      </c>
      <c r="I320" s="87">
        <v>3810</v>
      </c>
      <c r="J320" s="85">
        <v>1032.2950000000001</v>
      </c>
      <c r="K320" s="87">
        <v>3810</v>
      </c>
      <c r="L320" s="85">
        <v>1032.039</v>
      </c>
      <c r="M320" s="87">
        <v>3810</v>
      </c>
      <c r="N320" s="85">
        <v>1032.086</v>
      </c>
      <c r="O320" s="87">
        <v>3790</v>
      </c>
      <c r="P320" s="85">
        <v>1033.2550000000001</v>
      </c>
      <c r="Q320" s="87">
        <v>3810</v>
      </c>
      <c r="R320" s="85">
        <v>1032.8330000000001</v>
      </c>
      <c r="S320" s="87">
        <v>3810</v>
      </c>
      <c r="T320" s="85">
        <v>1033.3330000000001</v>
      </c>
      <c r="U320" s="87">
        <v>3800</v>
      </c>
      <c r="V320" s="85">
        <v>1031.9760000000001</v>
      </c>
      <c r="W320" s="87">
        <v>3810</v>
      </c>
      <c r="X320" s="85">
        <v>1031.798</v>
      </c>
      <c r="Y320" s="87">
        <v>3810</v>
      </c>
      <c r="Z320" s="85">
        <v>1030.3530000000001</v>
      </c>
      <c r="AA320" s="87">
        <v>3810</v>
      </c>
      <c r="AB320" s="85">
        <v>1030.0820000000001</v>
      </c>
      <c r="AC320" s="87">
        <v>3800</v>
      </c>
      <c r="AD320" s="85">
        <v>954.16300000000001</v>
      </c>
      <c r="AE320" s="87">
        <v>3810</v>
      </c>
      <c r="AF320" s="85">
        <v>955.41200000000003</v>
      </c>
      <c r="AG320" s="87">
        <v>3790</v>
      </c>
      <c r="AH320" s="85">
        <v>268.71899999999999</v>
      </c>
      <c r="AI320" s="87">
        <v>3790</v>
      </c>
      <c r="AJ320" s="85">
        <v>280.82499999999999</v>
      </c>
    </row>
    <row r="321" spans="1:36" ht="14.25" customHeight="1">
      <c r="A321" s="88">
        <v>3820</v>
      </c>
      <c r="B321" s="84">
        <v>564.53499999999997</v>
      </c>
      <c r="C321" s="88">
        <v>3830</v>
      </c>
      <c r="D321" s="85">
        <v>560.40899999999999</v>
      </c>
      <c r="E321" s="86">
        <v>3820</v>
      </c>
      <c r="F321" s="85">
        <v>1201.5909999999999</v>
      </c>
      <c r="G321" s="87">
        <v>3820</v>
      </c>
      <c r="H321" s="85">
        <v>1200.56</v>
      </c>
      <c r="I321" s="87">
        <v>3820</v>
      </c>
      <c r="J321" s="85">
        <v>1031.0889999999999</v>
      </c>
      <c r="K321" s="87">
        <v>3820</v>
      </c>
      <c r="L321" s="85">
        <v>1030.8309999999999</v>
      </c>
      <c r="M321" s="87">
        <v>3820</v>
      </c>
      <c r="N321" s="85">
        <v>1030.8800000000001</v>
      </c>
      <c r="O321" s="87">
        <v>3800</v>
      </c>
      <c r="P321" s="85">
        <v>1032.05</v>
      </c>
      <c r="Q321" s="87">
        <v>3820</v>
      </c>
      <c r="R321" s="85">
        <v>1031.626</v>
      </c>
      <c r="S321" s="87">
        <v>3820</v>
      </c>
      <c r="T321" s="85">
        <v>1032.127</v>
      </c>
      <c r="U321" s="87">
        <v>3810</v>
      </c>
      <c r="V321" s="85">
        <v>1030.7729999999999</v>
      </c>
      <c r="W321" s="87">
        <v>3820</v>
      </c>
      <c r="X321" s="85">
        <v>1030.5940000000001</v>
      </c>
      <c r="Y321" s="87">
        <v>3820</v>
      </c>
      <c r="Z321" s="85">
        <v>1029.1489999999999</v>
      </c>
      <c r="AA321" s="87">
        <v>3820</v>
      </c>
      <c r="AB321" s="85">
        <v>1028.8800000000001</v>
      </c>
      <c r="AC321" s="87">
        <v>3810</v>
      </c>
      <c r="AD321" s="85">
        <v>952.95899999999995</v>
      </c>
      <c r="AE321" s="87">
        <v>3820</v>
      </c>
      <c r="AF321" s="85">
        <v>954.20899999999995</v>
      </c>
      <c r="AG321" s="87">
        <v>3800</v>
      </c>
      <c r="AH321" s="85">
        <v>268.32600000000002</v>
      </c>
      <c r="AI321" s="87">
        <v>3800</v>
      </c>
      <c r="AJ321" s="85">
        <v>280.41800000000001</v>
      </c>
    </row>
    <row r="322" spans="1:36" ht="14.25" customHeight="1">
      <c r="A322" s="88">
        <v>3830</v>
      </c>
      <c r="B322" s="84">
        <v>563.73699999999997</v>
      </c>
      <c r="C322" s="88">
        <v>3840</v>
      </c>
      <c r="D322" s="85">
        <v>559.61699999999996</v>
      </c>
      <c r="E322" s="86">
        <v>3830</v>
      </c>
      <c r="F322" s="85">
        <v>1200.0909999999999</v>
      </c>
      <c r="G322" s="87">
        <v>3830</v>
      </c>
      <c r="H322" s="85">
        <v>1199.0630000000001</v>
      </c>
      <c r="I322" s="87">
        <v>3830</v>
      </c>
      <c r="J322" s="85">
        <v>1029.8820000000001</v>
      </c>
      <c r="K322" s="87">
        <v>3830</v>
      </c>
      <c r="L322" s="85">
        <v>1029.624</v>
      </c>
      <c r="M322" s="87">
        <v>3830</v>
      </c>
      <c r="N322" s="85">
        <v>1029.674</v>
      </c>
      <c r="O322" s="87">
        <v>3810</v>
      </c>
      <c r="P322" s="85">
        <v>1030.8430000000001</v>
      </c>
      <c r="Q322" s="87">
        <v>3830</v>
      </c>
      <c r="R322" s="85">
        <v>1030.42</v>
      </c>
      <c r="S322" s="87">
        <v>3830</v>
      </c>
      <c r="T322" s="85">
        <v>1030.922</v>
      </c>
      <c r="U322" s="87">
        <v>3820</v>
      </c>
      <c r="V322" s="85">
        <v>1029.569</v>
      </c>
      <c r="W322" s="87">
        <v>3830</v>
      </c>
      <c r="X322" s="85">
        <v>1029.3889999999999</v>
      </c>
      <c r="Y322" s="87">
        <v>3830</v>
      </c>
      <c r="Z322" s="85">
        <v>1027.944</v>
      </c>
      <c r="AA322" s="87">
        <v>3830</v>
      </c>
      <c r="AB322" s="85">
        <v>1027.6769999999999</v>
      </c>
      <c r="AC322" s="87">
        <v>3820</v>
      </c>
      <c r="AD322" s="85">
        <v>951.755</v>
      </c>
      <c r="AE322" s="87">
        <v>3830</v>
      </c>
      <c r="AF322" s="85">
        <v>953.00699999999995</v>
      </c>
      <c r="AG322" s="87">
        <v>3810</v>
      </c>
      <c r="AH322" s="85">
        <v>267.93200000000002</v>
      </c>
      <c r="AI322" s="87">
        <v>3810</v>
      </c>
      <c r="AJ322" s="85">
        <v>280.01</v>
      </c>
    </row>
    <row r="323" spans="1:36" ht="14.25" customHeight="1">
      <c r="A323" s="88">
        <v>3840</v>
      </c>
      <c r="B323" s="84">
        <v>562.94000000000005</v>
      </c>
      <c r="C323" s="88">
        <v>3850</v>
      </c>
      <c r="D323" s="85">
        <v>558.82500000000005</v>
      </c>
      <c r="E323" s="86">
        <v>3840</v>
      </c>
      <c r="F323" s="85">
        <v>1198.5909999999999</v>
      </c>
      <c r="G323" s="87">
        <v>3840</v>
      </c>
      <c r="H323" s="85">
        <v>1197.567</v>
      </c>
      <c r="I323" s="87">
        <v>3840</v>
      </c>
      <c r="J323" s="85">
        <v>1028.6759999999999</v>
      </c>
      <c r="K323" s="87">
        <v>3840</v>
      </c>
      <c r="L323" s="85">
        <v>1028.4159999999999</v>
      </c>
      <c r="M323" s="87">
        <v>3840</v>
      </c>
      <c r="N323" s="85">
        <v>1028.4670000000001</v>
      </c>
      <c r="O323" s="87">
        <v>3820</v>
      </c>
      <c r="P323" s="85">
        <v>1029.6369999999999</v>
      </c>
      <c r="Q323" s="87">
        <v>3840</v>
      </c>
      <c r="R323" s="85">
        <v>1029.2139999999999</v>
      </c>
      <c r="S323" s="87">
        <v>3840</v>
      </c>
      <c r="T323" s="85">
        <v>1029.7159999999999</v>
      </c>
      <c r="U323" s="87">
        <v>3830</v>
      </c>
      <c r="V323" s="85">
        <v>1028.365</v>
      </c>
      <c r="W323" s="87">
        <v>3840</v>
      </c>
      <c r="X323" s="85">
        <v>1028.1849999999999</v>
      </c>
      <c r="Y323" s="87">
        <v>3840</v>
      </c>
      <c r="Z323" s="85">
        <v>1026.74</v>
      </c>
      <c r="AA323" s="87">
        <v>3840</v>
      </c>
      <c r="AB323" s="85">
        <v>1026.4739999999999</v>
      </c>
      <c r="AC323" s="87">
        <v>3830</v>
      </c>
      <c r="AD323" s="85">
        <v>950.55100000000004</v>
      </c>
      <c r="AE323" s="87">
        <v>3840</v>
      </c>
      <c r="AF323" s="85">
        <v>951.803</v>
      </c>
      <c r="AG323" s="87">
        <v>3820</v>
      </c>
      <c r="AH323" s="85">
        <v>267.53800000000001</v>
      </c>
      <c r="AI323" s="87">
        <v>3820</v>
      </c>
      <c r="AJ323" s="85">
        <v>279.60199999999998</v>
      </c>
    </row>
    <row r="324" spans="1:36" ht="14.25" customHeight="1">
      <c r="A324" s="88">
        <v>3850</v>
      </c>
      <c r="B324" s="84">
        <v>562.14200000000005</v>
      </c>
      <c r="C324" s="88">
        <v>3860</v>
      </c>
      <c r="D324" s="85">
        <v>558.03300000000002</v>
      </c>
      <c r="E324" s="86">
        <v>3850</v>
      </c>
      <c r="F324" s="85">
        <v>1197.0909999999999</v>
      </c>
      <c r="G324" s="87">
        <v>3850</v>
      </c>
      <c r="H324" s="85">
        <v>1196.07</v>
      </c>
      <c r="I324" s="87">
        <v>3850</v>
      </c>
      <c r="J324" s="85">
        <v>1027.4680000000001</v>
      </c>
      <c r="K324" s="87">
        <v>3850</v>
      </c>
      <c r="L324" s="85">
        <v>1027.2080000000001</v>
      </c>
      <c r="M324" s="87">
        <v>3850</v>
      </c>
      <c r="N324" s="85">
        <v>1027.26</v>
      </c>
      <c r="O324" s="87">
        <v>3830</v>
      </c>
      <c r="P324" s="85">
        <v>1028.43</v>
      </c>
      <c r="Q324" s="87">
        <v>3850</v>
      </c>
      <c r="R324" s="85">
        <v>1028.0070000000001</v>
      </c>
      <c r="S324" s="87">
        <v>3850</v>
      </c>
      <c r="T324" s="85">
        <v>1028.51</v>
      </c>
      <c r="U324" s="87">
        <v>3840</v>
      </c>
      <c r="V324" s="85">
        <v>1027.1610000000001</v>
      </c>
      <c r="W324" s="87">
        <v>3850</v>
      </c>
      <c r="X324" s="85">
        <v>1026.98</v>
      </c>
      <c r="Y324" s="87">
        <v>3850</v>
      </c>
      <c r="Z324" s="85">
        <v>1025.5340000000001</v>
      </c>
      <c r="AA324" s="87">
        <v>3850</v>
      </c>
      <c r="AB324" s="85">
        <v>1025.271</v>
      </c>
      <c r="AC324" s="87">
        <v>3840</v>
      </c>
      <c r="AD324" s="85">
        <v>949.346</v>
      </c>
      <c r="AE324" s="87">
        <v>3850</v>
      </c>
      <c r="AF324" s="85">
        <v>950.6</v>
      </c>
      <c r="AG324" s="87">
        <v>3830</v>
      </c>
      <c r="AH324" s="85">
        <v>267.14400000000001</v>
      </c>
      <c r="AI324" s="87">
        <v>3830</v>
      </c>
      <c r="AJ324" s="85">
        <v>279.19400000000002</v>
      </c>
    </row>
    <row r="325" spans="1:36" ht="14.25" customHeight="1">
      <c r="A325" s="88">
        <v>3860</v>
      </c>
      <c r="B325" s="84">
        <v>561.34400000000005</v>
      </c>
      <c r="C325" s="88">
        <v>3870</v>
      </c>
      <c r="D325" s="85">
        <v>557.24</v>
      </c>
      <c r="E325" s="86">
        <v>3860</v>
      </c>
      <c r="F325" s="85">
        <v>1195.5909999999999</v>
      </c>
      <c r="G325" s="87">
        <v>3860</v>
      </c>
      <c r="H325" s="85">
        <v>1194.5719999999999</v>
      </c>
      <c r="I325" s="87">
        <v>3860</v>
      </c>
      <c r="J325" s="85">
        <v>1026.261</v>
      </c>
      <c r="K325" s="87">
        <v>3860</v>
      </c>
      <c r="L325" s="85">
        <v>1026</v>
      </c>
      <c r="M325" s="87">
        <v>3860</v>
      </c>
      <c r="N325" s="85">
        <v>1026.0519999999999</v>
      </c>
      <c r="O325" s="87">
        <v>3840</v>
      </c>
      <c r="P325" s="85">
        <v>1027.2239999999999</v>
      </c>
      <c r="Q325" s="87">
        <v>3860</v>
      </c>
      <c r="R325" s="85">
        <v>1026.8</v>
      </c>
      <c r="S325" s="87">
        <v>3860</v>
      </c>
      <c r="T325" s="85">
        <v>1027.3030000000001</v>
      </c>
      <c r="U325" s="87">
        <v>3850</v>
      </c>
      <c r="V325" s="85">
        <v>1025.9570000000001</v>
      </c>
      <c r="W325" s="87">
        <v>3860</v>
      </c>
      <c r="X325" s="85">
        <v>1025.7750000000001</v>
      </c>
      <c r="Y325" s="87">
        <v>3860</v>
      </c>
      <c r="Z325" s="85">
        <v>1024.329</v>
      </c>
      <c r="AA325" s="87">
        <v>3860</v>
      </c>
      <c r="AB325" s="85">
        <v>1024.067</v>
      </c>
      <c r="AC325" s="87">
        <v>3850</v>
      </c>
      <c r="AD325" s="85">
        <v>948.14200000000005</v>
      </c>
      <c r="AE325" s="87">
        <v>3860</v>
      </c>
      <c r="AF325" s="85">
        <v>949.39700000000005</v>
      </c>
      <c r="AG325" s="87">
        <v>3840</v>
      </c>
      <c r="AH325" s="85">
        <v>266.74900000000002</v>
      </c>
      <c r="AI325" s="87">
        <v>3840</v>
      </c>
      <c r="AJ325" s="85">
        <v>278.786</v>
      </c>
    </row>
    <row r="326" spans="1:36" ht="14.25" customHeight="1">
      <c r="A326" s="88">
        <v>3870</v>
      </c>
      <c r="B326" s="84">
        <v>560.54600000000005</v>
      </c>
      <c r="C326" s="88">
        <v>3880</v>
      </c>
      <c r="D326" s="85">
        <v>556.44799999999998</v>
      </c>
      <c r="E326" s="86">
        <v>3870</v>
      </c>
      <c r="F326" s="85">
        <v>1194.0899999999999</v>
      </c>
      <c r="G326" s="87">
        <v>3870</v>
      </c>
      <c r="H326" s="85">
        <v>1193.0740000000001</v>
      </c>
      <c r="I326" s="87">
        <v>3870</v>
      </c>
      <c r="J326" s="85">
        <v>1025.0540000000001</v>
      </c>
      <c r="K326" s="87">
        <v>3870</v>
      </c>
      <c r="L326" s="85">
        <v>1024.7919999999999</v>
      </c>
      <c r="M326" s="87">
        <v>3870</v>
      </c>
      <c r="N326" s="85">
        <v>1024.845</v>
      </c>
      <c r="O326" s="87">
        <v>3850</v>
      </c>
      <c r="P326" s="85">
        <v>1026.0170000000001</v>
      </c>
      <c r="Q326" s="87">
        <v>3870</v>
      </c>
      <c r="R326" s="85">
        <v>1025.5930000000001</v>
      </c>
      <c r="S326" s="87">
        <v>3870</v>
      </c>
      <c r="T326" s="85">
        <v>1026.096</v>
      </c>
      <c r="U326" s="87">
        <v>3860</v>
      </c>
      <c r="V326" s="85">
        <v>1024.752</v>
      </c>
      <c r="W326" s="87">
        <v>3870</v>
      </c>
      <c r="X326" s="85">
        <v>1024.57</v>
      </c>
      <c r="Y326" s="87">
        <v>3870</v>
      </c>
      <c r="Z326" s="85">
        <v>1023.124</v>
      </c>
      <c r="AA326" s="87">
        <v>3870</v>
      </c>
      <c r="AB326" s="85">
        <v>1022.864</v>
      </c>
      <c r="AC326" s="87">
        <v>3860</v>
      </c>
      <c r="AD326" s="85">
        <v>946.93700000000001</v>
      </c>
      <c r="AE326" s="87">
        <v>3870</v>
      </c>
      <c r="AF326" s="85">
        <v>948.19299999999998</v>
      </c>
      <c r="AG326" s="87">
        <v>3850</v>
      </c>
      <c r="AH326" s="85">
        <v>266.35500000000002</v>
      </c>
      <c r="AI326" s="87">
        <v>3850</v>
      </c>
      <c r="AJ326" s="85">
        <v>278.37700000000001</v>
      </c>
    </row>
    <row r="327" spans="1:36" ht="14.25" customHeight="1">
      <c r="A327" s="88">
        <v>3880</v>
      </c>
      <c r="B327" s="84">
        <v>559.74800000000005</v>
      </c>
      <c r="C327" s="88">
        <v>3890</v>
      </c>
      <c r="D327" s="85">
        <v>555.65499999999997</v>
      </c>
      <c r="E327" s="86">
        <v>3880</v>
      </c>
      <c r="F327" s="85">
        <v>1192.5889999999999</v>
      </c>
      <c r="G327" s="87">
        <v>3880</v>
      </c>
      <c r="H327" s="85">
        <v>1191.576</v>
      </c>
      <c r="I327" s="87">
        <v>3880</v>
      </c>
      <c r="J327" s="85">
        <v>1023.846</v>
      </c>
      <c r="K327" s="87">
        <v>3880</v>
      </c>
      <c r="L327" s="85">
        <v>1023.583</v>
      </c>
      <c r="M327" s="87">
        <v>3880</v>
      </c>
      <c r="N327" s="85">
        <v>1023.6369999999999</v>
      </c>
      <c r="O327" s="87">
        <v>3860</v>
      </c>
      <c r="P327" s="85">
        <v>1024.809</v>
      </c>
      <c r="Q327" s="87">
        <v>3880</v>
      </c>
      <c r="R327" s="85">
        <v>1024.385</v>
      </c>
      <c r="S327" s="87">
        <v>3880</v>
      </c>
      <c r="T327" s="85">
        <v>1024.8900000000001</v>
      </c>
      <c r="U327" s="87">
        <v>3870</v>
      </c>
      <c r="V327" s="85">
        <v>1023.547</v>
      </c>
      <c r="W327" s="87">
        <v>3880</v>
      </c>
      <c r="X327" s="85">
        <v>1023.364</v>
      </c>
      <c r="Y327" s="87">
        <v>3880</v>
      </c>
      <c r="Z327" s="85">
        <v>1021.918</v>
      </c>
      <c r="AA327" s="87">
        <v>3880</v>
      </c>
      <c r="AB327" s="85">
        <v>1021.66</v>
      </c>
      <c r="AC327" s="87">
        <v>3870</v>
      </c>
      <c r="AD327" s="85">
        <v>945.73099999999999</v>
      </c>
      <c r="AE327" s="87">
        <v>3880</v>
      </c>
      <c r="AF327" s="85">
        <v>946.98900000000003</v>
      </c>
      <c r="AG327" s="87">
        <v>3860</v>
      </c>
      <c r="AH327" s="85">
        <v>265.96100000000001</v>
      </c>
      <c r="AI327" s="87">
        <v>3860</v>
      </c>
      <c r="AJ327" s="85">
        <v>277.96899999999999</v>
      </c>
    </row>
    <row r="328" spans="1:36" ht="14.25" customHeight="1">
      <c r="A328" s="88">
        <v>3890</v>
      </c>
      <c r="B328" s="84">
        <v>558.95000000000005</v>
      </c>
      <c r="C328" s="88">
        <v>3900</v>
      </c>
      <c r="D328" s="85">
        <v>554.86300000000006</v>
      </c>
      <c r="E328" s="86">
        <v>3890</v>
      </c>
      <c r="F328" s="85">
        <v>1191.088</v>
      </c>
      <c r="G328" s="87">
        <v>3890</v>
      </c>
      <c r="H328" s="85">
        <v>1190.078</v>
      </c>
      <c r="I328" s="87">
        <v>3890</v>
      </c>
      <c r="J328" s="85">
        <v>1022.638</v>
      </c>
      <c r="K328" s="87">
        <v>3890</v>
      </c>
      <c r="L328" s="85">
        <v>1022.374</v>
      </c>
      <c r="M328" s="87">
        <v>3890</v>
      </c>
      <c r="N328" s="85">
        <v>1022.429</v>
      </c>
      <c r="O328" s="87">
        <v>3870</v>
      </c>
      <c r="P328" s="85">
        <v>1023.602</v>
      </c>
      <c r="Q328" s="87">
        <v>3890</v>
      </c>
      <c r="R328" s="85">
        <v>1023.178</v>
      </c>
      <c r="S328" s="87">
        <v>3890</v>
      </c>
      <c r="T328" s="85">
        <v>1023.682</v>
      </c>
      <c r="U328" s="87">
        <v>3880</v>
      </c>
      <c r="V328" s="85">
        <v>1022.342</v>
      </c>
      <c r="W328" s="87">
        <v>3890</v>
      </c>
      <c r="X328" s="85">
        <v>1022.159</v>
      </c>
      <c r="Y328" s="87">
        <v>3890</v>
      </c>
      <c r="Z328" s="85">
        <v>1020.712</v>
      </c>
      <c r="AA328" s="87">
        <v>3890</v>
      </c>
      <c r="AB328" s="85">
        <v>1020.456</v>
      </c>
      <c r="AC328" s="87">
        <v>3880</v>
      </c>
      <c r="AD328" s="85">
        <v>944.52599999999995</v>
      </c>
      <c r="AE328" s="87">
        <v>3890</v>
      </c>
      <c r="AF328" s="85">
        <v>945.78399999999999</v>
      </c>
      <c r="AG328" s="87">
        <v>3870</v>
      </c>
      <c r="AH328" s="85">
        <v>265.56700000000001</v>
      </c>
      <c r="AI328" s="87">
        <v>3870</v>
      </c>
      <c r="AJ328" s="85">
        <v>277.56099999999998</v>
      </c>
    </row>
    <row r="329" spans="1:36" ht="14.25" customHeight="1">
      <c r="A329" s="88">
        <v>3900</v>
      </c>
      <c r="B329" s="84">
        <v>558.15099999999995</v>
      </c>
      <c r="C329" s="88">
        <v>3910</v>
      </c>
      <c r="D329" s="85">
        <v>554.07000000000005</v>
      </c>
      <c r="E329" s="86">
        <v>3900</v>
      </c>
      <c r="F329" s="85">
        <v>1189.586</v>
      </c>
      <c r="G329" s="87">
        <v>3900</v>
      </c>
      <c r="H329" s="85">
        <v>1188.579</v>
      </c>
      <c r="I329" s="87">
        <v>3900</v>
      </c>
      <c r="J329" s="85">
        <v>1021.43</v>
      </c>
      <c r="K329" s="87">
        <v>3900</v>
      </c>
      <c r="L329" s="85">
        <v>1021.165</v>
      </c>
      <c r="M329" s="87">
        <v>3900</v>
      </c>
      <c r="N329" s="85">
        <v>1021.221</v>
      </c>
      <c r="O329" s="87">
        <v>3880</v>
      </c>
      <c r="P329" s="85">
        <v>1022.394</v>
      </c>
      <c r="Q329" s="87">
        <v>3900</v>
      </c>
      <c r="R329" s="85">
        <v>1021.97</v>
      </c>
      <c r="S329" s="87">
        <v>3900</v>
      </c>
      <c r="T329" s="85">
        <v>1022.475</v>
      </c>
      <c r="U329" s="87">
        <v>3890</v>
      </c>
      <c r="V329" s="85">
        <v>1021.1369999999999</v>
      </c>
      <c r="W329" s="87">
        <v>3900</v>
      </c>
      <c r="X329" s="85">
        <v>1020.953</v>
      </c>
      <c r="Y329" s="87">
        <v>3900</v>
      </c>
      <c r="Z329" s="85">
        <v>1019.505</v>
      </c>
      <c r="AA329" s="87">
        <v>3900</v>
      </c>
      <c r="AB329" s="85">
        <v>1019.251</v>
      </c>
      <c r="AC329" s="87">
        <v>3890</v>
      </c>
      <c r="AD329" s="85">
        <v>943.32</v>
      </c>
      <c r="AE329" s="87">
        <v>3900</v>
      </c>
      <c r="AF329" s="85">
        <v>944.58</v>
      </c>
      <c r="AG329" s="87">
        <v>3880</v>
      </c>
      <c r="AH329" s="85">
        <v>265.17200000000003</v>
      </c>
      <c r="AI329" s="87">
        <v>3880</v>
      </c>
      <c r="AJ329" s="85">
        <v>277.15199999999999</v>
      </c>
    </row>
    <row r="330" spans="1:36" ht="14.25" customHeight="1">
      <c r="A330" s="88">
        <v>3910</v>
      </c>
      <c r="B330" s="84">
        <v>557.35299999999995</v>
      </c>
      <c r="C330" s="88">
        <v>3920</v>
      </c>
      <c r="D330" s="85">
        <v>553.27599999999995</v>
      </c>
      <c r="E330" s="86">
        <v>3910</v>
      </c>
      <c r="F330" s="85">
        <v>1188.0840000000001</v>
      </c>
      <c r="G330" s="87">
        <v>3910</v>
      </c>
      <c r="H330" s="85">
        <v>1187.0809999999999</v>
      </c>
      <c r="I330" s="87">
        <v>3910</v>
      </c>
      <c r="J330" s="85">
        <v>1020.221</v>
      </c>
      <c r="K330" s="87">
        <v>3910</v>
      </c>
      <c r="L330" s="85">
        <v>1019.956</v>
      </c>
      <c r="M330" s="87">
        <v>3910</v>
      </c>
      <c r="N330" s="85">
        <v>1020.0119999999999</v>
      </c>
      <c r="O330" s="87">
        <v>3890</v>
      </c>
      <c r="P330" s="85">
        <v>1021.186</v>
      </c>
      <c r="Q330" s="87">
        <v>3910</v>
      </c>
      <c r="R330" s="85">
        <v>1020.7619999999999</v>
      </c>
      <c r="S330" s="87">
        <v>3910</v>
      </c>
      <c r="T330" s="85">
        <v>1021.2670000000001</v>
      </c>
      <c r="U330" s="87">
        <v>3900</v>
      </c>
      <c r="V330" s="85">
        <v>1019.931</v>
      </c>
      <c r="W330" s="87">
        <v>3910</v>
      </c>
      <c r="X330" s="85">
        <v>1019.746</v>
      </c>
      <c r="Y330" s="87">
        <v>3910</v>
      </c>
      <c r="Z330" s="85">
        <v>1018.299</v>
      </c>
      <c r="AA330" s="87">
        <v>3910</v>
      </c>
      <c r="AB330" s="85">
        <v>1018.047</v>
      </c>
      <c r="AC330" s="87">
        <v>3900</v>
      </c>
      <c r="AD330" s="85">
        <v>942.11400000000003</v>
      </c>
      <c r="AE330" s="87">
        <v>3910</v>
      </c>
      <c r="AF330" s="85">
        <v>943.375</v>
      </c>
      <c r="AG330" s="87">
        <v>3890</v>
      </c>
      <c r="AH330" s="85">
        <v>264.77699999999999</v>
      </c>
      <c r="AI330" s="87">
        <v>3890</v>
      </c>
      <c r="AJ330" s="85">
        <v>276.74299999999999</v>
      </c>
    </row>
    <row r="331" spans="1:36" ht="14.25" customHeight="1">
      <c r="A331" s="88">
        <v>3920</v>
      </c>
      <c r="B331" s="84">
        <v>556.55399999999997</v>
      </c>
      <c r="C331" s="88">
        <v>3930</v>
      </c>
      <c r="D331" s="85">
        <v>552.48299999999995</v>
      </c>
      <c r="E331" s="86">
        <v>3920</v>
      </c>
      <c r="F331" s="85">
        <v>1186.5820000000001</v>
      </c>
      <c r="G331" s="87">
        <v>3920</v>
      </c>
      <c r="H331" s="85">
        <v>1185.5809999999999</v>
      </c>
      <c r="I331" s="87">
        <v>3920</v>
      </c>
      <c r="J331" s="85">
        <v>1019.013</v>
      </c>
      <c r="K331" s="87">
        <v>3920</v>
      </c>
      <c r="L331" s="85">
        <v>1018.746</v>
      </c>
      <c r="M331" s="87">
        <v>3920</v>
      </c>
      <c r="N331" s="85">
        <v>1018.803</v>
      </c>
      <c r="O331" s="87">
        <v>3900</v>
      </c>
      <c r="P331" s="85">
        <v>1019.978</v>
      </c>
      <c r="Q331" s="87">
        <v>3920</v>
      </c>
      <c r="R331" s="85">
        <v>1019.553</v>
      </c>
      <c r="S331" s="87">
        <v>3920</v>
      </c>
      <c r="T331" s="85">
        <v>1020.059</v>
      </c>
      <c r="U331" s="87">
        <v>3910</v>
      </c>
      <c r="V331" s="85">
        <v>1018.725</v>
      </c>
      <c r="W331" s="87">
        <v>3920</v>
      </c>
      <c r="X331" s="85">
        <v>1018.54</v>
      </c>
      <c r="Y331" s="87">
        <v>3920</v>
      </c>
      <c r="Z331" s="85">
        <v>1017.092</v>
      </c>
      <c r="AA331" s="87">
        <v>3920</v>
      </c>
      <c r="AB331" s="85">
        <v>1016.842</v>
      </c>
      <c r="AC331" s="87">
        <v>3910</v>
      </c>
      <c r="AD331" s="85">
        <v>940.90800000000002</v>
      </c>
      <c r="AE331" s="87">
        <v>3920</v>
      </c>
      <c r="AF331" s="85">
        <v>942.17</v>
      </c>
      <c r="AG331" s="87">
        <v>3900</v>
      </c>
      <c r="AH331" s="85">
        <v>264.38299999999998</v>
      </c>
      <c r="AI331" s="87">
        <v>3900</v>
      </c>
      <c r="AJ331" s="85">
        <v>276.33499999999998</v>
      </c>
    </row>
    <row r="332" spans="1:36" ht="14.25" customHeight="1">
      <c r="A332" s="88">
        <v>3930</v>
      </c>
      <c r="B332" s="84">
        <v>555.755</v>
      </c>
      <c r="C332" s="88">
        <v>3940</v>
      </c>
      <c r="D332" s="85">
        <v>551.69000000000005</v>
      </c>
      <c r="E332" s="86">
        <v>3930</v>
      </c>
      <c r="F332" s="85">
        <v>1185.079</v>
      </c>
      <c r="G332" s="87">
        <v>3930</v>
      </c>
      <c r="H332" s="85">
        <v>1184.0820000000001</v>
      </c>
      <c r="I332" s="87">
        <v>3930</v>
      </c>
      <c r="J332" s="85">
        <v>1017.804</v>
      </c>
      <c r="K332" s="87">
        <v>3930</v>
      </c>
      <c r="L332" s="85">
        <v>1017.5359999999999</v>
      </c>
      <c r="M332" s="87">
        <v>3930</v>
      </c>
      <c r="N332" s="85">
        <v>1017.5940000000001</v>
      </c>
      <c r="O332" s="87">
        <v>3910</v>
      </c>
      <c r="P332" s="85">
        <v>1018.769</v>
      </c>
      <c r="Q332" s="87">
        <v>3930</v>
      </c>
      <c r="R332" s="85">
        <v>1018.345</v>
      </c>
      <c r="S332" s="87">
        <v>3930</v>
      </c>
      <c r="T332" s="85">
        <v>1018.851</v>
      </c>
      <c r="U332" s="87">
        <v>3920</v>
      </c>
      <c r="V332" s="85">
        <v>1017.519</v>
      </c>
      <c r="W332" s="87">
        <v>3930</v>
      </c>
      <c r="X332" s="85">
        <v>1017.333</v>
      </c>
      <c r="Y332" s="87">
        <v>3930</v>
      </c>
      <c r="Z332" s="85">
        <v>1015.885</v>
      </c>
      <c r="AA332" s="87">
        <v>3930</v>
      </c>
      <c r="AB332" s="85">
        <v>1015.636</v>
      </c>
      <c r="AC332" s="87">
        <v>3920</v>
      </c>
      <c r="AD332" s="85">
        <v>939.70100000000002</v>
      </c>
      <c r="AE332" s="87">
        <v>3930</v>
      </c>
      <c r="AF332" s="85">
        <v>940.96500000000003</v>
      </c>
      <c r="AG332" s="87">
        <v>3910</v>
      </c>
      <c r="AH332" s="85">
        <v>263.988</v>
      </c>
      <c r="AI332" s="87">
        <v>3910</v>
      </c>
      <c r="AJ332" s="85">
        <v>275.92599999999999</v>
      </c>
    </row>
    <row r="333" spans="1:36" ht="14.25" customHeight="1">
      <c r="A333" s="88">
        <v>3940</v>
      </c>
      <c r="B333" s="84">
        <v>554.95600000000002</v>
      </c>
      <c r="C333" s="88">
        <v>3950</v>
      </c>
      <c r="D333" s="85">
        <v>550.89599999999996</v>
      </c>
      <c r="E333" s="86">
        <v>3940</v>
      </c>
      <c r="F333" s="85">
        <v>1183.577</v>
      </c>
      <c r="G333" s="87">
        <v>3940</v>
      </c>
      <c r="H333" s="85">
        <v>1182.5820000000001</v>
      </c>
      <c r="I333" s="87">
        <v>3940</v>
      </c>
      <c r="J333" s="85">
        <v>1016.595</v>
      </c>
      <c r="K333" s="87">
        <v>3940</v>
      </c>
      <c r="L333" s="85">
        <v>1016.326</v>
      </c>
      <c r="M333" s="87">
        <v>3940</v>
      </c>
      <c r="N333" s="85">
        <v>1016.385</v>
      </c>
      <c r="O333" s="87">
        <v>3920</v>
      </c>
      <c r="P333" s="85">
        <v>1017.56</v>
      </c>
      <c r="Q333" s="87">
        <v>3940</v>
      </c>
      <c r="R333" s="85">
        <v>1017.136</v>
      </c>
      <c r="S333" s="87">
        <v>3940</v>
      </c>
      <c r="T333" s="85">
        <v>1017.643</v>
      </c>
      <c r="U333" s="87">
        <v>3930</v>
      </c>
      <c r="V333" s="85">
        <v>1016.313</v>
      </c>
      <c r="W333" s="87">
        <v>3940</v>
      </c>
      <c r="X333" s="85">
        <v>1016.126</v>
      </c>
      <c r="Y333" s="87">
        <v>3940</v>
      </c>
      <c r="Z333" s="85">
        <v>1014.678</v>
      </c>
      <c r="AA333" s="87">
        <v>3940</v>
      </c>
      <c r="AB333" s="85">
        <v>1014.431</v>
      </c>
      <c r="AC333" s="87">
        <v>3930</v>
      </c>
      <c r="AD333" s="85">
        <v>938.495</v>
      </c>
      <c r="AE333" s="87">
        <v>3940</v>
      </c>
      <c r="AF333" s="85">
        <v>939.75900000000001</v>
      </c>
      <c r="AG333" s="87">
        <v>3920</v>
      </c>
      <c r="AH333" s="85">
        <v>263.59300000000002</v>
      </c>
      <c r="AI333" s="87">
        <v>3920</v>
      </c>
      <c r="AJ333" s="85">
        <v>275.517</v>
      </c>
    </row>
    <row r="334" spans="1:36" ht="14.25" customHeight="1">
      <c r="A334" s="88">
        <v>3950</v>
      </c>
      <c r="B334" s="84">
        <v>554.15599999999995</v>
      </c>
      <c r="C334" s="88">
        <v>3960</v>
      </c>
      <c r="D334" s="85">
        <v>550.10199999999998</v>
      </c>
      <c r="E334" s="86">
        <v>3950</v>
      </c>
      <c r="F334" s="85">
        <v>1182.0740000000001</v>
      </c>
      <c r="G334" s="87">
        <v>3950</v>
      </c>
      <c r="H334" s="85">
        <v>1181.0820000000001</v>
      </c>
      <c r="I334" s="87">
        <v>3950</v>
      </c>
      <c r="J334" s="85">
        <v>1015.385</v>
      </c>
      <c r="K334" s="87">
        <v>3950</v>
      </c>
      <c r="L334" s="85">
        <v>1015.116</v>
      </c>
      <c r="M334" s="87">
        <v>3950</v>
      </c>
      <c r="N334" s="85">
        <v>1015.176</v>
      </c>
      <c r="O334" s="87">
        <v>3930</v>
      </c>
      <c r="P334" s="85">
        <v>1016.351</v>
      </c>
      <c r="Q334" s="87">
        <v>3950</v>
      </c>
      <c r="R334" s="85">
        <v>1015.926</v>
      </c>
      <c r="S334" s="87">
        <v>3950</v>
      </c>
      <c r="T334" s="85">
        <v>1016.434</v>
      </c>
      <c r="U334" s="87">
        <v>3940</v>
      </c>
      <c r="V334" s="85">
        <v>1015.106</v>
      </c>
      <c r="W334" s="87">
        <v>3950</v>
      </c>
      <c r="X334" s="85">
        <v>1014.919</v>
      </c>
      <c r="Y334" s="87">
        <v>3950</v>
      </c>
      <c r="Z334" s="85">
        <v>1013.47</v>
      </c>
      <c r="AA334" s="87">
        <v>3950</v>
      </c>
      <c r="AB334" s="85">
        <v>1013.225</v>
      </c>
      <c r="AC334" s="87">
        <v>3940</v>
      </c>
      <c r="AD334" s="85">
        <v>937.28800000000001</v>
      </c>
      <c r="AE334" s="87">
        <v>3950</v>
      </c>
      <c r="AF334" s="85">
        <v>938.553</v>
      </c>
      <c r="AG334" s="87">
        <v>3930</v>
      </c>
      <c r="AH334" s="85">
        <v>263.19799999999998</v>
      </c>
      <c r="AI334" s="87">
        <v>3930</v>
      </c>
      <c r="AJ334" s="85">
        <v>275.108</v>
      </c>
    </row>
    <row r="335" spans="1:36" ht="14.25" customHeight="1">
      <c r="A335" s="88">
        <v>3960</v>
      </c>
      <c r="B335" s="84">
        <v>553.35699999999997</v>
      </c>
      <c r="C335" s="88">
        <v>3970</v>
      </c>
      <c r="D335" s="85">
        <v>549.30799999999999</v>
      </c>
      <c r="E335" s="86">
        <v>3960</v>
      </c>
      <c r="F335" s="85">
        <v>1180.57</v>
      </c>
      <c r="G335" s="87">
        <v>3960</v>
      </c>
      <c r="H335" s="85">
        <v>1179.5809999999999</v>
      </c>
      <c r="I335" s="87">
        <v>3960</v>
      </c>
      <c r="J335" s="85">
        <v>1014.176</v>
      </c>
      <c r="K335" s="87">
        <v>3960</v>
      </c>
      <c r="L335" s="85">
        <v>1013.905</v>
      </c>
      <c r="M335" s="87">
        <v>3960</v>
      </c>
      <c r="N335" s="85">
        <v>1013.966</v>
      </c>
      <c r="O335" s="87">
        <v>3940</v>
      </c>
      <c r="P335" s="85">
        <v>1015.1420000000001</v>
      </c>
      <c r="Q335" s="87">
        <v>3960</v>
      </c>
      <c r="R335" s="85">
        <v>1014.717</v>
      </c>
      <c r="S335" s="87">
        <v>3960</v>
      </c>
      <c r="T335" s="85">
        <v>1015.225</v>
      </c>
      <c r="U335" s="87">
        <v>3950</v>
      </c>
      <c r="V335" s="85">
        <v>1013.899</v>
      </c>
      <c r="W335" s="87">
        <v>3960</v>
      </c>
      <c r="X335" s="85">
        <v>1013.712</v>
      </c>
      <c r="Y335" s="87">
        <v>3960</v>
      </c>
      <c r="Z335" s="85">
        <v>1012.263</v>
      </c>
      <c r="AA335" s="87">
        <v>3960</v>
      </c>
      <c r="AB335" s="85">
        <v>1012.02</v>
      </c>
      <c r="AC335" s="87">
        <v>3950</v>
      </c>
      <c r="AD335" s="85">
        <v>936.08</v>
      </c>
      <c r="AE335" s="87">
        <v>3960</v>
      </c>
      <c r="AF335" s="85">
        <v>937.34699999999998</v>
      </c>
      <c r="AG335" s="87">
        <v>3940</v>
      </c>
      <c r="AH335" s="85">
        <v>262.803</v>
      </c>
      <c r="AI335" s="87">
        <v>3940</v>
      </c>
      <c r="AJ335" s="85">
        <v>274.69900000000001</v>
      </c>
    </row>
    <row r="336" spans="1:36" ht="14.25" customHeight="1">
      <c r="A336" s="88">
        <v>3970</v>
      </c>
      <c r="B336" s="84">
        <v>552.55700000000002</v>
      </c>
      <c r="C336" s="88">
        <v>3980</v>
      </c>
      <c r="D336" s="92">
        <v>548.51400000000001</v>
      </c>
      <c r="E336" s="86">
        <v>3970</v>
      </c>
      <c r="F336" s="85">
        <v>1179.066</v>
      </c>
      <c r="G336" s="87">
        <v>3970</v>
      </c>
      <c r="H336" s="85">
        <v>1178.0809999999999</v>
      </c>
      <c r="I336" s="87">
        <v>3970</v>
      </c>
      <c r="J336" s="85">
        <v>1012.966</v>
      </c>
      <c r="K336" s="87">
        <v>3970</v>
      </c>
      <c r="L336" s="85">
        <v>1012.694</v>
      </c>
      <c r="M336" s="87">
        <v>3970</v>
      </c>
      <c r="N336" s="85">
        <v>1012.756</v>
      </c>
      <c r="O336" s="87">
        <v>3950</v>
      </c>
      <c r="P336" s="85">
        <v>1013.933</v>
      </c>
      <c r="Q336" s="87">
        <v>3970</v>
      </c>
      <c r="R336" s="85">
        <v>1013.5069999999999</v>
      </c>
      <c r="S336" s="87">
        <v>3970</v>
      </c>
      <c r="T336" s="85">
        <v>1014.016</v>
      </c>
      <c r="U336" s="87">
        <v>3960</v>
      </c>
      <c r="V336" s="85">
        <v>1012.692</v>
      </c>
      <c r="W336" s="87">
        <v>3970</v>
      </c>
      <c r="X336" s="85">
        <v>1012.504</v>
      </c>
      <c r="Y336" s="87">
        <v>3970</v>
      </c>
      <c r="Z336" s="85">
        <v>1011.0549999999999</v>
      </c>
      <c r="AA336" s="87">
        <v>3970</v>
      </c>
      <c r="AB336" s="85">
        <v>1010.813</v>
      </c>
      <c r="AC336" s="87">
        <v>3960</v>
      </c>
      <c r="AD336" s="85">
        <v>934.87300000000005</v>
      </c>
      <c r="AE336" s="87">
        <v>3970</v>
      </c>
      <c r="AF336" s="85">
        <v>936.14099999999996</v>
      </c>
      <c r="AG336" s="87">
        <v>3950</v>
      </c>
      <c r="AH336" s="85">
        <v>262.40800000000002</v>
      </c>
      <c r="AI336" s="87">
        <v>3950</v>
      </c>
      <c r="AJ336" s="85">
        <v>274.29000000000002</v>
      </c>
    </row>
    <row r="337" spans="1:36" ht="14.25" customHeight="1">
      <c r="A337" s="88">
        <v>3980</v>
      </c>
      <c r="B337" s="84">
        <v>551.75699999999995</v>
      </c>
      <c r="C337" s="88">
        <v>3990</v>
      </c>
      <c r="D337" s="85">
        <v>547.71900000000005</v>
      </c>
      <c r="E337" s="86">
        <v>3980</v>
      </c>
      <c r="F337" s="85">
        <v>1177.5619999999999</v>
      </c>
      <c r="G337" s="87">
        <v>3980</v>
      </c>
      <c r="H337" s="85">
        <v>1176.58</v>
      </c>
      <c r="I337" s="87">
        <v>3980</v>
      </c>
      <c r="J337" s="85">
        <v>1011.756</v>
      </c>
      <c r="K337" s="87">
        <v>3980</v>
      </c>
      <c r="L337" s="85">
        <v>1011.4829999999999</v>
      </c>
      <c r="M337" s="87">
        <v>3980</v>
      </c>
      <c r="N337" s="85">
        <v>1011.546</v>
      </c>
      <c r="O337" s="87">
        <v>3960</v>
      </c>
      <c r="P337" s="85">
        <v>1012.723</v>
      </c>
      <c r="Q337" s="87">
        <v>3980</v>
      </c>
      <c r="R337" s="85">
        <v>1012.298</v>
      </c>
      <c r="S337" s="87">
        <v>3980</v>
      </c>
      <c r="T337" s="85">
        <v>1012.807</v>
      </c>
      <c r="U337" s="87">
        <v>3970</v>
      </c>
      <c r="V337" s="85">
        <v>1011.485</v>
      </c>
      <c r="W337" s="87">
        <v>3980</v>
      </c>
      <c r="X337" s="85">
        <v>1011.296</v>
      </c>
      <c r="Y337" s="87">
        <v>3980</v>
      </c>
      <c r="Z337" s="85">
        <v>1009.846</v>
      </c>
      <c r="AA337" s="87">
        <v>3980</v>
      </c>
      <c r="AB337" s="85">
        <v>1009.607</v>
      </c>
      <c r="AC337" s="87">
        <v>3970</v>
      </c>
      <c r="AD337" s="85">
        <v>933.66499999999996</v>
      </c>
      <c r="AE337" s="87">
        <v>3980</v>
      </c>
      <c r="AF337" s="85">
        <v>934.93499999999995</v>
      </c>
      <c r="AG337" s="87">
        <v>3960</v>
      </c>
      <c r="AH337" s="85">
        <v>262.01299999999998</v>
      </c>
      <c r="AI337" s="87">
        <v>3960</v>
      </c>
      <c r="AJ337" s="85">
        <v>273.88</v>
      </c>
    </row>
    <row r="338" spans="1:36" ht="14.25" customHeight="1">
      <c r="A338" s="88">
        <v>3990</v>
      </c>
      <c r="B338" s="84">
        <v>550.95699999999999</v>
      </c>
      <c r="C338" s="88">
        <v>4000</v>
      </c>
      <c r="D338" s="85">
        <v>546.92499999999995</v>
      </c>
      <c r="E338" s="86">
        <v>3990</v>
      </c>
      <c r="F338" s="85">
        <v>1176.058</v>
      </c>
      <c r="G338" s="87">
        <v>3990</v>
      </c>
      <c r="H338" s="85">
        <v>1175.078</v>
      </c>
      <c r="I338" s="87">
        <v>3990</v>
      </c>
      <c r="J338" s="85">
        <v>1010.545</v>
      </c>
      <c r="K338" s="87">
        <v>3990</v>
      </c>
      <c r="L338" s="85">
        <v>1010.272</v>
      </c>
      <c r="M338" s="87">
        <v>3990</v>
      </c>
      <c r="N338" s="85">
        <v>1010.335</v>
      </c>
      <c r="O338" s="87">
        <v>3970</v>
      </c>
      <c r="P338" s="85">
        <v>1011.513</v>
      </c>
      <c r="Q338" s="87">
        <v>3990</v>
      </c>
      <c r="R338" s="85">
        <v>1011.087</v>
      </c>
      <c r="S338" s="87">
        <v>3990</v>
      </c>
      <c r="T338" s="85">
        <v>1011.597</v>
      </c>
      <c r="U338" s="87">
        <v>3980</v>
      </c>
      <c r="V338" s="85">
        <v>1010.277</v>
      </c>
      <c r="W338" s="87">
        <v>3990</v>
      </c>
      <c r="X338" s="85">
        <v>1010.088</v>
      </c>
      <c r="Y338" s="87">
        <v>3990</v>
      </c>
      <c r="Z338" s="85">
        <v>1008.638</v>
      </c>
      <c r="AA338" s="87">
        <v>3990</v>
      </c>
      <c r="AB338" s="85">
        <v>1008.401</v>
      </c>
      <c r="AC338" s="87">
        <v>3980</v>
      </c>
      <c r="AD338" s="85">
        <v>932.45699999999999</v>
      </c>
      <c r="AE338" s="87">
        <v>3990</v>
      </c>
      <c r="AF338" s="85">
        <v>933.72799999999995</v>
      </c>
      <c r="AG338" s="87">
        <v>3970</v>
      </c>
      <c r="AH338" s="85">
        <v>261.61700000000002</v>
      </c>
      <c r="AI338" s="87">
        <v>3970</v>
      </c>
      <c r="AJ338" s="85">
        <v>273.471</v>
      </c>
    </row>
    <row r="339" spans="1:36" ht="14.25" customHeight="1">
      <c r="A339" s="88">
        <v>4000</v>
      </c>
      <c r="B339" s="84">
        <v>550.15700000000004</v>
      </c>
      <c r="C339" s="88">
        <v>4010</v>
      </c>
      <c r="D339" s="85">
        <v>546.13</v>
      </c>
      <c r="E339" s="86">
        <v>4000</v>
      </c>
      <c r="F339" s="85">
        <v>1174.5540000000001</v>
      </c>
      <c r="G339" s="87">
        <v>4000</v>
      </c>
      <c r="H339" s="85">
        <v>1173.576</v>
      </c>
      <c r="I339" s="87">
        <v>4000</v>
      </c>
      <c r="J339" s="85">
        <v>1009.335</v>
      </c>
      <c r="K339" s="87">
        <v>4000</v>
      </c>
      <c r="L339" s="85">
        <v>1009.06</v>
      </c>
      <c r="M339" s="87">
        <v>4000</v>
      </c>
      <c r="N339" s="85">
        <v>1009.125</v>
      </c>
      <c r="O339" s="87">
        <v>3980</v>
      </c>
      <c r="P339" s="85">
        <v>1010.303</v>
      </c>
      <c r="Q339" s="87">
        <v>4000</v>
      </c>
      <c r="R339" s="85">
        <v>1009.877</v>
      </c>
      <c r="S339" s="87">
        <v>4000</v>
      </c>
      <c r="T339" s="85">
        <v>1010.3869999999999</v>
      </c>
      <c r="U339" s="87">
        <v>3990</v>
      </c>
      <c r="V339" s="85">
        <v>1009.07</v>
      </c>
      <c r="W339" s="87">
        <v>4000</v>
      </c>
      <c r="X339" s="85">
        <v>1008.879</v>
      </c>
      <c r="Y339" s="87">
        <v>4000</v>
      </c>
      <c r="Z339" s="85">
        <v>1007.429</v>
      </c>
      <c r="AA339" s="87">
        <v>4000</v>
      </c>
      <c r="AB339" s="85">
        <v>1007.194</v>
      </c>
      <c r="AC339" s="87">
        <v>3990</v>
      </c>
      <c r="AD339" s="85">
        <v>931.24900000000002</v>
      </c>
      <c r="AE339" s="87">
        <v>4000</v>
      </c>
      <c r="AF339" s="85">
        <v>932.52099999999996</v>
      </c>
      <c r="AG339" s="87">
        <v>3980</v>
      </c>
      <c r="AH339" s="85">
        <v>261.22199999999998</v>
      </c>
      <c r="AI339" s="87">
        <v>3980</v>
      </c>
      <c r="AJ339" s="85">
        <v>273.06200000000001</v>
      </c>
    </row>
    <row r="340" spans="1:36" ht="14.25" customHeight="1">
      <c r="A340" s="88">
        <v>4010</v>
      </c>
      <c r="B340" s="84">
        <v>549.35699999999997</v>
      </c>
      <c r="C340" s="88">
        <v>4020</v>
      </c>
      <c r="D340" s="85">
        <v>545.33500000000004</v>
      </c>
      <c r="E340" s="86">
        <v>4010</v>
      </c>
      <c r="F340" s="85">
        <v>1173.049</v>
      </c>
      <c r="G340" s="87">
        <v>4010</v>
      </c>
      <c r="H340" s="85">
        <v>1172.075</v>
      </c>
      <c r="I340" s="87">
        <v>4010</v>
      </c>
      <c r="J340" s="85">
        <v>1008.124</v>
      </c>
      <c r="K340" s="87">
        <v>4010</v>
      </c>
      <c r="L340" s="85">
        <v>1007.848</v>
      </c>
      <c r="M340" s="87">
        <v>4010</v>
      </c>
      <c r="N340" s="85">
        <v>1007.914</v>
      </c>
      <c r="O340" s="87">
        <v>3990</v>
      </c>
      <c r="P340" s="85">
        <v>1009.092</v>
      </c>
      <c r="Q340" s="87">
        <v>4010</v>
      </c>
      <c r="R340" s="85">
        <v>1008.667</v>
      </c>
      <c r="S340" s="87">
        <v>4010</v>
      </c>
      <c r="T340" s="85">
        <v>1009.177</v>
      </c>
      <c r="U340" s="87">
        <v>4000</v>
      </c>
      <c r="V340" s="85">
        <v>1007.862</v>
      </c>
      <c r="W340" s="87">
        <v>4010</v>
      </c>
      <c r="X340" s="85">
        <v>1007.671</v>
      </c>
      <c r="Y340" s="87">
        <v>4010</v>
      </c>
      <c r="Z340" s="85">
        <v>1006.22</v>
      </c>
      <c r="AA340" s="87">
        <v>4010</v>
      </c>
      <c r="AB340" s="85">
        <v>1005.987</v>
      </c>
      <c r="AC340" s="87">
        <v>4000</v>
      </c>
      <c r="AD340" s="85">
        <v>930.04100000000005</v>
      </c>
      <c r="AE340" s="87">
        <v>4010</v>
      </c>
      <c r="AF340" s="85">
        <v>931.31399999999996</v>
      </c>
      <c r="AG340" s="87">
        <v>3990</v>
      </c>
      <c r="AH340" s="85">
        <v>260.82600000000002</v>
      </c>
      <c r="AI340" s="87">
        <v>3990</v>
      </c>
      <c r="AJ340" s="85">
        <v>272.65199999999999</v>
      </c>
    </row>
    <row r="341" spans="1:36" ht="14.25" customHeight="1">
      <c r="A341" s="88">
        <v>4020</v>
      </c>
      <c r="B341" s="84">
        <v>548.55600000000004</v>
      </c>
      <c r="C341" s="88">
        <v>4030</v>
      </c>
      <c r="D341" s="85">
        <v>544.54</v>
      </c>
      <c r="E341" s="86">
        <v>4020</v>
      </c>
      <c r="F341" s="85">
        <v>1171.5429999999999</v>
      </c>
      <c r="G341" s="87">
        <v>4020</v>
      </c>
      <c r="H341" s="85">
        <v>1170.5719999999999</v>
      </c>
      <c r="I341" s="87">
        <v>4020</v>
      </c>
      <c r="J341" s="85">
        <v>1006.913</v>
      </c>
      <c r="K341" s="87">
        <v>4020</v>
      </c>
      <c r="L341" s="85">
        <v>1006.636</v>
      </c>
      <c r="M341" s="87">
        <v>4020</v>
      </c>
      <c r="N341" s="85">
        <v>1006.703</v>
      </c>
      <c r="O341" s="87">
        <v>4000</v>
      </c>
      <c r="P341" s="85">
        <v>1007.8819999999999</v>
      </c>
      <c r="Q341" s="87">
        <v>4020</v>
      </c>
      <c r="R341" s="85">
        <v>1007.456</v>
      </c>
      <c r="S341" s="87">
        <v>4020</v>
      </c>
      <c r="T341" s="85">
        <v>1007.967</v>
      </c>
      <c r="U341" s="87">
        <v>4010</v>
      </c>
      <c r="V341" s="85">
        <v>1006.653</v>
      </c>
      <c r="W341" s="87">
        <v>4020</v>
      </c>
      <c r="X341" s="85">
        <v>1006.462</v>
      </c>
      <c r="Y341" s="87">
        <v>4020</v>
      </c>
      <c r="Z341" s="85">
        <v>1005.011</v>
      </c>
      <c r="AA341" s="87">
        <v>4020</v>
      </c>
      <c r="AB341" s="85">
        <v>1004.779</v>
      </c>
      <c r="AC341" s="87">
        <v>4010</v>
      </c>
      <c r="AD341" s="85">
        <v>928.83199999999999</v>
      </c>
      <c r="AE341" s="87">
        <v>4020</v>
      </c>
      <c r="AF341" s="85">
        <v>930.10599999999999</v>
      </c>
      <c r="AG341" s="87">
        <v>4000</v>
      </c>
      <c r="AH341" s="85">
        <v>260.43099999999998</v>
      </c>
      <c r="AI341" s="87">
        <v>4000</v>
      </c>
      <c r="AJ341" s="85">
        <v>272.24200000000002</v>
      </c>
    </row>
    <row r="342" spans="1:36" ht="14.25" customHeight="1">
      <c r="A342" s="88">
        <v>4030</v>
      </c>
      <c r="B342" s="84">
        <v>547.755</v>
      </c>
      <c r="C342" s="88">
        <v>4040</v>
      </c>
      <c r="D342" s="85">
        <v>543.745</v>
      </c>
      <c r="E342" s="86">
        <v>4030</v>
      </c>
      <c r="F342" s="85">
        <v>1170.038</v>
      </c>
      <c r="G342" s="87">
        <v>4030</v>
      </c>
      <c r="H342" s="85">
        <v>1169.07</v>
      </c>
      <c r="I342" s="87">
        <v>4030</v>
      </c>
      <c r="J342" s="85">
        <v>1005.702</v>
      </c>
      <c r="K342" s="87">
        <v>4030</v>
      </c>
      <c r="L342" s="85">
        <v>1005.424</v>
      </c>
      <c r="M342" s="87">
        <v>4030</v>
      </c>
      <c r="N342" s="85">
        <v>1005.491</v>
      </c>
      <c r="O342" s="87">
        <v>4010</v>
      </c>
      <c r="P342" s="85">
        <v>1006.671</v>
      </c>
      <c r="Q342" s="87">
        <v>4030</v>
      </c>
      <c r="R342" s="85">
        <v>1006.245</v>
      </c>
      <c r="S342" s="87">
        <v>4030</v>
      </c>
      <c r="T342" s="85">
        <v>1006.756</v>
      </c>
      <c r="U342" s="87">
        <v>4020</v>
      </c>
      <c r="V342" s="85">
        <v>1005.4450000000001</v>
      </c>
      <c r="W342" s="87">
        <v>4030</v>
      </c>
      <c r="X342" s="85">
        <v>1005.253</v>
      </c>
      <c r="Y342" s="87">
        <v>4030</v>
      </c>
      <c r="Z342" s="85">
        <v>1003.802</v>
      </c>
      <c r="AA342" s="87">
        <v>4030</v>
      </c>
      <c r="AB342" s="85">
        <v>1003.572</v>
      </c>
      <c r="AC342" s="87">
        <v>4020</v>
      </c>
      <c r="AD342" s="85">
        <v>927.62300000000005</v>
      </c>
      <c r="AE342" s="87">
        <v>4030</v>
      </c>
      <c r="AF342" s="85">
        <v>928.899</v>
      </c>
      <c r="AG342" s="87">
        <v>4010</v>
      </c>
      <c r="AH342" s="85">
        <v>260.03500000000003</v>
      </c>
      <c r="AI342" s="87">
        <v>4010</v>
      </c>
      <c r="AJ342" s="85">
        <v>271.83300000000003</v>
      </c>
    </row>
    <row r="343" spans="1:36" ht="14.25" customHeight="1">
      <c r="A343" s="88">
        <v>4040</v>
      </c>
      <c r="B343" s="84">
        <v>546.95399999999995</v>
      </c>
      <c r="C343" s="88">
        <v>4050</v>
      </c>
      <c r="D343" s="85">
        <v>542.94899999999996</v>
      </c>
      <c r="E343" s="86">
        <v>4040</v>
      </c>
      <c r="F343" s="85">
        <v>1168.5319999999999</v>
      </c>
      <c r="G343" s="87">
        <v>4040</v>
      </c>
      <c r="H343" s="85">
        <v>1167.567</v>
      </c>
      <c r="I343" s="87">
        <v>4040</v>
      </c>
      <c r="J343" s="85">
        <v>1004.49</v>
      </c>
      <c r="K343" s="87">
        <v>4040</v>
      </c>
      <c r="L343" s="85">
        <v>1004.211</v>
      </c>
      <c r="M343" s="87">
        <v>4040</v>
      </c>
      <c r="N343" s="85">
        <v>1004.28</v>
      </c>
      <c r="O343" s="87">
        <v>4020</v>
      </c>
      <c r="P343" s="85">
        <v>1005.46</v>
      </c>
      <c r="Q343" s="87">
        <v>4040</v>
      </c>
      <c r="R343" s="85">
        <v>1005.033</v>
      </c>
      <c r="S343" s="87">
        <v>4040</v>
      </c>
      <c r="T343" s="85">
        <v>1005.546</v>
      </c>
      <c r="U343" s="87">
        <v>4030</v>
      </c>
      <c r="V343" s="85">
        <v>1004.236</v>
      </c>
      <c r="W343" s="87">
        <v>4040</v>
      </c>
      <c r="X343" s="85">
        <v>1004.043</v>
      </c>
      <c r="Y343" s="87">
        <v>4040</v>
      </c>
      <c r="Z343" s="85">
        <v>1002.592</v>
      </c>
      <c r="AA343" s="87">
        <v>4040</v>
      </c>
      <c r="AB343" s="85">
        <v>1002.364</v>
      </c>
      <c r="AC343" s="87">
        <v>4030</v>
      </c>
      <c r="AD343" s="85">
        <v>926.41399999999999</v>
      </c>
      <c r="AE343" s="87">
        <v>4040</v>
      </c>
      <c r="AF343" s="85">
        <v>927.69100000000003</v>
      </c>
      <c r="AG343" s="87">
        <v>4020</v>
      </c>
      <c r="AH343" s="85">
        <v>259.63900000000001</v>
      </c>
      <c r="AI343" s="87">
        <v>4020</v>
      </c>
      <c r="AJ343" s="85">
        <v>271.423</v>
      </c>
    </row>
    <row r="344" spans="1:36" ht="14.25" customHeight="1">
      <c r="A344" s="88">
        <v>4050</v>
      </c>
      <c r="B344" s="84">
        <v>546.15300000000002</v>
      </c>
      <c r="C344" s="88">
        <v>4060</v>
      </c>
      <c r="D344" s="85">
        <v>542.154</v>
      </c>
      <c r="E344" s="86">
        <v>4050</v>
      </c>
      <c r="F344" s="85">
        <v>1167.0260000000001</v>
      </c>
      <c r="G344" s="87">
        <v>4050</v>
      </c>
      <c r="H344" s="85">
        <v>1166.0640000000001</v>
      </c>
      <c r="I344" s="87">
        <v>4050</v>
      </c>
      <c r="J344" s="85">
        <v>1003.279</v>
      </c>
      <c r="K344" s="87">
        <v>4050</v>
      </c>
      <c r="L344" s="85">
        <v>1002.998</v>
      </c>
      <c r="M344" s="87">
        <v>4050</v>
      </c>
      <c r="N344" s="85">
        <v>1003.068</v>
      </c>
      <c r="O344" s="87">
        <v>4030</v>
      </c>
      <c r="P344" s="85">
        <v>1004.248</v>
      </c>
      <c r="Q344" s="87">
        <v>4050</v>
      </c>
      <c r="R344" s="85">
        <v>1003.822</v>
      </c>
      <c r="S344" s="87">
        <v>4050</v>
      </c>
      <c r="T344" s="85">
        <v>1004.3339999999999</v>
      </c>
      <c r="U344" s="87">
        <v>4040</v>
      </c>
      <c r="V344" s="85">
        <v>1003.027</v>
      </c>
      <c r="W344" s="87">
        <v>4050</v>
      </c>
      <c r="X344" s="85">
        <v>1002.8339999999999</v>
      </c>
      <c r="Y344" s="87">
        <v>4050</v>
      </c>
      <c r="Z344" s="85">
        <v>1001.3819999999999</v>
      </c>
      <c r="AA344" s="87">
        <v>4050</v>
      </c>
      <c r="AB344" s="85">
        <v>1001.1559999999999</v>
      </c>
      <c r="AC344" s="87">
        <v>4040</v>
      </c>
      <c r="AD344" s="85">
        <v>925.20500000000004</v>
      </c>
      <c r="AE344" s="87">
        <v>4050</v>
      </c>
      <c r="AF344" s="85">
        <v>926.48299999999995</v>
      </c>
      <c r="AG344" s="87">
        <v>4030</v>
      </c>
      <c r="AH344" s="85">
        <v>259.24299999999999</v>
      </c>
      <c r="AI344" s="87">
        <v>4030</v>
      </c>
      <c r="AJ344" s="85">
        <v>271.01299999999998</v>
      </c>
    </row>
    <row r="345" spans="1:36" ht="14.25" customHeight="1">
      <c r="A345" s="88">
        <v>4060</v>
      </c>
      <c r="B345" s="84">
        <v>545.35199999999998</v>
      </c>
      <c r="C345" s="88">
        <v>4070</v>
      </c>
      <c r="D345" s="85">
        <v>541.35799999999995</v>
      </c>
      <c r="E345" s="86">
        <v>4060</v>
      </c>
      <c r="F345" s="85">
        <v>1165.52</v>
      </c>
      <c r="G345" s="87">
        <v>4060</v>
      </c>
      <c r="H345" s="85">
        <v>1164.5609999999999</v>
      </c>
      <c r="I345" s="87">
        <v>4060</v>
      </c>
      <c r="J345" s="85">
        <v>1002.067</v>
      </c>
      <c r="K345" s="87">
        <v>4060</v>
      </c>
      <c r="L345" s="85">
        <v>1001.785</v>
      </c>
      <c r="M345" s="87">
        <v>4060</v>
      </c>
      <c r="N345" s="85">
        <v>1001.856</v>
      </c>
      <c r="O345" s="87">
        <v>4040</v>
      </c>
      <c r="P345" s="85">
        <v>1003.037</v>
      </c>
      <c r="Q345" s="87">
        <v>4060</v>
      </c>
      <c r="R345" s="85">
        <v>1002.61</v>
      </c>
      <c r="S345" s="87">
        <v>4060</v>
      </c>
      <c r="T345" s="85">
        <v>1003.123</v>
      </c>
      <c r="U345" s="87">
        <v>4050</v>
      </c>
      <c r="V345" s="85">
        <v>1001.818</v>
      </c>
      <c r="W345" s="87">
        <v>4060</v>
      </c>
      <c r="X345" s="85">
        <v>1001.624</v>
      </c>
      <c r="Y345" s="87">
        <v>4060</v>
      </c>
      <c r="Z345" s="85">
        <v>1000.172</v>
      </c>
      <c r="AA345" s="87">
        <v>4060</v>
      </c>
      <c r="AB345" s="85">
        <v>999.947</v>
      </c>
      <c r="AC345" s="87">
        <v>4050</v>
      </c>
      <c r="AD345" s="85">
        <v>923.995</v>
      </c>
      <c r="AE345" s="87">
        <v>4060</v>
      </c>
      <c r="AF345" s="85">
        <v>925.274</v>
      </c>
      <c r="AG345" s="87">
        <v>4040</v>
      </c>
      <c r="AH345" s="85">
        <v>258.84699999999998</v>
      </c>
      <c r="AI345" s="87">
        <v>4040</v>
      </c>
      <c r="AJ345" s="85">
        <v>270.60300000000001</v>
      </c>
    </row>
    <row r="346" spans="1:36" ht="14.25" customHeight="1">
      <c r="A346" s="88">
        <v>4070</v>
      </c>
      <c r="B346" s="84">
        <v>544.55100000000004</v>
      </c>
      <c r="C346" s="88">
        <v>4080</v>
      </c>
      <c r="D346" s="85">
        <v>540.56200000000001</v>
      </c>
      <c r="E346" s="86">
        <v>4070</v>
      </c>
      <c r="F346" s="85">
        <v>1164.0129999999999</v>
      </c>
      <c r="G346" s="87">
        <v>4070</v>
      </c>
      <c r="H346" s="85">
        <v>1163.057</v>
      </c>
      <c r="I346" s="87">
        <v>4070</v>
      </c>
      <c r="J346" s="85">
        <v>1000.854</v>
      </c>
      <c r="K346" s="87">
        <v>4070</v>
      </c>
      <c r="L346" s="85">
        <v>1000.572</v>
      </c>
      <c r="M346" s="87">
        <v>4070</v>
      </c>
      <c r="N346" s="85">
        <v>1000.643</v>
      </c>
      <c r="O346" s="87">
        <v>4050</v>
      </c>
      <c r="P346" s="85">
        <v>1001.825</v>
      </c>
      <c r="Q346" s="87">
        <v>4070</v>
      </c>
      <c r="R346" s="85">
        <v>1001.398</v>
      </c>
      <c r="S346" s="87">
        <v>4070</v>
      </c>
      <c r="T346" s="85">
        <v>1001.912</v>
      </c>
      <c r="U346" s="87">
        <v>4060</v>
      </c>
      <c r="V346" s="85">
        <v>1000.6079999999999</v>
      </c>
      <c r="W346" s="87">
        <v>4070</v>
      </c>
      <c r="X346" s="85">
        <v>1000.414</v>
      </c>
      <c r="Y346" s="87">
        <v>4070</v>
      </c>
      <c r="Z346" s="85">
        <v>998.96199999999999</v>
      </c>
      <c r="AA346" s="87">
        <v>4070</v>
      </c>
      <c r="AB346" s="85">
        <v>998.73900000000003</v>
      </c>
      <c r="AC346" s="87">
        <v>4060</v>
      </c>
      <c r="AD346" s="85">
        <v>922.78499999999997</v>
      </c>
      <c r="AE346" s="87">
        <v>4070</v>
      </c>
      <c r="AF346" s="85">
        <v>924.06500000000005</v>
      </c>
      <c r="AG346" s="87">
        <v>4050</v>
      </c>
      <c r="AH346" s="85">
        <v>258.45100000000002</v>
      </c>
      <c r="AI346" s="87">
        <v>4050</v>
      </c>
      <c r="AJ346" s="85">
        <v>270.19299999999998</v>
      </c>
    </row>
    <row r="347" spans="1:36" ht="14.25" customHeight="1">
      <c r="A347" s="88">
        <v>4080</v>
      </c>
      <c r="B347" s="84">
        <v>543.74900000000002</v>
      </c>
      <c r="C347" s="88">
        <v>4090</v>
      </c>
      <c r="D347" s="85">
        <v>539.76599999999996</v>
      </c>
      <c r="E347" s="86">
        <v>4080</v>
      </c>
      <c r="F347" s="85">
        <v>1162.5060000000001</v>
      </c>
      <c r="G347" s="87">
        <v>4080</v>
      </c>
      <c r="H347" s="85">
        <v>1161.5530000000001</v>
      </c>
      <c r="I347" s="87">
        <v>4080</v>
      </c>
      <c r="J347" s="85">
        <v>999.64200000000005</v>
      </c>
      <c r="K347" s="87">
        <v>4080</v>
      </c>
      <c r="L347" s="85">
        <v>999.35900000000004</v>
      </c>
      <c r="M347" s="87">
        <v>4080</v>
      </c>
      <c r="N347" s="85">
        <v>999.43100000000004</v>
      </c>
      <c r="O347" s="87">
        <v>4060</v>
      </c>
      <c r="P347" s="85">
        <v>1000.6130000000001</v>
      </c>
      <c r="Q347" s="87">
        <v>4080</v>
      </c>
      <c r="R347" s="85">
        <v>1000.186</v>
      </c>
      <c r="S347" s="87">
        <v>4080</v>
      </c>
      <c r="T347" s="85">
        <v>1000.7</v>
      </c>
      <c r="U347" s="87">
        <v>4070</v>
      </c>
      <c r="V347" s="85">
        <v>999.399</v>
      </c>
      <c r="W347" s="87">
        <v>4080</v>
      </c>
      <c r="X347" s="85">
        <v>999.20399999999995</v>
      </c>
      <c r="Y347" s="87">
        <v>4080</v>
      </c>
      <c r="Z347" s="85">
        <v>997.75099999999998</v>
      </c>
      <c r="AA347" s="87">
        <v>4080</v>
      </c>
      <c r="AB347" s="85">
        <v>997.33</v>
      </c>
      <c r="AC347" s="87">
        <v>4070</v>
      </c>
      <c r="AD347" s="85">
        <v>921.57500000000005</v>
      </c>
      <c r="AE347" s="87">
        <v>4080</v>
      </c>
      <c r="AF347" s="85">
        <v>922.85599999999999</v>
      </c>
      <c r="AG347" s="87">
        <v>4060</v>
      </c>
      <c r="AH347" s="85">
        <v>258.05500000000001</v>
      </c>
      <c r="AI347" s="87">
        <v>4060</v>
      </c>
      <c r="AJ347" s="85">
        <v>269.78300000000002</v>
      </c>
    </row>
    <row r="348" spans="1:36" ht="14.25" customHeight="1">
      <c r="A348" s="88">
        <v>4090</v>
      </c>
      <c r="B348" s="84">
        <v>542.947</v>
      </c>
      <c r="C348" s="88">
        <v>4100</v>
      </c>
      <c r="D348" s="85">
        <v>538.96900000000005</v>
      </c>
      <c r="E348" s="86">
        <v>4090</v>
      </c>
      <c r="F348" s="85">
        <v>1160.999</v>
      </c>
      <c r="G348" s="87">
        <v>4090</v>
      </c>
      <c r="H348" s="85">
        <v>1160.05</v>
      </c>
      <c r="I348" s="87">
        <v>4090</v>
      </c>
      <c r="J348" s="85">
        <v>998.42899999999997</v>
      </c>
      <c r="K348" s="87">
        <v>4090</v>
      </c>
      <c r="L348" s="85">
        <v>998.14499999999998</v>
      </c>
      <c r="M348" s="87">
        <v>4090</v>
      </c>
      <c r="N348" s="85">
        <v>998.21799999999996</v>
      </c>
      <c r="O348" s="87">
        <v>4070</v>
      </c>
      <c r="P348" s="85">
        <v>999.4</v>
      </c>
      <c r="Q348" s="87">
        <v>4090</v>
      </c>
      <c r="R348" s="85">
        <v>998.97299999999996</v>
      </c>
      <c r="S348" s="87">
        <v>4090</v>
      </c>
      <c r="T348" s="85">
        <v>999.48800000000006</v>
      </c>
      <c r="U348" s="87">
        <v>4080</v>
      </c>
      <c r="V348" s="85">
        <v>998.18899999999996</v>
      </c>
      <c r="W348" s="87">
        <v>4090</v>
      </c>
      <c r="X348" s="85">
        <v>997.99300000000005</v>
      </c>
      <c r="Y348" s="87">
        <v>4090</v>
      </c>
      <c r="Z348" s="85">
        <v>996.54</v>
      </c>
      <c r="AA348" s="87">
        <v>4090</v>
      </c>
      <c r="AB348" s="85">
        <v>996.32100000000003</v>
      </c>
      <c r="AC348" s="87">
        <v>4080</v>
      </c>
      <c r="AD348" s="85">
        <v>920.36500000000001</v>
      </c>
      <c r="AE348" s="87">
        <v>4090</v>
      </c>
      <c r="AF348" s="85">
        <v>921.64700000000005</v>
      </c>
      <c r="AG348" s="87">
        <v>4070</v>
      </c>
      <c r="AH348" s="85">
        <v>257.65899999999999</v>
      </c>
      <c r="AI348" s="87">
        <v>4070</v>
      </c>
      <c r="AJ348" s="85">
        <v>269.37200000000001</v>
      </c>
    </row>
    <row r="349" spans="1:36" ht="14.25" customHeight="1">
      <c r="A349" s="88">
        <v>4100</v>
      </c>
      <c r="B349" s="84">
        <v>542.14599999999996</v>
      </c>
      <c r="C349" s="88">
        <v>4110</v>
      </c>
      <c r="D349" s="85">
        <v>538.173</v>
      </c>
      <c r="E349" s="86">
        <v>4100</v>
      </c>
      <c r="F349" s="85">
        <v>1159.491</v>
      </c>
      <c r="G349" s="87">
        <v>4100</v>
      </c>
      <c r="H349" s="85">
        <v>1158.546</v>
      </c>
      <c r="I349" s="87">
        <v>4100</v>
      </c>
      <c r="J349" s="85">
        <v>997.21600000000001</v>
      </c>
      <c r="K349" s="87">
        <v>4100</v>
      </c>
      <c r="L349" s="85">
        <v>996.93100000000004</v>
      </c>
      <c r="M349" s="87">
        <v>4100</v>
      </c>
      <c r="N349" s="85">
        <v>997.005</v>
      </c>
      <c r="O349" s="87">
        <v>4080</v>
      </c>
      <c r="P349" s="85">
        <v>998.18799999999999</v>
      </c>
      <c r="Q349" s="87">
        <v>4100</v>
      </c>
      <c r="R349" s="85">
        <v>997.76099999999997</v>
      </c>
      <c r="S349" s="87">
        <v>4100</v>
      </c>
      <c r="T349" s="85">
        <v>998.27599999999995</v>
      </c>
      <c r="U349" s="87">
        <v>4090</v>
      </c>
      <c r="V349" s="85">
        <v>996.97900000000004</v>
      </c>
      <c r="W349" s="87">
        <v>4100</v>
      </c>
      <c r="X349" s="85">
        <v>996.78200000000004</v>
      </c>
      <c r="Y349" s="87">
        <v>4100</v>
      </c>
      <c r="Z349" s="85">
        <v>995.33</v>
      </c>
      <c r="AA349" s="87">
        <v>4100</v>
      </c>
      <c r="AB349" s="85">
        <v>995.11199999999997</v>
      </c>
      <c r="AC349" s="87">
        <v>4090</v>
      </c>
      <c r="AD349" s="85">
        <v>919.154</v>
      </c>
      <c r="AE349" s="87">
        <v>4100</v>
      </c>
      <c r="AF349" s="85">
        <v>920.43799999999999</v>
      </c>
      <c r="AG349" s="87">
        <v>4080</v>
      </c>
      <c r="AH349" s="85">
        <v>257.26299999999998</v>
      </c>
      <c r="AI349" s="87">
        <v>4080</v>
      </c>
      <c r="AJ349" s="85">
        <v>268.96199999999999</v>
      </c>
    </row>
    <row r="350" spans="1:36" ht="14.25" customHeight="1">
      <c r="A350" s="88">
        <v>4110</v>
      </c>
      <c r="B350" s="84">
        <v>541.34400000000005</v>
      </c>
      <c r="C350" s="88">
        <v>4120</v>
      </c>
      <c r="D350" s="85">
        <v>537.37699999999995</v>
      </c>
      <c r="E350" s="86">
        <v>4110</v>
      </c>
      <c r="F350" s="85">
        <v>1157.9839999999999</v>
      </c>
      <c r="G350" s="87">
        <v>4110</v>
      </c>
      <c r="H350" s="85">
        <v>1157.0419999999999</v>
      </c>
      <c r="I350" s="87">
        <v>4110</v>
      </c>
      <c r="J350" s="85">
        <v>996.00300000000004</v>
      </c>
      <c r="K350" s="87">
        <v>4110</v>
      </c>
      <c r="L350" s="85">
        <v>995.71799999999996</v>
      </c>
      <c r="M350" s="87">
        <v>4110</v>
      </c>
      <c r="N350" s="85">
        <v>995.79200000000003</v>
      </c>
      <c r="O350" s="87">
        <v>4090</v>
      </c>
      <c r="P350" s="85">
        <v>996.97500000000002</v>
      </c>
      <c r="Q350" s="87">
        <v>4110</v>
      </c>
      <c r="R350" s="85">
        <v>996.548</v>
      </c>
      <c r="S350" s="87">
        <v>4110</v>
      </c>
      <c r="T350" s="85">
        <v>997.06399999999996</v>
      </c>
      <c r="U350" s="87">
        <v>4100</v>
      </c>
      <c r="V350" s="85">
        <v>995.77</v>
      </c>
      <c r="W350" s="87">
        <v>4110</v>
      </c>
      <c r="X350" s="85">
        <v>995.572</v>
      </c>
      <c r="Y350" s="87">
        <v>4110</v>
      </c>
      <c r="Z350" s="85">
        <v>994.11800000000005</v>
      </c>
      <c r="AA350" s="87">
        <v>4110</v>
      </c>
      <c r="AB350" s="85">
        <v>993.90200000000004</v>
      </c>
      <c r="AC350" s="87">
        <v>4100</v>
      </c>
      <c r="AD350" s="85">
        <v>917.94399999999996</v>
      </c>
      <c r="AE350" s="87">
        <v>4110</v>
      </c>
      <c r="AF350" s="85">
        <v>919.22799999999995</v>
      </c>
      <c r="AG350" s="87">
        <v>4090</v>
      </c>
      <c r="AH350" s="85">
        <v>256.86700000000002</v>
      </c>
      <c r="AI350" s="87">
        <v>4090</v>
      </c>
      <c r="AJ350" s="85">
        <v>268.55200000000002</v>
      </c>
    </row>
    <row r="351" spans="1:36" ht="14.25" customHeight="1">
      <c r="A351" s="88">
        <v>4120</v>
      </c>
      <c r="B351" s="84">
        <v>540.54200000000003</v>
      </c>
      <c r="C351" s="88">
        <v>4130</v>
      </c>
      <c r="D351" s="85">
        <v>536.58100000000002</v>
      </c>
      <c r="E351" s="86">
        <v>4120</v>
      </c>
      <c r="F351" s="85">
        <v>1156.4749999999999</v>
      </c>
      <c r="G351" s="87">
        <v>4120</v>
      </c>
      <c r="H351" s="85">
        <v>1155.539</v>
      </c>
      <c r="I351" s="87">
        <v>4120</v>
      </c>
      <c r="J351" s="85">
        <v>994.79</v>
      </c>
      <c r="K351" s="87">
        <v>4120</v>
      </c>
      <c r="L351" s="85">
        <v>994.50400000000002</v>
      </c>
      <c r="M351" s="87">
        <v>4120</v>
      </c>
      <c r="N351" s="85">
        <v>994.57899999999995</v>
      </c>
      <c r="O351" s="87">
        <v>4100</v>
      </c>
      <c r="P351" s="85">
        <v>995.76199999999994</v>
      </c>
      <c r="Q351" s="87">
        <v>4120</v>
      </c>
      <c r="R351" s="85">
        <v>995.33500000000004</v>
      </c>
      <c r="S351" s="87">
        <v>4120</v>
      </c>
      <c r="T351" s="85">
        <v>995.851</v>
      </c>
      <c r="U351" s="87">
        <v>4110</v>
      </c>
      <c r="V351" s="85">
        <v>994.56</v>
      </c>
      <c r="W351" s="87">
        <v>4120</v>
      </c>
      <c r="X351" s="85">
        <v>994.36099999999999</v>
      </c>
      <c r="Y351" s="87">
        <v>4120</v>
      </c>
      <c r="Z351" s="85">
        <v>992.90700000000004</v>
      </c>
      <c r="AA351" s="87">
        <v>4120</v>
      </c>
      <c r="AB351" s="85">
        <v>992.69200000000001</v>
      </c>
      <c r="AC351" s="87">
        <v>4110</v>
      </c>
      <c r="AD351" s="85">
        <v>916.73299999999995</v>
      </c>
      <c r="AE351" s="87">
        <v>4120</v>
      </c>
      <c r="AF351" s="85">
        <v>918.01900000000001</v>
      </c>
      <c r="AG351" s="87">
        <v>4100</v>
      </c>
      <c r="AH351" s="85">
        <v>256.47000000000003</v>
      </c>
      <c r="AI351" s="87">
        <v>4100</v>
      </c>
      <c r="AJ351" s="85">
        <v>268.142</v>
      </c>
    </row>
    <row r="352" spans="1:36" ht="14.25" customHeight="1">
      <c r="A352" s="88">
        <v>4130</v>
      </c>
      <c r="B352" s="84">
        <v>539.74</v>
      </c>
      <c r="C352" s="88">
        <v>4140</v>
      </c>
      <c r="D352" s="85">
        <v>535.78499999999997</v>
      </c>
      <c r="E352" s="86">
        <v>4130</v>
      </c>
      <c r="F352" s="85">
        <v>1154.9670000000001</v>
      </c>
      <c r="G352" s="87">
        <v>4130</v>
      </c>
      <c r="H352" s="85">
        <v>1154.0350000000001</v>
      </c>
      <c r="I352" s="87">
        <v>4130</v>
      </c>
      <c r="J352" s="85">
        <v>993.577</v>
      </c>
      <c r="K352" s="87">
        <v>4130</v>
      </c>
      <c r="L352" s="85">
        <v>993.29</v>
      </c>
      <c r="M352" s="87">
        <v>4130</v>
      </c>
      <c r="N352" s="85">
        <v>993.36599999999999</v>
      </c>
      <c r="O352" s="87">
        <v>4110</v>
      </c>
      <c r="P352" s="85">
        <v>994.54899999999998</v>
      </c>
      <c r="Q352" s="87">
        <v>4130</v>
      </c>
      <c r="R352" s="85">
        <v>994.12199999999996</v>
      </c>
      <c r="S352" s="87">
        <v>4130</v>
      </c>
      <c r="T352" s="85">
        <v>994.63900000000001</v>
      </c>
      <c r="U352" s="87">
        <v>4120</v>
      </c>
      <c r="V352" s="85">
        <v>993.35</v>
      </c>
      <c r="W352" s="87">
        <v>4130</v>
      </c>
      <c r="X352" s="85">
        <v>993.15</v>
      </c>
      <c r="Y352" s="87">
        <v>4130</v>
      </c>
      <c r="Z352" s="85">
        <v>991.69500000000005</v>
      </c>
      <c r="AA352" s="87">
        <v>4130</v>
      </c>
      <c r="AB352" s="85">
        <v>991.48299999999995</v>
      </c>
      <c r="AC352" s="87">
        <v>4120</v>
      </c>
      <c r="AD352" s="85">
        <v>915.52300000000002</v>
      </c>
      <c r="AE352" s="87">
        <v>4130</v>
      </c>
      <c r="AF352" s="85">
        <v>916.80899999999997</v>
      </c>
      <c r="AG352" s="87">
        <v>4110</v>
      </c>
      <c r="AH352" s="85">
        <v>256.07400000000001</v>
      </c>
      <c r="AI352" s="87">
        <v>4110</v>
      </c>
      <c r="AJ352" s="85">
        <v>267.73200000000003</v>
      </c>
    </row>
    <row r="353" spans="1:36" ht="14.25" customHeight="1">
      <c r="A353" s="88">
        <v>4140</v>
      </c>
      <c r="B353" s="84">
        <v>538.93899999999996</v>
      </c>
      <c r="C353" s="88">
        <v>4150</v>
      </c>
      <c r="D353" s="85">
        <v>534.98900000000003</v>
      </c>
      <c r="E353" s="86">
        <v>4140</v>
      </c>
      <c r="F353" s="85">
        <v>1153.4590000000001</v>
      </c>
      <c r="G353" s="87">
        <v>4140</v>
      </c>
      <c r="H353" s="85">
        <v>1152.5319999999999</v>
      </c>
      <c r="I353" s="87">
        <v>4140</v>
      </c>
      <c r="J353" s="85">
        <v>992.36400000000003</v>
      </c>
      <c r="K353" s="87">
        <v>4140</v>
      </c>
      <c r="L353" s="85">
        <v>992.077</v>
      </c>
      <c r="M353" s="87">
        <v>4140</v>
      </c>
      <c r="N353" s="85">
        <v>992.15300000000002</v>
      </c>
      <c r="O353" s="87">
        <v>4120</v>
      </c>
      <c r="P353" s="85">
        <v>993.33600000000001</v>
      </c>
      <c r="Q353" s="87">
        <v>4140</v>
      </c>
      <c r="R353" s="85">
        <v>992.90800000000002</v>
      </c>
      <c r="S353" s="87">
        <v>4140</v>
      </c>
      <c r="T353" s="85">
        <v>993.42700000000002</v>
      </c>
      <c r="U353" s="87">
        <v>4130</v>
      </c>
      <c r="V353" s="85">
        <v>992.14099999999996</v>
      </c>
      <c r="W353" s="87">
        <v>4140</v>
      </c>
      <c r="X353" s="85">
        <v>991.94</v>
      </c>
      <c r="Y353" s="87">
        <v>4140</v>
      </c>
      <c r="Z353" s="85">
        <v>990.48400000000004</v>
      </c>
      <c r="AA353" s="87">
        <v>4140</v>
      </c>
      <c r="AB353" s="85">
        <v>990.27300000000002</v>
      </c>
      <c r="AC353" s="87">
        <v>4130</v>
      </c>
      <c r="AD353" s="85">
        <v>914.31200000000001</v>
      </c>
      <c r="AE353" s="87">
        <v>4140</v>
      </c>
      <c r="AF353" s="85">
        <v>915.6</v>
      </c>
      <c r="AG353" s="87">
        <v>4120</v>
      </c>
      <c r="AH353" s="85">
        <v>255.678</v>
      </c>
      <c r="AI353" s="87">
        <v>4120</v>
      </c>
      <c r="AJ353" s="85">
        <v>267.32100000000003</v>
      </c>
    </row>
    <row r="354" spans="1:36" ht="14.25" customHeight="1">
      <c r="A354" s="88">
        <v>4150</v>
      </c>
      <c r="B354" s="84">
        <v>538.13699999999994</v>
      </c>
      <c r="C354" s="88">
        <v>4160</v>
      </c>
      <c r="D354" s="85">
        <v>534.19399999999996</v>
      </c>
      <c r="E354" s="86">
        <v>4150</v>
      </c>
      <c r="F354" s="85">
        <v>1151.951</v>
      </c>
      <c r="G354" s="87">
        <v>4150</v>
      </c>
      <c r="H354" s="85">
        <v>1151.029</v>
      </c>
      <c r="I354" s="87">
        <v>4150</v>
      </c>
      <c r="J354" s="85">
        <v>991.15</v>
      </c>
      <c r="K354" s="87">
        <v>4150</v>
      </c>
      <c r="L354" s="85">
        <v>990.86300000000006</v>
      </c>
      <c r="M354" s="87">
        <v>4150</v>
      </c>
      <c r="N354" s="85">
        <v>990.94</v>
      </c>
      <c r="O354" s="87">
        <v>4130</v>
      </c>
      <c r="P354" s="85">
        <v>992.12199999999996</v>
      </c>
      <c r="Q354" s="87">
        <v>4150</v>
      </c>
      <c r="R354" s="85">
        <v>991.69500000000005</v>
      </c>
      <c r="S354" s="87">
        <v>4150</v>
      </c>
      <c r="T354" s="85">
        <v>992.21400000000006</v>
      </c>
      <c r="U354" s="87">
        <v>4140</v>
      </c>
      <c r="V354" s="85">
        <v>990.93100000000004</v>
      </c>
      <c r="W354" s="87">
        <v>4150</v>
      </c>
      <c r="X354" s="85">
        <v>990.72900000000004</v>
      </c>
      <c r="Y354" s="87">
        <v>4150</v>
      </c>
      <c r="Z354" s="85">
        <v>989.27200000000005</v>
      </c>
      <c r="AA354" s="87">
        <v>4150</v>
      </c>
      <c r="AB354" s="85">
        <v>989.06299999999999</v>
      </c>
      <c r="AC354" s="87">
        <v>4140</v>
      </c>
      <c r="AD354" s="85">
        <v>913.101</v>
      </c>
      <c r="AE354" s="87">
        <v>4150</v>
      </c>
      <c r="AF354" s="85">
        <v>914.39</v>
      </c>
      <c r="AG354" s="87">
        <v>4130</v>
      </c>
      <c r="AH354" s="85">
        <v>255.28100000000001</v>
      </c>
      <c r="AI354" s="87">
        <v>4130</v>
      </c>
      <c r="AJ354" s="85">
        <v>266.911</v>
      </c>
    </row>
    <row r="355" spans="1:36" ht="14.25" customHeight="1">
      <c r="A355" s="88">
        <v>4160</v>
      </c>
      <c r="B355" s="84">
        <v>537.33600000000001</v>
      </c>
      <c r="C355" s="88">
        <v>4170</v>
      </c>
      <c r="D355" s="85">
        <v>533.39800000000002</v>
      </c>
      <c r="E355" s="86">
        <v>4160</v>
      </c>
      <c r="F355" s="85">
        <v>1150.443</v>
      </c>
      <c r="G355" s="87">
        <v>4160</v>
      </c>
      <c r="H355" s="85">
        <v>1149.5260000000001</v>
      </c>
      <c r="I355" s="87">
        <v>4160</v>
      </c>
      <c r="J355" s="85">
        <v>989.93700000000001</v>
      </c>
      <c r="K355" s="87">
        <v>4160</v>
      </c>
      <c r="L355" s="85">
        <v>989.649</v>
      </c>
      <c r="M355" s="87">
        <v>4160</v>
      </c>
      <c r="N355" s="85">
        <v>989.72699999999998</v>
      </c>
      <c r="O355" s="87">
        <v>4140</v>
      </c>
      <c r="P355" s="85">
        <v>990.90899999999999</v>
      </c>
      <c r="Q355" s="87">
        <v>4160</v>
      </c>
      <c r="R355" s="85">
        <v>990.48199999999997</v>
      </c>
      <c r="S355" s="87">
        <v>4160</v>
      </c>
      <c r="T355" s="85">
        <v>991.00199999999995</v>
      </c>
      <c r="U355" s="87">
        <v>4150</v>
      </c>
      <c r="V355" s="85">
        <v>989.721</v>
      </c>
      <c r="W355" s="87">
        <v>4160</v>
      </c>
      <c r="X355" s="85">
        <v>989.51800000000003</v>
      </c>
      <c r="Y355" s="87">
        <v>4160</v>
      </c>
      <c r="Z355" s="85">
        <v>988.06100000000004</v>
      </c>
      <c r="AA355" s="87">
        <v>4160</v>
      </c>
      <c r="AB355" s="85">
        <v>987.85299999999995</v>
      </c>
      <c r="AC355" s="87">
        <v>4150</v>
      </c>
      <c r="AD355" s="85">
        <v>911.89</v>
      </c>
      <c r="AE355" s="87">
        <v>4160</v>
      </c>
      <c r="AF355" s="85">
        <v>913.18100000000004</v>
      </c>
      <c r="AG355" s="87">
        <v>4140</v>
      </c>
      <c r="AH355" s="85">
        <v>254.88499999999999</v>
      </c>
      <c r="AI355" s="87">
        <v>4140</v>
      </c>
      <c r="AJ355" s="85">
        <v>266.50099999999998</v>
      </c>
    </row>
    <row r="356" spans="1:36" ht="14.25" customHeight="1">
      <c r="A356" s="88">
        <v>4170</v>
      </c>
      <c r="B356" s="84">
        <v>536.53399999999999</v>
      </c>
      <c r="C356" s="88">
        <v>4180</v>
      </c>
      <c r="D356" s="85">
        <v>532.60299999999995</v>
      </c>
      <c r="E356" s="86">
        <v>4170</v>
      </c>
      <c r="F356" s="85">
        <v>1148.9349999999999</v>
      </c>
      <c r="G356" s="87">
        <v>4170</v>
      </c>
      <c r="H356" s="85">
        <v>1148.0229999999999</v>
      </c>
      <c r="I356" s="87">
        <v>4170</v>
      </c>
      <c r="J356" s="85">
        <v>988.72400000000005</v>
      </c>
      <c r="K356" s="87">
        <v>4170</v>
      </c>
      <c r="L356" s="85">
        <v>988.43600000000004</v>
      </c>
      <c r="M356" s="87">
        <v>4170</v>
      </c>
      <c r="N356" s="85">
        <v>988.51400000000001</v>
      </c>
      <c r="O356" s="87">
        <v>4150</v>
      </c>
      <c r="P356" s="85">
        <v>989.69600000000003</v>
      </c>
      <c r="Q356" s="87">
        <v>4170</v>
      </c>
      <c r="R356" s="85">
        <v>989.26900000000001</v>
      </c>
      <c r="S356" s="87">
        <v>4170</v>
      </c>
      <c r="T356" s="85">
        <v>989.79</v>
      </c>
      <c r="U356" s="87">
        <v>4160</v>
      </c>
      <c r="V356" s="85">
        <v>988.51199999999994</v>
      </c>
      <c r="W356" s="87">
        <v>4170</v>
      </c>
      <c r="X356" s="85">
        <v>988.30799999999999</v>
      </c>
      <c r="Y356" s="87">
        <v>4170</v>
      </c>
      <c r="Z356" s="85">
        <v>986.84900000000005</v>
      </c>
      <c r="AA356" s="87">
        <v>4170</v>
      </c>
      <c r="AB356" s="85">
        <v>986.64300000000003</v>
      </c>
      <c r="AC356" s="87">
        <v>4160</v>
      </c>
      <c r="AD356" s="85">
        <v>910.67899999999997</v>
      </c>
      <c r="AE356" s="87">
        <v>4170</v>
      </c>
      <c r="AF356" s="85">
        <v>911.971</v>
      </c>
      <c r="AG356" s="87">
        <v>4150</v>
      </c>
      <c r="AH356" s="85">
        <v>254.489</v>
      </c>
      <c r="AI356" s="87">
        <v>4150</v>
      </c>
      <c r="AJ356" s="85">
        <v>266.09100000000001</v>
      </c>
    </row>
    <row r="357" spans="1:36" ht="14.25" customHeight="1">
      <c r="A357" s="88">
        <v>4180</v>
      </c>
      <c r="B357" s="84">
        <v>535.73299999999995</v>
      </c>
      <c r="C357" s="88">
        <v>4190</v>
      </c>
      <c r="D357" s="85">
        <v>531.80799999999999</v>
      </c>
      <c r="E357" s="86">
        <v>4180</v>
      </c>
      <c r="F357" s="85">
        <v>1147.4269999999999</v>
      </c>
      <c r="G357" s="87">
        <v>4180</v>
      </c>
      <c r="H357" s="85">
        <v>1146.52</v>
      </c>
      <c r="I357" s="87">
        <v>4180</v>
      </c>
      <c r="J357" s="85">
        <v>987.51</v>
      </c>
      <c r="K357" s="87">
        <v>4180</v>
      </c>
      <c r="L357" s="85">
        <v>987.22199999999998</v>
      </c>
      <c r="M357" s="87">
        <v>4180</v>
      </c>
      <c r="N357" s="85">
        <v>987.30100000000004</v>
      </c>
      <c r="O357" s="87">
        <v>4160</v>
      </c>
      <c r="P357" s="85">
        <v>988.48199999999997</v>
      </c>
      <c r="Q357" s="87">
        <v>4180</v>
      </c>
      <c r="R357" s="85">
        <v>988.05600000000004</v>
      </c>
      <c r="S357" s="87">
        <v>4180</v>
      </c>
      <c r="T357" s="85">
        <v>988.57799999999997</v>
      </c>
      <c r="U357" s="87">
        <v>4170</v>
      </c>
      <c r="V357" s="85">
        <v>987.30200000000002</v>
      </c>
      <c r="W357" s="87">
        <v>4180</v>
      </c>
      <c r="X357" s="85">
        <v>987.09699999999998</v>
      </c>
      <c r="Y357" s="87">
        <v>4180</v>
      </c>
      <c r="Z357" s="85">
        <v>985.63800000000003</v>
      </c>
      <c r="AA357" s="87">
        <v>4180</v>
      </c>
      <c r="AB357" s="85">
        <v>985.43299999999999</v>
      </c>
      <c r="AC357" s="87">
        <v>4170</v>
      </c>
      <c r="AD357" s="85">
        <v>909.46799999999996</v>
      </c>
      <c r="AE357" s="87">
        <v>4180</v>
      </c>
      <c r="AF357" s="85">
        <v>910.76199999999994</v>
      </c>
      <c r="AG357" s="87">
        <v>4160</v>
      </c>
      <c r="AH357" s="85">
        <v>254.09200000000001</v>
      </c>
      <c r="AI357" s="87">
        <v>4160</v>
      </c>
      <c r="AJ357" s="85">
        <v>265.68</v>
      </c>
    </row>
    <row r="358" spans="1:36" ht="14.25" customHeight="1">
      <c r="A358" s="88">
        <v>4190</v>
      </c>
      <c r="B358" s="84">
        <v>534.93299999999999</v>
      </c>
      <c r="C358" s="88">
        <v>4200</v>
      </c>
      <c r="D358" s="85">
        <v>531.01300000000003</v>
      </c>
      <c r="E358" s="86">
        <v>4190</v>
      </c>
      <c r="F358" s="85">
        <v>1145.92</v>
      </c>
      <c r="G358" s="87">
        <v>4190</v>
      </c>
      <c r="H358" s="85">
        <v>1145.0170000000001</v>
      </c>
      <c r="I358" s="87">
        <v>4190</v>
      </c>
      <c r="J358" s="85">
        <v>986.29700000000003</v>
      </c>
      <c r="K358" s="87">
        <v>4190</v>
      </c>
      <c r="L358" s="85">
        <v>986.00800000000004</v>
      </c>
      <c r="M358" s="87">
        <v>4190</v>
      </c>
      <c r="N358" s="85">
        <v>986.08799999999997</v>
      </c>
      <c r="O358" s="87">
        <v>4170</v>
      </c>
      <c r="P358" s="85">
        <v>987.26900000000001</v>
      </c>
      <c r="Q358" s="87">
        <v>4190</v>
      </c>
      <c r="R358" s="85">
        <v>986.84299999999996</v>
      </c>
      <c r="S358" s="87">
        <v>4190</v>
      </c>
      <c r="T358" s="85">
        <v>987.36500000000001</v>
      </c>
      <c r="U358" s="87">
        <v>4180</v>
      </c>
      <c r="V358" s="85">
        <v>986.09199999999998</v>
      </c>
      <c r="W358" s="87">
        <v>4190</v>
      </c>
      <c r="X358" s="85">
        <v>985.88599999999997</v>
      </c>
      <c r="Y358" s="87">
        <v>4190</v>
      </c>
      <c r="Z358" s="85">
        <v>984.42600000000004</v>
      </c>
      <c r="AA358" s="87">
        <v>4190</v>
      </c>
      <c r="AB358" s="85">
        <v>984.22299999999996</v>
      </c>
      <c r="AC358" s="87">
        <v>4180</v>
      </c>
      <c r="AD358" s="85">
        <v>908.25800000000004</v>
      </c>
      <c r="AE358" s="87">
        <v>4190</v>
      </c>
      <c r="AF358" s="85">
        <v>909.55200000000002</v>
      </c>
      <c r="AG358" s="87">
        <v>4170</v>
      </c>
      <c r="AH358" s="85">
        <v>253.696</v>
      </c>
      <c r="AI358" s="87">
        <v>4170</v>
      </c>
      <c r="AJ358" s="85">
        <v>265.27</v>
      </c>
    </row>
    <row r="359" spans="1:36" ht="14.25" customHeight="1">
      <c r="A359" s="88">
        <v>4200</v>
      </c>
      <c r="B359" s="84">
        <v>534.13199999999995</v>
      </c>
      <c r="C359" s="88">
        <v>4210</v>
      </c>
      <c r="D359" s="85">
        <v>530.21799999999996</v>
      </c>
      <c r="E359" s="86">
        <v>4200</v>
      </c>
      <c r="F359" s="85">
        <v>1144.412</v>
      </c>
      <c r="G359" s="87">
        <v>4200</v>
      </c>
      <c r="H359" s="85">
        <v>1143.5150000000001</v>
      </c>
      <c r="I359" s="87">
        <v>4200</v>
      </c>
      <c r="J359" s="85">
        <v>985.08399999999995</v>
      </c>
      <c r="K359" s="87">
        <v>4200</v>
      </c>
      <c r="L359" s="85">
        <v>984.79399999999998</v>
      </c>
      <c r="M359" s="87">
        <v>4200</v>
      </c>
      <c r="N359" s="85">
        <v>984.875</v>
      </c>
      <c r="O359" s="87">
        <v>4180</v>
      </c>
      <c r="P359" s="85">
        <v>986.05600000000004</v>
      </c>
      <c r="Q359" s="87">
        <v>4200</v>
      </c>
      <c r="R359" s="85">
        <v>985.63</v>
      </c>
      <c r="S359" s="87">
        <v>4200</v>
      </c>
      <c r="T359" s="85">
        <v>986.15300000000002</v>
      </c>
      <c r="U359" s="87">
        <v>4190</v>
      </c>
      <c r="V359" s="85">
        <v>984.88300000000004</v>
      </c>
      <c r="W359" s="87">
        <v>4200</v>
      </c>
      <c r="X359" s="85">
        <v>984.67600000000004</v>
      </c>
      <c r="Y359" s="87">
        <v>4200</v>
      </c>
      <c r="Z359" s="85">
        <v>983.21400000000006</v>
      </c>
      <c r="AA359" s="87">
        <v>4200</v>
      </c>
      <c r="AB359" s="85">
        <v>983.01300000000003</v>
      </c>
      <c r="AC359" s="87">
        <v>4190</v>
      </c>
      <c r="AD359" s="85">
        <v>907.04700000000003</v>
      </c>
      <c r="AE359" s="87">
        <v>4200</v>
      </c>
      <c r="AF359" s="85">
        <v>908.34299999999996</v>
      </c>
      <c r="AG359" s="87">
        <v>4180</v>
      </c>
      <c r="AH359" s="85">
        <v>253.3</v>
      </c>
      <c r="AI359" s="87">
        <v>4180</v>
      </c>
      <c r="AJ359" s="85">
        <v>264.86</v>
      </c>
    </row>
    <row r="360" spans="1:36" ht="14.25" customHeight="1">
      <c r="A360" s="88">
        <v>4210</v>
      </c>
      <c r="B360" s="84">
        <v>533.33100000000002</v>
      </c>
      <c r="C360" s="88">
        <v>4220</v>
      </c>
      <c r="D360" s="85">
        <v>529.42399999999998</v>
      </c>
      <c r="E360" s="86">
        <v>4210</v>
      </c>
      <c r="F360" s="85">
        <v>1142.905</v>
      </c>
      <c r="G360" s="87">
        <v>4210</v>
      </c>
      <c r="H360" s="85">
        <v>1142.0119999999999</v>
      </c>
      <c r="I360" s="87">
        <v>4210</v>
      </c>
      <c r="J360" s="85">
        <v>983.87</v>
      </c>
      <c r="K360" s="87">
        <v>4210</v>
      </c>
      <c r="L360" s="85">
        <v>983.58100000000002</v>
      </c>
      <c r="M360" s="87">
        <v>4210</v>
      </c>
      <c r="N360" s="85">
        <v>983.66200000000003</v>
      </c>
      <c r="O360" s="87">
        <v>4190</v>
      </c>
      <c r="P360" s="85">
        <v>984.84299999999996</v>
      </c>
      <c r="Q360" s="87">
        <v>4210</v>
      </c>
      <c r="R360" s="85">
        <v>984.41700000000003</v>
      </c>
      <c r="S360" s="87">
        <v>4210</v>
      </c>
      <c r="T360" s="85">
        <v>984.94</v>
      </c>
      <c r="U360" s="87">
        <v>4200</v>
      </c>
      <c r="V360" s="85">
        <v>983.673</v>
      </c>
      <c r="W360" s="87">
        <v>4210</v>
      </c>
      <c r="X360" s="85">
        <v>983.46500000000003</v>
      </c>
      <c r="Y360" s="87">
        <v>4210</v>
      </c>
      <c r="Z360" s="85">
        <v>982.00300000000004</v>
      </c>
      <c r="AA360" s="87">
        <v>4210</v>
      </c>
      <c r="AB360" s="85">
        <v>981.803</v>
      </c>
      <c r="AC360" s="87">
        <v>4200</v>
      </c>
      <c r="AD360" s="85">
        <v>905.83600000000001</v>
      </c>
      <c r="AE360" s="87">
        <v>4210</v>
      </c>
      <c r="AF360" s="85">
        <v>907.13300000000004</v>
      </c>
      <c r="AG360" s="87">
        <v>4190</v>
      </c>
      <c r="AH360" s="85">
        <v>252.90299999999999</v>
      </c>
      <c r="AI360" s="87">
        <v>4190</v>
      </c>
      <c r="AJ360" s="85">
        <v>264.45</v>
      </c>
    </row>
    <row r="361" spans="1:36" ht="14.25" customHeight="1">
      <c r="A361" s="88">
        <v>4220</v>
      </c>
      <c r="B361" s="84">
        <v>532.53099999999995</v>
      </c>
      <c r="C361" s="88">
        <v>4230</v>
      </c>
      <c r="D361" s="85">
        <v>528.62900000000002</v>
      </c>
      <c r="E361" s="86">
        <v>4220</v>
      </c>
      <c r="F361" s="85">
        <v>1141.3979999999999</v>
      </c>
      <c r="G361" s="87">
        <v>4220</v>
      </c>
      <c r="H361" s="85">
        <v>1140.51</v>
      </c>
      <c r="I361" s="87">
        <v>4220</v>
      </c>
      <c r="J361" s="85">
        <v>982.65700000000004</v>
      </c>
      <c r="K361" s="87">
        <v>4220</v>
      </c>
      <c r="L361" s="85">
        <v>982.36699999999996</v>
      </c>
      <c r="M361" s="87">
        <v>4220</v>
      </c>
      <c r="N361" s="85">
        <v>982.44899999999996</v>
      </c>
      <c r="O361" s="87">
        <v>4200</v>
      </c>
      <c r="P361" s="85">
        <v>983.62900000000002</v>
      </c>
      <c r="Q361" s="87">
        <v>4220</v>
      </c>
      <c r="R361" s="85">
        <v>983.20399999999995</v>
      </c>
      <c r="S361" s="87">
        <v>4220</v>
      </c>
      <c r="T361" s="85">
        <v>983.72799999999995</v>
      </c>
      <c r="U361" s="87">
        <v>4210</v>
      </c>
      <c r="V361" s="85">
        <v>982.46299999999997</v>
      </c>
      <c r="W361" s="87">
        <v>4220</v>
      </c>
      <c r="X361" s="85">
        <v>982.25400000000002</v>
      </c>
      <c r="Y361" s="87">
        <v>4220</v>
      </c>
      <c r="Z361" s="85">
        <v>980.79100000000005</v>
      </c>
      <c r="AA361" s="87">
        <v>4220</v>
      </c>
      <c r="AB361" s="85">
        <v>980.59299999999996</v>
      </c>
      <c r="AC361" s="87">
        <v>4210</v>
      </c>
      <c r="AD361" s="85">
        <v>904.625</v>
      </c>
      <c r="AE361" s="87">
        <v>4220</v>
      </c>
      <c r="AF361" s="85">
        <v>905.92399999999998</v>
      </c>
      <c r="AG361" s="87">
        <v>4200</v>
      </c>
      <c r="AH361" s="85">
        <v>252.50700000000001</v>
      </c>
      <c r="AI361" s="87">
        <v>4200</v>
      </c>
      <c r="AJ361" s="85">
        <v>264.04000000000002</v>
      </c>
    </row>
    <row r="362" spans="1:36" ht="14.25" customHeight="1">
      <c r="A362" s="88">
        <v>4230</v>
      </c>
      <c r="B362" s="84">
        <v>531.73099999999999</v>
      </c>
      <c r="C362" s="88">
        <v>4240</v>
      </c>
      <c r="D362" s="85">
        <v>527.83500000000004</v>
      </c>
      <c r="E362" s="86">
        <v>4230</v>
      </c>
      <c r="F362" s="85">
        <v>1139.8900000000001</v>
      </c>
      <c r="G362" s="87">
        <v>4230</v>
      </c>
      <c r="H362" s="85">
        <v>1139.0070000000001</v>
      </c>
      <c r="I362" s="87">
        <v>4230</v>
      </c>
      <c r="J362" s="85">
        <v>981.44399999999996</v>
      </c>
      <c r="K362" s="87">
        <v>4230</v>
      </c>
      <c r="L362" s="85">
        <v>981.15300000000002</v>
      </c>
      <c r="M362" s="87">
        <v>4230</v>
      </c>
      <c r="N362" s="85">
        <v>981.23599999999999</v>
      </c>
      <c r="O362" s="87">
        <v>4210</v>
      </c>
      <c r="P362" s="85">
        <v>982.41600000000005</v>
      </c>
      <c r="Q362" s="87">
        <v>4230</v>
      </c>
      <c r="R362" s="85">
        <v>981.99</v>
      </c>
      <c r="S362" s="87">
        <v>4230</v>
      </c>
      <c r="T362" s="85">
        <v>982.51599999999996</v>
      </c>
      <c r="U362" s="87">
        <v>4220</v>
      </c>
      <c r="V362" s="85">
        <v>981.25400000000002</v>
      </c>
      <c r="W362" s="87">
        <v>4230</v>
      </c>
      <c r="X362" s="85">
        <v>981.04300000000001</v>
      </c>
      <c r="Y362" s="87">
        <v>4230</v>
      </c>
      <c r="Z362" s="85">
        <v>979.58</v>
      </c>
      <c r="AA362" s="87">
        <v>4230</v>
      </c>
      <c r="AB362" s="85">
        <v>979.38300000000004</v>
      </c>
      <c r="AC362" s="87">
        <v>4220</v>
      </c>
      <c r="AD362" s="85">
        <v>903.41399999999999</v>
      </c>
      <c r="AE362" s="87">
        <v>4230</v>
      </c>
      <c r="AF362" s="85">
        <v>904.71400000000006</v>
      </c>
      <c r="AG362" s="87">
        <v>4210</v>
      </c>
      <c r="AH362" s="85">
        <v>252.11099999999999</v>
      </c>
      <c r="AI362" s="87">
        <v>4210</v>
      </c>
      <c r="AJ362" s="85">
        <v>263.62900000000002</v>
      </c>
    </row>
    <row r="363" spans="1:36" ht="14.25" customHeight="1">
      <c r="A363" s="88">
        <v>4240</v>
      </c>
      <c r="B363" s="84">
        <v>530.93100000000004</v>
      </c>
      <c r="C363" s="88">
        <v>4250</v>
      </c>
      <c r="D363" s="85">
        <v>527.04100000000005</v>
      </c>
      <c r="E363" s="86">
        <v>4240</v>
      </c>
      <c r="F363" s="85">
        <v>1138.383</v>
      </c>
      <c r="G363" s="87">
        <v>4240</v>
      </c>
      <c r="H363" s="85">
        <v>1137.5050000000001</v>
      </c>
      <c r="I363" s="87">
        <v>4240</v>
      </c>
      <c r="J363" s="85">
        <v>980.23</v>
      </c>
      <c r="K363" s="87">
        <v>4240</v>
      </c>
      <c r="L363" s="85">
        <v>979.94</v>
      </c>
      <c r="M363" s="87">
        <v>4240</v>
      </c>
      <c r="N363" s="85">
        <v>980.02300000000002</v>
      </c>
      <c r="O363" s="87">
        <v>4220</v>
      </c>
      <c r="P363" s="85">
        <v>981.20299999999997</v>
      </c>
      <c r="Q363" s="87">
        <v>4240</v>
      </c>
      <c r="R363" s="85">
        <v>980.77700000000004</v>
      </c>
      <c r="S363" s="87">
        <v>4240</v>
      </c>
      <c r="T363" s="85">
        <v>981.30399999999997</v>
      </c>
      <c r="U363" s="87">
        <v>4230</v>
      </c>
      <c r="V363" s="85">
        <v>980.04399999999998</v>
      </c>
      <c r="W363" s="87">
        <v>4240</v>
      </c>
      <c r="X363" s="85">
        <v>979.83299999999997</v>
      </c>
      <c r="Y363" s="87">
        <v>4240</v>
      </c>
      <c r="Z363" s="85">
        <v>978.36800000000005</v>
      </c>
      <c r="AA363" s="87">
        <v>4240</v>
      </c>
      <c r="AB363" s="85">
        <v>978.173</v>
      </c>
      <c r="AC363" s="87">
        <v>4230</v>
      </c>
      <c r="AD363" s="85">
        <v>902.20299999999997</v>
      </c>
      <c r="AE363" s="87">
        <v>4240</v>
      </c>
      <c r="AF363" s="85">
        <v>903.505</v>
      </c>
      <c r="AG363" s="87">
        <v>4220</v>
      </c>
      <c r="AH363" s="85">
        <v>251.714</v>
      </c>
      <c r="AI363" s="87">
        <v>4220</v>
      </c>
      <c r="AJ363" s="85">
        <v>263.21899999999999</v>
      </c>
    </row>
    <row r="364" spans="1:36" ht="14.25" customHeight="1">
      <c r="A364" s="88">
        <v>4250</v>
      </c>
      <c r="B364" s="84">
        <v>530.13099999999997</v>
      </c>
      <c r="C364" s="88">
        <v>4260</v>
      </c>
      <c r="D364" s="85">
        <v>526.24699999999996</v>
      </c>
      <c r="E364" s="86">
        <v>4250</v>
      </c>
      <c r="F364" s="85">
        <v>1136.877</v>
      </c>
      <c r="G364" s="87">
        <v>4250</v>
      </c>
      <c r="H364" s="85">
        <v>1136.0029999999999</v>
      </c>
      <c r="I364" s="87">
        <v>4250</v>
      </c>
      <c r="J364" s="85">
        <v>979.01700000000005</v>
      </c>
      <c r="K364" s="87">
        <v>4250</v>
      </c>
      <c r="L364" s="85">
        <v>978.726</v>
      </c>
      <c r="M364" s="87">
        <v>4250</v>
      </c>
      <c r="N364" s="85">
        <v>978.81</v>
      </c>
      <c r="O364" s="87">
        <v>4230</v>
      </c>
      <c r="P364" s="85">
        <v>979.99</v>
      </c>
      <c r="Q364" s="87">
        <v>4250</v>
      </c>
      <c r="R364" s="85">
        <v>979.56399999999996</v>
      </c>
      <c r="S364" s="87">
        <v>4250</v>
      </c>
      <c r="T364" s="85">
        <v>980.09100000000001</v>
      </c>
      <c r="U364" s="87">
        <v>4240</v>
      </c>
      <c r="V364" s="85">
        <v>978.83399999999995</v>
      </c>
      <c r="W364" s="87">
        <v>4250</v>
      </c>
      <c r="X364" s="85">
        <v>978.62199999999996</v>
      </c>
      <c r="Y364" s="87">
        <v>4250</v>
      </c>
      <c r="Z364" s="85">
        <v>977.15700000000004</v>
      </c>
      <c r="AA364" s="87">
        <v>4250</v>
      </c>
      <c r="AB364" s="85">
        <v>976.96400000000006</v>
      </c>
      <c r="AC364" s="87">
        <v>4240</v>
      </c>
      <c r="AD364" s="85">
        <v>900.99300000000005</v>
      </c>
      <c r="AE364" s="87">
        <v>4250</v>
      </c>
      <c r="AF364" s="85">
        <v>902.29499999999996</v>
      </c>
      <c r="AG364" s="87">
        <v>4230</v>
      </c>
      <c r="AH364" s="85">
        <v>251.31800000000001</v>
      </c>
      <c r="AI364" s="87">
        <v>4230</v>
      </c>
      <c r="AJ364" s="85">
        <v>262.80900000000003</v>
      </c>
    </row>
    <row r="365" spans="1:36" ht="14.25" customHeight="1">
      <c r="A365" s="88">
        <v>4260</v>
      </c>
      <c r="B365" s="84">
        <v>529.33100000000002</v>
      </c>
      <c r="C365" s="88">
        <v>4270</v>
      </c>
      <c r="D365" s="85">
        <v>525.45299999999997</v>
      </c>
      <c r="E365" s="86">
        <v>4260</v>
      </c>
      <c r="F365" s="85">
        <v>1135.3699999999999</v>
      </c>
      <c r="G365" s="87">
        <v>4260</v>
      </c>
      <c r="H365" s="85">
        <v>1134.501</v>
      </c>
      <c r="I365" s="87">
        <v>4260</v>
      </c>
      <c r="J365" s="85">
        <v>977.80399999999997</v>
      </c>
      <c r="K365" s="87">
        <v>4260</v>
      </c>
      <c r="L365" s="85">
        <v>977.51199999999994</v>
      </c>
      <c r="M365" s="87">
        <v>4260</v>
      </c>
      <c r="N365" s="85">
        <v>977.59699999999998</v>
      </c>
      <c r="O365" s="87">
        <v>4240</v>
      </c>
      <c r="P365" s="85">
        <v>978.77599999999995</v>
      </c>
      <c r="Q365" s="87">
        <v>4260</v>
      </c>
      <c r="R365" s="85">
        <v>978.351</v>
      </c>
      <c r="S365" s="87">
        <v>4260</v>
      </c>
      <c r="T365" s="85">
        <v>978.87900000000002</v>
      </c>
      <c r="U365" s="87">
        <v>4250</v>
      </c>
      <c r="V365" s="85">
        <v>977.625</v>
      </c>
      <c r="W365" s="87">
        <v>4260</v>
      </c>
      <c r="X365" s="85">
        <v>977.41099999999994</v>
      </c>
      <c r="Y365" s="87">
        <v>4260</v>
      </c>
      <c r="Z365" s="85">
        <v>975.94500000000005</v>
      </c>
      <c r="AA365" s="87">
        <v>4260</v>
      </c>
      <c r="AB365" s="85">
        <v>975.75400000000002</v>
      </c>
      <c r="AC365" s="87">
        <v>4250</v>
      </c>
      <c r="AD365" s="85">
        <v>899.78200000000004</v>
      </c>
      <c r="AE365" s="87">
        <v>4260</v>
      </c>
      <c r="AF365" s="85">
        <v>901.08600000000001</v>
      </c>
      <c r="AG365" s="87">
        <v>4240</v>
      </c>
      <c r="AH365" s="85">
        <v>250.922</v>
      </c>
      <c r="AI365" s="87">
        <v>4240</v>
      </c>
      <c r="AJ365" s="85">
        <v>262.399</v>
      </c>
    </row>
    <row r="366" spans="1:36" ht="14.25" customHeight="1">
      <c r="A366" s="88">
        <v>4270</v>
      </c>
      <c r="B366" s="84">
        <v>528.53200000000004</v>
      </c>
      <c r="C366" s="88">
        <v>4280</v>
      </c>
      <c r="D366" s="85">
        <v>524.66</v>
      </c>
      <c r="E366" s="86">
        <v>4270</v>
      </c>
      <c r="F366" s="85">
        <v>1133.8630000000001</v>
      </c>
      <c r="G366" s="87">
        <v>4270</v>
      </c>
      <c r="H366" s="85">
        <v>1132.999</v>
      </c>
      <c r="I366" s="87">
        <v>4270</v>
      </c>
      <c r="J366" s="85">
        <v>976.59100000000001</v>
      </c>
      <c r="K366" s="87">
        <v>4270</v>
      </c>
      <c r="L366" s="85">
        <v>976.298</v>
      </c>
      <c r="M366" s="87">
        <v>4270</v>
      </c>
      <c r="N366" s="85">
        <v>976.38400000000001</v>
      </c>
      <c r="O366" s="87">
        <v>4250</v>
      </c>
      <c r="P366" s="85">
        <v>977.56299999999999</v>
      </c>
      <c r="Q366" s="87">
        <v>4270</v>
      </c>
      <c r="R366" s="85">
        <v>977.13800000000003</v>
      </c>
      <c r="S366" s="87">
        <v>4270</v>
      </c>
      <c r="T366" s="85">
        <v>977.66700000000003</v>
      </c>
      <c r="U366" s="87">
        <v>4260</v>
      </c>
      <c r="V366" s="85">
        <v>976.41499999999996</v>
      </c>
      <c r="W366" s="87">
        <v>4270</v>
      </c>
      <c r="X366" s="85">
        <v>976.20100000000002</v>
      </c>
      <c r="Y366" s="87">
        <v>4270</v>
      </c>
      <c r="Z366" s="85">
        <v>974.73400000000004</v>
      </c>
      <c r="AA366" s="87">
        <v>4270</v>
      </c>
      <c r="AB366" s="85">
        <v>974.54399999999998</v>
      </c>
      <c r="AC366" s="87">
        <v>4260</v>
      </c>
      <c r="AD366" s="85">
        <v>898.57100000000003</v>
      </c>
      <c r="AE366" s="87">
        <v>4270</v>
      </c>
      <c r="AF366" s="85">
        <v>899.87599999999998</v>
      </c>
      <c r="AG366" s="87">
        <v>4250</v>
      </c>
      <c r="AH366" s="85">
        <v>250.52500000000001</v>
      </c>
      <c r="AI366" s="87">
        <v>4250</v>
      </c>
      <c r="AJ366" s="85">
        <v>261.988</v>
      </c>
    </row>
    <row r="367" spans="1:36" ht="14.25" customHeight="1">
      <c r="A367" s="88">
        <v>4280</v>
      </c>
      <c r="B367" s="84">
        <v>527.73299999999995</v>
      </c>
      <c r="C367" s="88">
        <v>4290</v>
      </c>
      <c r="D367" s="85">
        <v>523.86699999999996</v>
      </c>
      <c r="E367" s="86">
        <v>4280</v>
      </c>
      <c r="F367" s="85">
        <v>1132.357</v>
      </c>
      <c r="G367" s="87">
        <v>4280</v>
      </c>
      <c r="H367" s="85">
        <v>1131.498</v>
      </c>
      <c r="I367" s="87">
        <v>4280</v>
      </c>
      <c r="J367" s="85">
        <v>975.37699999999995</v>
      </c>
      <c r="K367" s="87">
        <v>4280</v>
      </c>
      <c r="L367" s="85">
        <v>975.08500000000004</v>
      </c>
      <c r="M367" s="87">
        <v>4280</v>
      </c>
      <c r="N367" s="85">
        <v>975.17100000000005</v>
      </c>
      <c r="O367" s="87">
        <v>4260</v>
      </c>
      <c r="P367" s="85">
        <v>976.35</v>
      </c>
      <c r="Q367" s="87">
        <v>4280</v>
      </c>
      <c r="R367" s="85">
        <v>975.92499999999995</v>
      </c>
      <c r="S367" s="87">
        <v>4280</v>
      </c>
      <c r="T367" s="85">
        <v>976.45399999999995</v>
      </c>
      <c r="U367" s="87">
        <v>4270</v>
      </c>
      <c r="V367" s="85">
        <v>975.20500000000004</v>
      </c>
      <c r="W367" s="87">
        <v>4280</v>
      </c>
      <c r="X367" s="85">
        <v>974.99</v>
      </c>
      <c r="Y367" s="87">
        <v>4280</v>
      </c>
      <c r="Z367" s="85">
        <v>973.52200000000005</v>
      </c>
      <c r="AA367" s="87">
        <v>4280</v>
      </c>
      <c r="AB367" s="85">
        <v>973.33399999999995</v>
      </c>
      <c r="AC367" s="87">
        <v>4270</v>
      </c>
      <c r="AD367" s="85">
        <v>897.36</v>
      </c>
      <c r="AE367" s="87">
        <v>4280</v>
      </c>
      <c r="AF367" s="85">
        <v>898.66700000000003</v>
      </c>
      <c r="AG367" s="87">
        <v>4260</v>
      </c>
      <c r="AH367" s="85">
        <v>250.12899999999999</v>
      </c>
      <c r="AI367" s="87">
        <v>4260</v>
      </c>
      <c r="AJ367" s="85">
        <v>261.57799999999997</v>
      </c>
    </row>
    <row r="368" spans="1:36" ht="14.25" customHeight="1">
      <c r="A368" s="88">
        <v>4290</v>
      </c>
      <c r="B368" s="84">
        <v>526.93399999999997</v>
      </c>
      <c r="C368" s="88">
        <v>4300</v>
      </c>
      <c r="D368" s="85">
        <v>523.07299999999998</v>
      </c>
      <c r="E368" s="86">
        <v>4290</v>
      </c>
      <c r="F368" s="85">
        <v>1130.8510000000001</v>
      </c>
      <c r="G368" s="87">
        <v>4290</v>
      </c>
      <c r="H368" s="85">
        <v>1129.9960000000001</v>
      </c>
      <c r="I368" s="87">
        <v>4290</v>
      </c>
      <c r="J368" s="85">
        <v>974.16399999999999</v>
      </c>
      <c r="K368" s="87">
        <v>4290</v>
      </c>
      <c r="L368" s="85">
        <v>973.87099999999998</v>
      </c>
      <c r="M368" s="87">
        <v>4290</v>
      </c>
      <c r="N368" s="85">
        <v>973.95799999999997</v>
      </c>
      <c r="O368" s="87">
        <v>4270</v>
      </c>
      <c r="P368" s="85">
        <v>975.13699999999994</v>
      </c>
      <c r="Q368" s="87">
        <v>4290</v>
      </c>
      <c r="R368" s="85">
        <v>974.71199999999999</v>
      </c>
      <c r="S368" s="87">
        <v>4290</v>
      </c>
      <c r="T368" s="85">
        <v>975.24199999999996</v>
      </c>
      <c r="U368" s="87">
        <v>4280</v>
      </c>
      <c r="V368" s="85">
        <v>973.99599999999998</v>
      </c>
      <c r="W368" s="87">
        <v>4290</v>
      </c>
      <c r="X368" s="85">
        <v>973.779</v>
      </c>
      <c r="Y368" s="87">
        <v>4290</v>
      </c>
      <c r="Z368" s="85">
        <v>972.31100000000004</v>
      </c>
      <c r="AA368" s="87">
        <v>4290</v>
      </c>
      <c r="AB368" s="85">
        <v>972.12400000000002</v>
      </c>
      <c r="AC368" s="87">
        <v>4280</v>
      </c>
      <c r="AD368" s="85">
        <v>896.149</v>
      </c>
      <c r="AE368" s="87">
        <v>4290</v>
      </c>
      <c r="AF368" s="85">
        <v>897.45699999999999</v>
      </c>
      <c r="AG368" s="87">
        <v>4270</v>
      </c>
      <c r="AH368" s="85">
        <v>249.733</v>
      </c>
      <c r="AI368" s="87">
        <v>4270</v>
      </c>
      <c r="AJ368" s="85">
        <v>261.16800000000001</v>
      </c>
    </row>
    <row r="369" spans="1:36" ht="14.25" customHeight="1">
      <c r="A369" s="88">
        <v>4300</v>
      </c>
      <c r="B369" s="84">
        <v>526.13499999999999</v>
      </c>
      <c r="C369" s="88">
        <v>4310</v>
      </c>
      <c r="D369" s="85">
        <v>522.28</v>
      </c>
      <c r="E369" s="86">
        <v>4300</v>
      </c>
      <c r="F369" s="85">
        <v>1129.3440000000001</v>
      </c>
      <c r="G369" s="87">
        <v>4300</v>
      </c>
      <c r="H369" s="85">
        <v>1128.4949999999999</v>
      </c>
      <c r="I369" s="87">
        <v>4300</v>
      </c>
      <c r="J369" s="85">
        <v>972.95100000000002</v>
      </c>
      <c r="K369" s="87">
        <v>4300</v>
      </c>
      <c r="L369" s="85">
        <v>972.65700000000004</v>
      </c>
      <c r="M369" s="87">
        <v>4300</v>
      </c>
      <c r="N369" s="85">
        <v>972.745</v>
      </c>
      <c r="O369" s="87">
        <v>4280</v>
      </c>
      <c r="P369" s="85">
        <v>973.923</v>
      </c>
      <c r="Q369" s="87">
        <v>4300</v>
      </c>
      <c r="R369" s="85">
        <v>973.49900000000002</v>
      </c>
      <c r="S369" s="87">
        <v>4300</v>
      </c>
      <c r="T369" s="85">
        <v>974.03</v>
      </c>
      <c r="U369" s="87">
        <v>4290</v>
      </c>
      <c r="V369" s="85">
        <v>972.78599999999994</v>
      </c>
      <c r="W369" s="87">
        <v>4300</v>
      </c>
      <c r="X369" s="85">
        <v>972.56899999999996</v>
      </c>
      <c r="Y369" s="87">
        <v>4300</v>
      </c>
      <c r="Z369" s="85">
        <v>971.09900000000005</v>
      </c>
      <c r="AA369" s="87">
        <v>4300</v>
      </c>
      <c r="AB369" s="85">
        <v>970.91399999999999</v>
      </c>
      <c r="AC369" s="87">
        <v>4290</v>
      </c>
      <c r="AD369" s="85">
        <v>894.93799999999999</v>
      </c>
      <c r="AE369" s="87">
        <v>4300</v>
      </c>
      <c r="AF369" s="85">
        <v>896.24800000000005</v>
      </c>
      <c r="AG369" s="87">
        <v>4280</v>
      </c>
      <c r="AH369" s="85">
        <v>249.33600000000001</v>
      </c>
      <c r="AI369" s="87">
        <v>4280</v>
      </c>
      <c r="AJ369" s="85">
        <v>260.75799999999998</v>
      </c>
    </row>
    <row r="370" spans="1:36" ht="14.25" customHeight="1">
      <c r="A370" s="88">
        <v>4310</v>
      </c>
      <c r="B370" s="84">
        <v>525.33600000000001</v>
      </c>
      <c r="C370" s="88">
        <v>4320</v>
      </c>
      <c r="D370" s="85">
        <v>521.48699999999997</v>
      </c>
      <c r="E370" s="86">
        <v>4310</v>
      </c>
      <c r="F370" s="85">
        <v>1127.838</v>
      </c>
      <c r="G370" s="87">
        <v>4310</v>
      </c>
      <c r="H370" s="85">
        <v>1126.9929999999999</v>
      </c>
      <c r="I370" s="87">
        <v>4310</v>
      </c>
      <c r="J370" s="85">
        <v>971.73699999999997</v>
      </c>
      <c r="K370" s="87">
        <v>4310</v>
      </c>
      <c r="L370" s="85">
        <v>971.44399999999996</v>
      </c>
      <c r="M370" s="87">
        <v>4310</v>
      </c>
      <c r="N370" s="85">
        <v>971.53200000000004</v>
      </c>
      <c r="O370" s="87">
        <v>4290</v>
      </c>
      <c r="P370" s="85">
        <v>972.71</v>
      </c>
      <c r="Q370" s="87">
        <v>4310</v>
      </c>
      <c r="R370" s="85">
        <v>972.28599999999994</v>
      </c>
      <c r="S370" s="87">
        <v>4310</v>
      </c>
      <c r="T370" s="85">
        <v>972.81700000000001</v>
      </c>
      <c r="U370" s="87">
        <v>4300</v>
      </c>
      <c r="V370" s="85">
        <v>971.57600000000002</v>
      </c>
      <c r="W370" s="87">
        <v>4310</v>
      </c>
      <c r="X370" s="85">
        <v>971.35799999999995</v>
      </c>
      <c r="Y370" s="87">
        <v>4310</v>
      </c>
      <c r="Z370" s="85">
        <v>969.88800000000003</v>
      </c>
      <c r="AA370" s="87">
        <v>4310</v>
      </c>
      <c r="AB370" s="85">
        <v>969.70399999999995</v>
      </c>
      <c r="AC370" s="87">
        <v>4300</v>
      </c>
      <c r="AD370" s="85">
        <v>893.72799999999995</v>
      </c>
      <c r="AE370" s="87">
        <v>4310</v>
      </c>
      <c r="AF370" s="85">
        <v>895.03800000000001</v>
      </c>
      <c r="AG370" s="87">
        <v>4290</v>
      </c>
      <c r="AH370" s="85">
        <v>248.94</v>
      </c>
      <c r="AI370" s="87">
        <v>4290</v>
      </c>
      <c r="AJ370" s="85">
        <v>260.34800000000001</v>
      </c>
    </row>
    <row r="371" spans="1:36" ht="14.25" customHeight="1">
      <c r="A371" s="88">
        <v>4320</v>
      </c>
      <c r="B371" s="84">
        <v>524.53700000000003</v>
      </c>
      <c r="C371" s="88">
        <v>4330</v>
      </c>
      <c r="D371" s="85">
        <v>520.69500000000005</v>
      </c>
      <c r="E371" s="86">
        <v>4320</v>
      </c>
      <c r="F371" s="85">
        <v>1126.3320000000001</v>
      </c>
      <c r="G371" s="87">
        <v>4320</v>
      </c>
      <c r="H371" s="85">
        <v>1125.492</v>
      </c>
      <c r="I371" s="87">
        <v>4320</v>
      </c>
      <c r="J371" s="85">
        <v>970.524</v>
      </c>
      <c r="K371" s="87">
        <v>4320</v>
      </c>
      <c r="L371" s="85">
        <v>970.23</v>
      </c>
      <c r="M371" s="87">
        <v>4320</v>
      </c>
      <c r="N371" s="85">
        <v>970.31899999999996</v>
      </c>
      <c r="O371" s="87">
        <v>4300</v>
      </c>
      <c r="P371" s="85">
        <v>971.49699999999996</v>
      </c>
      <c r="Q371" s="87">
        <v>4320</v>
      </c>
      <c r="R371" s="85">
        <v>971.07299999999998</v>
      </c>
      <c r="S371" s="87">
        <v>4320</v>
      </c>
      <c r="T371" s="85">
        <v>971.60500000000002</v>
      </c>
      <c r="U371" s="87">
        <v>4310</v>
      </c>
      <c r="V371" s="85">
        <v>970.36599999999999</v>
      </c>
      <c r="W371" s="87">
        <v>4320</v>
      </c>
      <c r="X371" s="85">
        <v>970.14700000000005</v>
      </c>
      <c r="Y371" s="87">
        <v>4320</v>
      </c>
      <c r="Z371" s="85">
        <v>968.67600000000004</v>
      </c>
      <c r="AA371" s="87">
        <v>4320</v>
      </c>
      <c r="AB371" s="85">
        <v>968.49400000000003</v>
      </c>
      <c r="AC371" s="87">
        <v>4310</v>
      </c>
      <c r="AD371" s="85">
        <v>892.51700000000005</v>
      </c>
      <c r="AE371" s="87">
        <v>4320</v>
      </c>
      <c r="AF371" s="85">
        <v>893.82899999999995</v>
      </c>
      <c r="AG371" s="87">
        <v>4300</v>
      </c>
      <c r="AH371" s="85">
        <v>248.54400000000001</v>
      </c>
      <c r="AI371" s="87">
        <v>4300</v>
      </c>
      <c r="AJ371" s="85">
        <v>259.93799999999999</v>
      </c>
    </row>
    <row r="372" spans="1:36" ht="14.25" customHeight="1">
      <c r="A372" s="88">
        <v>4330</v>
      </c>
      <c r="B372" s="84">
        <v>523.73900000000003</v>
      </c>
      <c r="C372" s="88">
        <v>4340</v>
      </c>
      <c r="D372" s="85">
        <v>519.90200000000004</v>
      </c>
      <c r="E372" s="86">
        <v>4330</v>
      </c>
      <c r="F372" s="85">
        <v>1124.827</v>
      </c>
      <c r="G372" s="87">
        <v>4330</v>
      </c>
      <c r="H372" s="85">
        <v>1123.991</v>
      </c>
      <c r="I372" s="87">
        <v>4330</v>
      </c>
      <c r="J372" s="85">
        <v>969.31100000000004</v>
      </c>
      <c r="K372" s="87">
        <v>4330</v>
      </c>
      <c r="L372" s="85">
        <v>969.01599999999996</v>
      </c>
      <c r="M372" s="87">
        <v>4330</v>
      </c>
      <c r="N372" s="85">
        <v>969.10599999999999</v>
      </c>
      <c r="O372" s="87">
        <v>4310</v>
      </c>
      <c r="P372" s="85">
        <v>970.28399999999999</v>
      </c>
      <c r="Q372" s="87">
        <v>4330</v>
      </c>
      <c r="R372" s="85">
        <v>969.86</v>
      </c>
      <c r="S372" s="87">
        <v>4330</v>
      </c>
      <c r="T372" s="85">
        <v>970.39300000000003</v>
      </c>
      <c r="U372" s="87">
        <v>4320</v>
      </c>
      <c r="V372" s="85">
        <v>969.15700000000004</v>
      </c>
      <c r="W372" s="87">
        <v>4330</v>
      </c>
      <c r="X372" s="85">
        <v>968.93700000000001</v>
      </c>
      <c r="Y372" s="87">
        <v>4330</v>
      </c>
      <c r="Z372" s="85">
        <v>967.46500000000003</v>
      </c>
      <c r="AA372" s="87">
        <v>4330</v>
      </c>
      <c r="AB372" s="85">
        <v>967.28399999999999</v>
      </c>
      <c r="AC372" s="87">
        <v>4320</v>
      </c>
      <c r="AD372" s="85">
        <v>891.30600000000004</v>
      </c>
      <c r="AE372" s="87">
        <v>4330</v>
      </c>
      <c r="AF372" s="85">
        <v>892.61900000000003</v>
      </c>
      <c r="AG372" s="87">
        <v>4310</v>
      </c>
      <c r="AH372" s="85">
        <v>248.148</v>
      </c>
      <c r="AI372" s="87">
        <v>4310</v>
      </c>
      <c r="AJ372" s="85">
        <v>259.52699999999999</v>
      </c>
    </row>
    <row r="373" spans="1:36" ht="14.25" customHeight="1">
      <c r="A373" s="88">
        <v>4340</v>
      </c>
      <c r="B373" s="84">
        <v>522.94000000000005</v>
      </c>
      <c r="C373" s="88">
        <v>4350</v>
      </c>
      <c r="D373" s="85">
        <v>519.11</v>
      </c>
      <c r="E373" s="86">
        <v>4340</v>
      </c>
      <c r="F373" s="85">
        <v>1123.3209999999999</v>
      </c>
      <c r="G373" s="87">
        <v>4340</v>
      </c>
      <c r="H373" s="85">
        <v>1122.49</v>
      </c>
      <c r="I373" s="87">
        <v>4340</v>
      </c>
      <c r="J373" s="85">
        <v>968.09799999999996</v>
      </c>
      <c r="K373" s="87">
        <v>4340</v>
      </c>
      <c r="L373" s="85">
        <v>967.80200000000002</v>
      </c>
      <c r="M373" s="87">
        <v>4340</v>
      </c>
      <c r="N373" s="85">
        <v>967.89300000000003</v>
      </c>
      <c r="O373" s="87">
        <v>4320</v>
      </c>
      <c r="P373" s="85">
        <v>969.07</v>
      </c>
      <c r="Q373" s="87">
        <v>4340</v>
      </c>
      <c r="R373" s="85">
        <v>968.64599999999996</v>
      </c>
      <c r="S373" s="87">
        <v>4340</v>
      </c>
      <c r="T373" s="85">
        <v>969.18</v>
      </c>
      <c r="U373" s="87">
        <v>4330</v>
      </c>
      <c r="V373" s="85">
        <v>967.947</v>
      </c>
      <c r="W373" s="87">
        <v>4340</v>
      </c>
      <c r="X373" s="85">
        <v>967.726</v>
      </c>
      <c r="Y373" s="87">
        <v>4340</v>
      </c>
      <c r="Z373" s="85">
        <v>966.25300000000004</v>
      </c>
      <c r="AA373" s="87">
        <v>4340</v>
      </c>
      <c r="AB373" s="85">
        <v>966.07399999999996</v>
      </c>
      <c r="AC373" s="87">
        <v>4330</v>
      </c>
      <c r="AD373" s="85">
        <v>890.09500000000003</v>
      </c>
      <c r="AE373" s="87">
        <v>4340</v>
      </c>
      <c r="AF373" s="85">
        <v>891.40899999999999</v>
      </c>
      <c r="AG373" s="87">
        <v>4320</v>
      </c>
      <c r="AH373" s="85">
        <v>247.751</v>
      </c>
      <c r="AI373" s="87">
        <v>4320</v>
      </c>
      <c r="AJ373" s="85">
        <v>259.11700000000002</v>
      </c>
    </row>
    <row r="374" spans="1:36" ht="14.25" customHeight="1">
      <c r="A374" s="88">
        <v>4350</v>
      </c>
      <c r="B374" s="84">
        <v>522.14200000000005</v>
      </c>
      <c r="C374" s="88">
        <v>4360</v>
      </c>
      <c r="D374" s="85">
        <v>518.31799999999998</v>
      </c>
      <c r="E374" s="86">
        <v>4350</v>
      </c>
      <c r="F374" s="85">
        <v>1121.8150000000001</v>
      </c>
      <c r="G374" s="87">
        <v>4350</v>
      </c>
      <c r="H374" s="85">
        <v>1120.989</v>
      </c>
      <c r="I374" s="87">
        <v>4350</v>
      </c>
      <c r="J374" s="85">
        <v>966.88400000000001</v>
      </c>
      <c r="K374" s="87">
        <v>4350</v>
      </c>
      <c r="L374" s="85">
        <v>966.58900000000006</v>
      </c>
      <c r="M374" s="87">
        <v>4350</v>
      </c>
      <c r="N374" s="85">
        <v>966.68</v>
      </c>
      <c r="O374" s="87">
        <v>4330</v>
      </c>
      <c r="P374" s="85">
        <v>967.85699999999997</v>
      </c>
      <c r="Q374" s="87">
        <v>4350</v>
      </c>
      <c r="R374" s="85">
        <v>967.43299999999999</v>
      </c>
      <c r="S374" s="87">
        <v>4350</v>
      </c>
      <c r="T374" s="85">
        <v>967.96799999999996</v>
      </c>
      <c r="U374" s="87">
        <v>4340</v>
      </c>
      <c r="V374" s="85">
        <v>966.73699999999997</v>
      </c>
      <c r="W374" s="87">
        <v>4350</v>
      </c>
      <c r="X374" s="85">
        <v>966.51499999999999</v>
      </c>
      <c r="Y374" s="87">
        <v>4350</v>
      </c>
      <c r="Z374" s="85">
        <v>965.04200000000003</v>
      </c>
      <c r="AA374" s="87">
        <v>4350</v>
      </c>
      <c r="AB374" s="85">
        <v>964.86400000000003</v>
      </c>
      <c r="AC374" s="87">
        <v>4340</v>
      </c>
      <c r="AD374" s="85">
        <v>888.88400000000001</v>
      </c>
      <c r="AE374" s="87">
        <v>4350</v>
      </c>
      <c r="AF374" s="85">
        <v>890.2</v>
      </c>
      <c r="AG374" s="87">
        <v>4330</v>
      </c>
      <c r="AH374" s="85">
        <v>247.35499999999999</v>
      </c>
      <c r="AI374" s="87">
        <v>4330</v>
      </c>
      <c r="AJ374" s="85">
        <v>258.70699999999999</v>
      </c>
    </row>
    <row r="375" spans="1:36" ht="14.25" customHeight="1">
      <c r="A375" s="88">
        <v>4360</v>
      </c>
      <c r="B375" s="84">
        <v>521.34400000000005</v>
      </c>
      <c r="C375" s="88">
        <v>4370</v>
      </c>
      <c r="D375" s="85">
        <v>517.52499999999998</v>
      </c>
      <c r="E375" s="86">
        <v>4360</v>
      </c>
      <c r="F375" s="85">
        <v>1120.31</v>
      </c>
      <c r="G375" s="87">
        <v>4360</v>
      </c>
      <c r="H375" s="85">
        <v>1119.4880000000001</v>
      </c>
      <c r="I375" s="87">
        <v>4360</v>
      </c>
      <c r="J375" s="85">
        <v>965.67100000000005</v>
      </c>
      <c r="K375" s="87">
        <v>4360</v>
      </c>
      <c r="L375" s="85">
        <v>965.375</v>
      </c>
      <c r="M375" s="87">
        <v>4360</v>
      </c>
      <c r="N375" s="85">
        <v>965.46699999999998</v>
      </c>
      <c r="O375" s="87">
        <v>4340</v>
      </c>
      <c r="P375" s="85">
        <v>966.64400000000001</v>
      </c>
      <c r="Q375" s="87">
        <v>4360</v>
      </c>
      <c r="R375" s="85">
        <v>966.22</v>
      </c>
      <c r="S375" s="87">
        <v>4360</v>
      </c>
      <c r="T375" s="85">
        <v>966.75599999999997</v>
      </c>
      <c r="U375" s="87">
        <v>4350</v>
      </c>
      <c r="V375" s="85">
        <v>965.52800000000002</v>
      </c>
      <c r="W375" s="87">
        <v>4360</v>
      </c>
      <c r="X375" s="85">
        <v>965.30399999999997</v>
      </c>
      <c r="Y375" s="87">
        <v>4360</v>
      </c>
      <c r="Z375" s="85">
        <v>963.83</v>
      </c>
      <c r="AA375" s="87">
        <v>4360</v>
      </c>
      <c r="AB375" s="85">
        <v>963.654</v>
      </c>
      <c r="AC375" s="87">
        <v>4350</v>
      </c>
      <c r="AD375" s="85">
        <v>887.673</v>
      </c>
      <c r="AE375" s="87">
        <v>4360</v>
      </c>
      <c r="AF375" s="85">
        <v>888.99</v>
      </c>
      <c r="AG375" s="87">
        <v>4340</v>
      </c>
      <c r="AH375" s="85">
        <v>246.959</v>
      </c>
      <c r="AI375" s="87">
        <v>4340</v>
      </c>
      <c r="AJ375" s="85">
        <v>258.29700000000003</v>
      </c>
    </row>
    <row r="376" spans="1:36" ht="14.25" customHeight="1">
      <c r="A376" s="88">
        <v>4370</v>
      </c>
      <c r="B376" s="84">
        <v>520.54700000000003</v>
      </c>
      <c r="C376" s="88">
        <v>4380</v>
      </c>
      <c r="D376" s="85">
        <v>516.73400000000004</v>
      </c>
      <c r="E376" s="86">
        <v>4370</v>
      </c>
      <c r="F376" s="85">
        <v>1118.8050000000001</v>
      </c>
      <c r="G376" s="87">
        <v>4370</v>
      </c>
      <c r="H376" s="85">
        <v>1117.9880000000001</v>
      </c>
      <c r="I376" s="87">
        <v>4370</v>
      </c>
      <c r="J376" s="85">
        <v>964.45799999999997</v>
      </c>
      <c r="K376" s="87">
        <v>4370</v>
      </c>
      <c r="L376" s="85">
        <v>964.16099999999994</v>
      </c>
      <c r="M376" s="87">
        <v>4370</v>
      </c>
      <c r="N376" s="85">
        <v>964.25400000000002</v>
      </c>
      <c r="O376" s="87">
        <v>4350</v>
      </c>
      <c r="P376" s="85">
        <v>965.43100000000004</v>
      </c>
      <c r="Q376" s="87">
        <v>4370</v>
      </c>
      <c r="R376" s="85">
        <v>965.00699999999995</v>
      </c>
      <c r="S376" s="87">
        <v>4370</v>
      </c>
      <c r="T376" s="85">
        <v>965.54399999999998</v>
      </c>
      <c r="U376" s="87">
        <v>4360</v>
      </c>
      <c r="V376" s="85">
        <v>964.31799999999998</v>
      </c>
      <c r="W376" s="87">
        <v>4370</v>
      </c>
      <c r="X376" s="85">
        <v>964.09400000000005</v>
      </c>
      <c r="Y376" s="87">
        <v>4370</v>
      </c>
      <c r="Z376" s="85">
        <v>962.61900000000003</v>
      </c>
      <c r="AA376" s="87">
        <v>4370</v>
      </c>
      <c r="AB376" s="85">
        <v>962.44399999999996</v>
      </c>
      <c r="AC376" s="87">
        <v>4360</v>
      </c>
      <c r="AD376" s="85">
        <v>886.46299999999997</v>
      </c>
      <c r="AE376" s="87">
        <v>4370</v>
      </c>
      <c r="AF376" s="85">
        <v>887.78099999999995</v>
      </c>
      <c r="AG376" s="87">
        <v>4350</v>
      </c>
      <c r="AH376" s="85">
        <v>246.56299999999999</v>
      </c>
      <c r="AI376" s="87">
        <v>4350</v>
      </c>
      <c r="AJ376" s="85">
        <v>257.887</v>
      </c>
    </row>
    <row r="377" spans="1:36" ht="14.25" customHeight="1">
      <c r="A377" s="88">
        <v>4380</v>
      </c>
      <c r="B377" s="84">
        <v>519.74900000000002</v>
      </c>
      <c r="C377" s="88">
        <v>4390</v>
      </c>
      <c r="D377" s="85">
        <v>515.94200000000001</v>
      </c>
      <c r="E377" s="86">
        <v>4380</v>
      </c>
      <c r="F377" s="85">
        <v>1117.299</v>
      </c>
      <c r="G377" s="87">
        <v>4380</v>
      </c>
      <c r="H377" s="85">
        <v>1116.4870000000001</v>
      </c>
      <c r="I377" s="87">
        <v>4380</v>
      </c>
      <c r="J377" s="85">
        <v>963.24400000000003</v>
      </c>
      <c r="K377" s="87">
        <v>4380</v>
      </c>
      <c r="L377" s="85">
        <v>962.94799999999998</v>
      </c>
      <c r="M377" s="87">
        <v>4380</v>
      </c>
      <c r="N377" s="85">
        <v>963.04200000000003</v>
      </c>
      <c r="O377" s="87">
        <v>4360</v>
      </c>
      <c r="P377" s="85">
        <v>964.21799999999996</v>
      </c>
      <c r="Q377" s="87">
        <v>4380</v>
      </c>
      <c r="R377" s="85">
        <v>963.79399999999998</v>
      </c>
      <c r="S377" s="87">
        <v>4380</v>
      </c>
      <c r="T377" s="85">
        <v>964.33100000000002</v>
      </c>
      <c r="U377" s="87">
        <v>4370</v>
      </c>
      <c r="V377" s="85">
        <v>963.10799999999995</v>
      </c>
      <c r="W377" s="87">
        <v>4380</v>
      </c>
      <c r="X377" s="85">
        <v>962.88300000000004</v>
      </c>
      <c r="Y377" s="87">
        <v>4380</v>
      </c>
      <c r="Z377" s="85">
        <v>961.40700000000004</v>
      </c>
      <c r="AA377" s="87">
        <v>4380</v>
      </c>
      <c r="AB377" s="85">
        <v>961.23400000000004</v>
      </c>
      <c r="AC377" s="87">
        <v>4370</v>
      </c>
      <c r="AD377" s="85">
        <v>885.25199999999995</v>
      </c>
      <c r="AE377" s="87">
        <v>4380</v>
      </c>
      <c r="AF377" s="85">
        <v>886.57100000000003</v>
      </c>
      <c r="AG377" s="87">
        <v>4360</v>
      </c>
      <c r="AH377" s="85">
        <v>246.166</v>
      </c>
      <c r="AI377" s="87">
        <v>4360</v>
      </c>
      <c r="AJ377" s="85">
        <v>257.47699999999998</v>
      </c>
    </row>
    <row r="378" spans="1:36" ht="14.25" customHeight="1">
      <c r="A378" s="88">
        <v>4390</v>
      </c>
      <c r="B378" s="84">
        <v>518.952</v>
      </c>
      <c r="C378" s="88">
        <v>4400</v>
      </c>
      <c r="D378" s="85">
        <v>515.15</v>
      </c>
      <c r="E378" s="86">
        <v>4390</v>
      </c>
      <c r="F378" s="85">
        <v>1115.7940000000001</v>
      </c>
      <c r="G378" s="87">
        <v>4390</v>
      </c>
      <c r="H378" s="85">
        <v>1114.9870000000001</v>
      </c>
      <c r="I378" s="87">
        <v>4390</v>
      </c>
      <c r="J378" s="85">
        <v>962.03099999999995</v>
      </c>
      <c r="K378" s="87">
        <v>4390</v>
      </c>
      <c r="L378" s="85">
        <v>961.73400000000004</v>
      </c>
      <c r="M378" s="87">
        <v>4390</v>
      </c>
      <c r="N378" s="85">
        <v>961.82899999999995</v>
      </c>
      <c r="O378" s="87">
        <v>4370</v>
      </c>
      <c r="P378" s="85">
        <v>963.00400000000002</v>
      </c>
      <c r="Q378" s="87">
        <v>4390</v>
      </c>
      <c r="R378" s="85">
        <v>962.58100000000002</v>
      </c>
      <c r="S378" s="87">
        <v>4390</v>
      </c>
      <c r="T378" s="85">
        <v>963.11900000000003</v>
      </c>
      <c r="U378" s="87">
        <v>4380</v>
      </c>
      <c r="V378" s="85">
        <v>961.899</v>
      </c>
      <c r="W378" s="87">
        <v>4390</v>
      </c>
      <c r="X378" s="85">
        <v>961.67200000000003</v>
      </c>
      <c r="Y378" s="87">
        <v>4390</v>
      </c>
      <c r="Z378" s="85">
        <v>960.19600000000003</v>
      </c>
      <c r="AA378" s="87">
        <v>4390</v>
      </c>
      <c r="AB378" s="85">
        <v>960.02499999999998</v>
      </c>
      <c r="AC378" s="87">
        <v>4380</v>
      </c>
      <c r="AD378" s="85">
        <v>884.04100000000005</v>
      </c>
      <c r="AE378" s="87">
        <v>4390</v>
      </c>
      <c r="AF378" s="85">
        <v>885.36199999999997</v>
      </c>
      <c r="AG378" s="87">
        <v>4370</v>
      </c>
      <c r="AH378" s="85">
        <v>245.77</v>
      </c>
      <c r="AI378" s="87">
        <v>4370</v>
      </c>
      <c r="AJ378" s="85">
        <v>257.06700000000001</v>
      </c>
    </row>
    <row r="379" spans="1:36" ht="14.25" customHeight="1">
      <c r="A379" s="88">
        <v>4400</v>
      </c>
      <c r="B379" s="84">
        <v>518.154</v>
      </c>
      <c r="C379" s="88">
        <v>4410</v>
      </c>
      <c r="D379" s="85">
        <v>514.35900000000004</v>
      </c>
      <c r="E379" s="86">
        <v>4400</v>
      </c>
      <c r="F379" s="85">
        <v>1114.289</v>
      </c>
      <c r="G379" s="87">
        <v>4400</v>
      </c>
      <c r="H379" s="85">
        <v>1113.4860000000001</v>
      </c>
      <c r="I379" s="87">
        <v>4400</v>
      </c>
      <c r="J379" s="85">
        <v>960.81799999999998</v>
      </c>
      <c r="K379" s="87">
        <v>4400</v>
      </c>
      <c r="L379" s="85">
        <v>960.52</v>
      </c>
      <c r="M379" s="87">
        <v>4400</v>
      </c>
      <c r="N379" s="85">
        <v>960.61599999999999</v>
      </c>
      <c r="O379" s="87">
        <v>4380</v>
      </c>
      <c r="P379" s="85">
        <v>961.79100000000005</v>
      </c>
      <c r="Q379" s="87">
        <v>4400</v>
      </c>
      <c r="R379" s="85">
        <v>961.36800000000005</v>
      </c>
      <c r="S379" s="87">
        <v>4400</v>
      </c>
      <c r="T379" s="85">
        <v>961.90700000000004</v>
      </c>
      <c r="U379" s="87">
        <v>4390</v>
      </c>
      <c r="V379" s="85">
        <v>960.68899999999996</v>
      </c>
      <c r="W379" s="87">
        <v>4400</v>
      </c>
      <c r="X379" s="85">
        <v>960.46199999999999</v>
      </c>
      <c r="Y379" s="87">
        <v>4400</v>
      </c>
      <c r="Z379" s="85">
        <v>958.98400000000004</v>
      </c>
      <c r="AA379" s="87">
        <v>4400</v>
      </c>
      <c r="AB379" s="85">
        <v>958.81500000000005</v>
      </c>
      <c r="AC379" s="87">
        <v>4390</v>
      </c>
      <c r="AD379" s="85">
        <v>882.83</v>
      </c>
      <c r="AE379" s="87">
        <v>4400</v>
      </c>
      <c r="AF379" s="85">
        <v>884.15200000000004</v>
      </c>
      <c r="AG379" s="87">
        <v>4380</v>
      </c>
      <c r="AH379" s="85">
        <v>245.374</v>
      </c>
      <c r="AI379" s="87">
        <v>4380</v>
      </c>
      <c r="AJ379" s="85">
        <v>256.65699999999998</v>
      </c>
    </row>
    <row r="380" spans="1:36" ht="14.25" customHeight="1">
      <c r="A380" s="88">
        <v>4410</v>
      </c>
      <c r="B380" s="84">
        <v>517.35699999999997</v>
      </c>
      <c r="C380" s="88">
        <v>4420</v>
      </c>
      <c r="D380" s="85">
        <v>513.56799999999998</v>
      </c>
      <c r="E380" s="86">
        <v>4410</v>
      </c>
      <c r="F380" s="85">
        <v>1112.7850000000001</v>
      </c>
      <c r="G380" s="87">
        <v>4410</v>
      </c>
      <c r="H380" s="85">
        <v>1111.9860000000001</v>
      </c>
      <c r="I380" s="87">
        <v>4410</v>
      </c>
      <c r="J380" s="85">
        <v>959.60500000000002</v>
      </c>
      <c r="K380" s="87">
        <v>4410</v>
      </c>
      <c r="L380" s="85">
        <v>959.30600000000004</v>
      </c>
      <c r="M380" s="87">
        <v>4410</v>
      </c>
      <c r="N380" s="85">
        <v>959.40300000000002</v>
      </c>
      <c r="O380" s="87">
        <v>4390</v>
      </c>
      <c r="P380" s="85">
        <v>960.57799999999997</v>
      </c>
      <c r="Q380" s="87">
        <v>4410</v>
      </c>
      <c r="R380" s="85">
        <v>960.15499999999997</v>
      </c>
      <c r="S380" s="87">
        <v>4410</v>
      </c>
      <c r="T380" s="85">
        <v>960.69399999999996</v>
      </c>
      <c r="U380" s="87">
        <v>4400</v>
      </c>
      <c r="V380" s="85">
        <v>959.47900000000004</v>
      </c>
      <c r="W380" s="87">
        <v>4410</v>
      </c>
      <c r="X380" s="85">
        <v>959.25099999999998</v>
      </c>
      <c r="Y380" s="87">
        <v>4410</v>
      </c>
      <c r="Z380" s="85">
        <v>957.77300000000002</v>
      </c>
      <c r="AA380" s="87">
        <v>4410</v>
      </c>
      <c r="AB380" s="85">
        <v>957.60500000000002</v>
      </c>
      <c r="AC380" s="87">
        <v>4400</v>
      </c>
      <c r="AD380" s="85">
        <v>881.61900000000003</v>
      </c>
      <c r="AE380" s="87">
        <v>4410</v>
      </c>
      <c r="AF380" s="85">
        <v>882.94299999999998</v>
      </c>
      <c r="AG380" s="87">
        <v>4390</v>
      </c>
      <c r="AH380" s="85">
        <v>244.97800000000001</v>
      </c>
      <c r="AI380" s="87">
        <v>4390</v>
      </c>
      <c r="AJ380" s="85">
        <v>256.24599999999998</v>
      </c>
    </row>
    <row r="381" spans="1:36" ht="14.25" customHeight="1">
      <c r="A381" s="88">
        <v>4420</v>
      </c>
      <c r="B381" s="84">
        <v>516.55999999999995</v>
      </c>
      <c r="C381" s="88">
        <v>4430</v>
      </c>
      <c r="D381" s="85">
        <v>512.77700000000004</v>
      </c>
      <c r="E381" s="86">
        <v>4420</v>
      </c>
      <c r="F381" s="85">
        <v>1111.28</v>
      </c>
      <c r="G381" s="87">
        <v>4420</v>
      </c>
      <c r="H381" s="85">
        <v>1110.4860000000001</v>
      </c>
      <c r="I381" s="87">
        <v>4420</v>
      </c>
      <c r="J381" s="85">
        <v>958.39099999999996</v>
      </c>
      <c r="K381" s="87">
        <v>4420</v>
      </c>
      <c r="L381" s="85">
        <v>958.09299999999996</v>
      </c>
      <c r="M381" s="87">
        <v>4420</v>
      </c>
      <c r="N381" s="85">
        <v>958.19</v>
      </c>
      <c r="O381" s="87">
        <v>4400</v>
      </c>
      <c r="P381" s="85">
        <v>959.36500000000001</v>
      </c>
      <c r="Q381" s="87">
        <v>4420</v>
      </c>
      <c r="R381" s="85">
        <v>958.94200000000001</v>
      </c>
      <c r="S381" s="87">
        <v>4420</v>
      </c>
      <c r="T381" s="85">
        <v>959.48199999999997</v>
      </c>
      <c r="U381" s="87">
        <v>4410</v>
      </c>
      <c r="V381" s="85">
        <v>958.27</v>
      </c>
      <c r="W381" s="87">
        <v>4420</v>
      </c>
      <c r="X381" s="85">
        <v>958.04</v>
      </c>
      <c r="Y381" s="87">
        <v>4420</v>
      </c>
      <c r="Z381" s="85">
        <v>956.56100000000004</v>
      </c>
      <c r="AA381" s="87">
        <v>4420</v>
      </c>
      <c r="AB381" s="85">
        <v>956.39499999999998</v>
      </c>
      <c r="AC381" s="87">
        <v>4410</v>
      </c>
      <c r="AD381" s="85">
        <v>880.40899999999999</v>
      </c>
      <c r="AE381" s="87">
        <v>4420</v>
      </c>
      <c r="AF381" s="85">
        <v>881.73299999999995</v>
      </c>
      <c r="AG381" s="87">
        <v>4400</v>
      </c>
      <c r="AH381" s="85">
        <v>244.58199999999999</v>
      </c>
      <c r="AI381" s="87">
        <v>4400</v>
      </c>
      <c r="AJ381" s="85">
        <v>255.83600000000001</v>
      </c>
    </row>
    <row r="382" spans="1:36" ht="14.25" customHeight="1">
      <c r="A382" s="88">
        <v>4430</v>
      </c>
      <c r="B382" s="84">
        <v>515.76400000000001</v>
      </c>
      <c r="C382" s="88">
        <v>4440</v>
      </c>
      <c r="D382" s="85">
        <v>511.98599999999999</v>
      </c>
      <c r="E382" s="86">
        <v>4430</v>
      </c>
      <c r="F382" s="85">
        <v>1109.7750000000001</v>
      </c>
      <c r="G382" s="87">
        <v>4430</v>
      </c>
      <c r="H382" s="85">
        <v>1108.9860000000001</v>
      </c>
      <c r="I382" s="87">
        <v>4430</v>
      </c>
      <c r="J382" s="85">
        <v>957.178</v>
      </c>
      <c r="K382" s="87">
        <v>4430</v>
      </c>
      <c r="L382" s="85">
        <v>956.87900000000002</v>
      </c>
      <c r="M382" s="87">
        <v>4430</v>
      </c>
      <c r="N382" s="85">
        <v>956.97699999999998</v>
      </c>
      <c r="O382" s="87">
        <v>4410</v>
      </c>
      <c r="P382" s="85">
        <v>958.15099999999995</v>
      </c>
      <c r="Q382" s="87">
        <v>4430</v>
      </c>
      <c r="R382" s="85">
        <v>957.72900000000004</v>
      </c>
      <c r="S382" s="87">
        <v>4430</v>
      </c>
      <c r="T382" s="85">
        <v>958.27</v>
      </c>
      <c r="U382" s="87">
        <v>4420</v>
      </c>
      <c r="V382" s="85">
        <v>957.06</v>
      </c>
      <c r="W382" s="87">
        <v>4430</v>
      </c>
      <c r="X382" s="85">
        <v>956.82899999999995</v>
      </c>
      <c r="Y382" s="87">
        <v>4430</v>
      </c>
      <c r="Z382" s="85">
        <v>955.35</v>
      </c>
      <c r="AA382" s="87">
        <v>4430</v>
      </c>
      <c r="AB382" s="85">
        <v>955.18499999999995</v>
      </c>
      <c r="AC382" s="87">
        <v>4420</v>
      </c>
      <c r="AD382" s="85">
        <v>879.19799999999998</v>
      </c>
      <c r="AE382" s="87">
        <v>4430</v>
      </c>
      <c r="AF382" s="85">
        <v>880.52300000000002</v>
      </c>
      <c r="AG382" s="87">
        <v>4410</v>
      </c>
      <c r="AH382" s="85">
        <v>244.18600000000001</v>
      </c>
      <c r="AI382" s="87">
        <v>4410</v>
      </c>
      <c r="AJ382" s="85">
        <v>255.42599999999999</v>
      </c>
    </row>
    <row r="383" spans="1:36" ht="14.25" customHeight="1">
      <c r="A383" s="88">
        <v>4440</v>
      </c>
      <c r="B383" s="84">
        <v>514.96699999999998</v>
      </c>
      <c r="C383" s="88">
        <v>4450</v>
      </c>
      <c r="D383" s="85">
        <v>511.19499999999999</v>
      </c>
      <c r="E383" s="86">
        <v>4440</v>
      </c>
      <c r="F383" s="85">
        <v>1108.271</v>
      </c>
      <c r="G383" s="87">
        <v>4440</v>
      </c>
      <c r="H383" s="85">
        <v>1107.4860000000001</v>
      </c>
      <c r="I383" s="87">
        <v>4440</v>
      </c>
      <c r="J383" s="85">
        <v>955.96500000000003</v>
      </c>
      <c r="K383" s="87">
        <v>4440</v>
      </c>
      <c r="L383" s="85">
        <v>955.66499999999996</v>
      </c>
      <c r="M383" s="87">
        <v>4440</v>
      </c>
      <c r="N383" s="85">
        <v>955.76400000000001</v>
      </c>
      <c r="O383" s="87">
        <v>4420</v>
      </c>
      <c r="P383" s="85">
        <v>956.93799999999999</v>
      </c>
      <c r="Q383" s="87">
        <v>4440</v>
      </c>
      <c r="R383" s="85">
        <v>956.51599999999996</v>
      </c>
      <c r="S383" s="87">
        <v>4440</v>
      </c>
      <c r="T383" s="85">
        <v>957.05799999999999</v>
      </c>
      <c r="U383" s="87">
        <v>4430</v>
      </c>
      <c r="V383" s="85">
        <v>955.85</v>
      </c>
      <c r="W383" s="87">
        <v>4440</v>
      </c>
      <c r="X383" s="85">
        <v>955.61900000000003</v>
      </c>
      <c r="Y383" s="87">
        <v>4440</v>
      </c>
      <c r="Z383" s="85">
        <v>954.13800000000003</v>
      </c>
      <c r="AA383" s="87">
        <v>4440</v>
      </c>
      <c r="AB383" s="85">
        <v>953.97500000000002</v>
      </c>
      <c r="AC383" s="87">
        <v>4430</v>
      </c>
      <c r="AD383" s="85">
        <v>877.98699999999997</v>
      </c>
      <c r="AE383" s="87">
        <v>4440</v>
      </c>
      <c r="AF383" s="85">
        <v>879.31399999999996</v>
      </c>
      <c r="AG383" s="87">
        <v>4420</v>
      </c>
      <c r="AH383" s="85">
        <v>243.78899999999999</v>
      </c>
      <c r="AI383" s="87">
        <v>4420</v>
      </c>
      <c r="AJ383" s="85">
        <v>255.01599999999999</v>
      </c>
    </row>
    <row r="384" spans="1:36" ht="14.25" customHeight="1">
      <c r="A384" s="88">
        <v>4450</v>
      </c>
      <c r="B384" s="84">
        <v>514.17100000000005</v>
      </c>
      <c r="C384" s="88">
        <v>4460</v>
      </c>
      <c r="D384" s="85">
        <v>510.40499999999997</v>
      </c>
      <c r="E384" s="86">
        <v>4450</v>
      </c>
      <c r="F384" s="85">
        <v>1106.7670000000001</v>
      </c>
      <c r="G384" s="87">
        <v>4450</v>
      </c>
      <c r="H384" s="85">
        <v>1105.9870000000001</v>
      </c>
      <c r="I384" s="87">
        <v>4450</v>
      </c>
      <c r="J384" s="85">
        <v>954.75199999999995</v>
      </c>
      <c r="K384" s="87">
        <v>4450</v>
      </c>
      <c r="L384" s="85">
        <v>954.452</v>
      </c>
      <c r="M384" s="87">
        <v>4450</v>
      </c>
      <c r="N384" s="85">
        <v>954.55100000000004</v>
      </c>
      <c r="O384" s="87">
        <v>4430</v>
      </c>
      <c r="P384" s="85">
        <v>955.72500000000002</v>
      </c>
      <c r="Q384" s="87">
        <v>4450</v>
      </c>
      <c r="R384" s="85">
        <v>955.303</v>
      </c>
      <c r="S384" s="87">
        <v>4450</v>
      </c>
      <c r="T384" s="85">
        <v>955.84500000000003</v>
      </c>
      <c r="U384" s="87">
        <v>4440</v>
      </c>
      <c r="V384" s="85">
        <v>954.64</v>
      </c>
      <c r="W384" s="87">
        <v>4450</v>
      </c>
      <c r="X384" s="85">
        <v>954.40800000000002</v>
      </c>
      <c r="Y384" s="87">
        <v>4450</v>
      </c>
      <c r="Z384" s="85">
        <v>952.92700000000002</v>
      </c>
      <c r="AA384" s="87">
        <v>4450</v>
      </c>
      <c r="AB384" s="85">
        <v>952.76499999999999</v>
      </c>
      <c r="AC384" s="87">
        <v>4440</v>
      </c>
      <c r="AD384" s="85">
        <v>876.77599999999995</v>
      </c>
      <c r="AE384" s="87">
        <v>4450</v>
      </c>
      <c r="AF384" s="85">
        <v>878.10400000000004</v>
      </c>
      <c r="AG384" s="87">
        <v>4430</v>
      </c>
      <c r="AH384" s="85">
        <v>243.393</v>
      </c>
      <c r="AI384" s="87">
        <v>4430</v>
      </c>
      <c r="AJ384" s="85">
        <v>254.60599999999999</v>
      </c>
    </row>
    <row r="385" spans="1:36" ht="14.25" customHeight="1">
      <c r="A385" s="88">
        <v>4460</v>
      </c>
      <c r="B385" s="84">
        <v>513.375</v>
      </c>
      <c r="C385" s="88">
        <v>4470</v>
      </c>
      <c r="D385" s="85">
        <v>509.61399999999998</v>
      </c>
      <c r="E385" s="86">
        <v>4460</v>
      </c>
      <c r="F385" s="85">
        <v>1105.2629999999999</v>
      </c>
      <c r="G385" s="87">
        <v>4460</v>
      </c>
      <c r="H385" s="85">
        <v>1104.4870000000001</v>
      </c>
      <c r="I385" s="87">
        <v>4460</v>
      </c>
      <c r="J385" s="85">
        <v>953.53899999999999</v>
      </c>
      <c r="K385" s="87">
        <v>4460</v>
      </c>
      <c r="L385" s="85">
        <v>953.23800000000006</v>
      </c>
      <c r="M385" s="87">
        <v>4460</v>
      </c>
      <c r="N385" s="85">
        <v>953.33799999999997</v>
      </c>
      <c r="O385" s="87">
        <v>4440</v>
      </c>
      <c r="P385" s="85">
        <v>954.51199999999994</v>
      </c>
      <c r="Q385" s="87">
        <v>4460</v>
      </c>
      <c r="R385" s="85">
        <v>954.09</v>
      </c>
      <c r="S385" s="87">
        <v>4460</v>
      </c>
      <c r="T385" s="85">
        <v>954.63300000000004</v>
      </c>
      <c r="U385" s="87">
        <v>4450</v>
      </c>
      <c r="V385" s="85">
        <v>953.43100000000004</v>
      </c>
      <c r="W385" s="87">
        <v>4460</v>
      </c>
      <c r="X385" s="85">
        <v>953.197</v>
      </c>
      <c r="Y385" s="87">
        <v>4460</v>
      </c>
      <c r="Z385" s="85">
        <v>951.71500000000003</v>
      </c>
      <c r="AA385" s="87">
        <v>4460</v>
      </c>
      <c r="AB385" s="85">
        <v>951.55499999999995</v>
      </c>
      <c r="AC385" s="87">
        <v>4450</v>
      </c>
      <c r="AD385" s="85">
        <v>875.56500000000005</v>
      </c>
      <c r="AE385" s="87">
        <v>4460</v>
      </c>
      <c r="AF385" s="85">
        <v>876.89499999999998</v>
      </c>
      <c r="AG385" s="87">
        <v>4440</v>
      </c>
      <c r="AH385" s="85">
        <v>242.99700000000001</v>
      </c>
      <c r="AI385" s="87">
        <v>4440</v>
      </c>
      <c r="AJ385" s="85">
        <v>254.196</v>
      </c>
    </row>
    <row r="386" spans="1:36" ht="14.25" customHeight="1">
      <c r="A386" s="88">
        <v>4470</v>
      </c>
      <c r="B386" s="84">
        <v>512.57899999999995</v>
      </c>
      <c r="C386" s="88">
        <v>4480</v>
      </c>
      <c r="D386" s="92">
        <v>508.82400000000001</v>
      </c>
      <c r="E386" s="86">
        <v>4470</v>
      </c>
      <c r="F386" s="85">
        <v>1103.759</v>
      </c>
      <c r="G386" s="87">
        <v>4470</v>
      </c>
      <c r="H386" s="85">
        <v>1102.9880000000001</v>
      </c>
      <c r="I386" s="87">
        <v>4470</v>
      </c>
      <c r="J386" s="85">
        <v>952.32500000000005</v>
      </c>
      <c r="K386" s="87">
        <v>4470</v>
      </c>
      <c r="L386" s="85">
        <v>952.024</v>
      </c>
      <c r="M386" s="87">
        <v>4470</v>
      </c>
      <c r="N386" s="85">
        <v>952.125</v>
      </c>
      <c r="O386" s="87">
        <v>4450</v>
      </c>
      <c r="P386" s="85">
        <v>953.29899999999998</v>
      </c>
      <c r="Q386" s="87">
        <v>4470</v>
      </c>
      <c r="R386" s="85">
        <v>952.87699999999995</v>
      </c>
      <c r="S386" s="87">
        <v>4470</v>
      </c>
      <c r="T386" s="85">
        <v>953.42100000000005</v>
      </c>
      <c r="U386" s="87">
        <v>4460</v>
      </c>
      <c r="V386" s="85">
        <v>952.221</v>
      </c>
      <c r="W386" s="87">
        <v>4470</v>
      </c>
      <c r="X386" s="85">
        <v>951.98699999999997</v>
      </c>
      <c r="Y386" s="87">
        <v>4470</v>
      </c>
      <c r="Z386" s="85">
        <v>950.50400000000002</v>
      </c>
      <c r="AA386" s="87">
        <v>4470</v>
      </c>
      <c r="AB386" s="85">
        <v>950.34500000000003</v>
      </c>
      <c r="AC386" s="87">
        <v>4460</v>
      </c>
      <c r="AD386" s="85">
        <v>874.35500000000002</v>
      </c>
      <c r="AE386" s="87">
        <v>4470</v>
      </c>
      <c r="AF386" s="85">
        <v>875.68499999999995</v>
      </c>
      <c r="AG386" s="87">
        <v>4450</v>
      </c>
      <c r="AH386" s="85">
        <v>242.601</v>
      </c>
      <c r="AI386" s="87">
        <v>4450</v>
      </c>
      <c r="AJ386" s="85">
        <v>253.786</v>
      </c>
    </row>
    <row r="387" spans="1:36" ht="14.25" customHeight="1">
      <c r="A387" s="88">
        <v>4480</v>
      </c>
      <c r="B387" s="84">
        <v>511.78300000000002</v>
      </c>
      <c r="C387" s="88">
        <v>4490</v>
      </c>
      <c r="D387" s="85">
        <v>508.03399999999999</v>
      </c>
      <c r="E387" s="86">
        <v>4480</v>
      </c>
      <c r="F387" s="85">
        <v>1102.2550000000001</v>
      </c>
      <c r="G387" s="87">
        <v>4480</v>
      </c>
      <c r="H387" s="85">
        <v>1101.4880000000001</v>
      </c>
      <c r="I387" s="87">
        <v>4480</v>
      </c>
      <c r="J387" s="85">
        <v>951.11199999999997</v>
      </c>
      <c r="K387" s="87">
        <v>4480</v>
      </c>
      <c r="L387" s="85">
        <v>950.81100000000004</v>
      </c>
      <c r="M387" s="87">
        <v>4480</v>
      </c>
      <c r="N387" s="85">
        <v>950.91200000000003</v>
      </c>
      <c r="O387" s="87">
        <v>4460</v>
      </c>
      <c r="P387" s="85">
        <v>952.08500000000004</v>
      </c>
      <c r="Q387" s="87">
        <v>4480</v>
      </c>
      <c r="R387" s="85">
        <v>951.66399999999999</v>
      </c>
      <c r="S387" s="87">
        <v>4480</v>
      </c>
      <c r="T387" s="85">
        <v>952.20799999999997</v>
      </c>
      <c r="U387" s="87">
        <v>4470</v>
      </c>
      <c r="V387" s="85">
        <v>951.01099999999997</v>
      </c>
      <c r="W387" s="87">
        <v>4480</v>
      </c>
      <c r="X387" s="85">
        <v>950.77599999999995</v>
      </c>
      <c r="Y387" s="87">
        <v>4480</v>
      </c>
      <c r="Z387" s="85">
        <v>949.29200000000003</v>
      </c>
      <c r="AA387" s="87">
        <v>4480</v>
      </c>
      <c r="AB387" s="85">
        <v>949.13499999999999</v>
      </c>
      <c r="AC387" s="87">
        <v>4470</v>
      </c>
      <c r="AD387" s="85">
        <v>873.14400000000001</v>
      </c>
      <c r="AE387" s="87">
        <v>4480</v>
      </c>
      <c r="AF387" s="85">
        <v>874.476</v>
      </c>
      <c r="AG387" s="87">
        <v>4460</v>
      </c>
      <c r="AH387" s="85">
        <v>242.20500000000001</v>
      </c>
      <c r="AI387" s="87">
        <v>4460</v>
      </c>
      <c r="AJ387" s="85">
        <v>253.376</v>
      </c>
    </row>
    <row r="388" spans="1:36" ht="14.25" customHeight="1">
      <c r="A388" s="88">
        <v>4490</v>
      </c>
      <c r="B388" s="84">
        <v>510.98700000000002</v>
      </c>
      <c r="C388" s="88">
        <v>4500</v>
      </c>
      <c r="D388" s="85">
        <v>507.24400000000003</v>
      </c>
      <c r="E388" s="86">
        <v>4490</v>
      </c>
      <c r="F388" s="85">
        <v>1100.751</v>
      </c>
      <c r="G388" s="87">
        <v>4490</v>
      </c>
      <c r="H388" s="85">
        <v>1099.989</v>
      </c>
      <c r="I388" s="87">
        <v>4490</v>
      </c>
      <c r="J388" s="85">
        <v>949.899</v>
      </c>
      <c r="K388" s="87">
        <v>4490</v>
      </c>
      <c r="L388" s="85">
        <v>949.59699999999998</v>
      </c>
      <c r="M388" s="87">
        <v>4490</v>
      </c>
      <c r="N388" s="85">
        <v>949.69899999999996</v>
      </c>
      <c r="O388" s="87">
        <v>4470</v>
      </c>
      <c r="P388" s="85">
        <v>950.87199999999996</v>
      </c>
      <c r="Q388" s="87">
        <v>4490</v>
      </c>
      <c r="R388" s="85">
        <v>950.45100000000002</v>
      </c>
      <c r="S388" s="87">
        <v>4490</v>
      </c>
      <c r="T388" s="85">
        <v>950.99599999999998</v>
      </c>
      <c r="U388" s="87">
        <v>4480</v>
      </c>
      <c r="V388" s="85">
        <v>949.80200000000002</v>
      </c>
      <c r="W388" s="87">
        <v>4490</v>
      </c>
      <c r="X388" s="85">
        <v>949.56500000000005</v>
      </c>
      <c r="Y388" s="87">
        <v>4490</v>
      </c>
      <c r="Z388" s="85">
        <v>948.08100000000002</v>
      </c>
      <c r="AA388" s="87">
        <v>4490</v>
      </c>
      <c r="AB388" s="85">
        <v>947.92499999999995</v>
      </c>
      <c r="AC388" s="87">
        <v>4480</v>
      </c>
      <c r="AD388" s="85">
        <v>871.93299999999999</v>
      </c>
      <c r="AE388" s="87">
        <v>4490</v>
      </c>
      <c r="AF388" s="85">
        <v>873.26599999999996</v>
      </c>
      <c r="AG388" s="87">
        <v>4470</v>
      </c>
      <c r="AH388" s="85">
        <v>241.809</v>
      </c>
      <c r="AI388" s="87">
        <v>4470</v>
      </c>
      <c r="AJ388" s="85">
        <v>252.96600000000001</v>
      </c>
    </row>
    <row r="389" spans="1:36" ht="14.25" customHeight="1">
      <c r="A389" s="88">
        <v>4500</v>
      </c>
      <c r="B389" s="84">
        <v>510.19099999999997</v>
      </c>
      <c r="C389" s="88">
        <v>4510</v>
      </c>
      <c r="D389" s="85">
        <v>506.45499999999998</v>
      </c>
      <c r="E389" s="86">
        <v>4500</v>
      </c>
      <c r="F389" s="85">
        <v>1099.2470000000001</v>
      </c>
      <c r="G389" s="87">
        <v>4500</v>
      </c>
      <c r="H389" s="85">
        <v>1098.49</v>
      </c>
      <c r="I389" s="87">
        <v>4500</v>
      </c>
      <c r="J389" s="85">
        <v>948.68600000000004</v>
      </c>
      <c r="K389" s="87">
        <v>4500</v>
      </c>
      <c r="L389" s="85">
        <v>948.38300000000004</v>
      </c>
      <c r="M389" s="87">
        <v>4500</v>
      </c>
      <c r="N389" s="85">
        <v>948.48599999999999</v>
      </c>
      <c r="O389" s="87">
        <v>4480</v>
      </c>
      <c r="P389" s="85">
        <v>949.65899999999999</v>
      </c>
      <c r="Q389" s="87">
        <v>4500</v>
      </c>
      <c r="R389" s="85">
        <v>949.23800000000006</v>
      </c>
      <c r="S389" s="87">
        <v>4500</v>
      </c>
      <c r="T389" s="85">
        <v>949.78399999999999</v>
      </c>
      <c r="U389" s="87">
        <v>4490</v>
      </c>
      <c r="V389" s="85">
        <v>948.59199999999998</v>
      </c>
      <c r="W389" s="87">
        <v>4500</v>
      </c>
      <c r="X389" s="85">
        <v>948.35400000000004</v>
      </c>
      <c r="Y389" s="87">
        <v>4500</v>
      </c>
      <c r="Z389" s="85">
        <v>946.86900000000003</v>
      </c>
      <c r="AA389" s="87">
        <v>4500</v>
      </c>
      <c r="AB389" s="85">
        <v>946.71500000000003</v>
      </c>
      <c r="AC389" s="87">
        <v>4490</v>
      </c>
      <c r="AD389" s="85">
        <v>870.72199999999998</v>
      </c>
      <c r="AE389" s="87">
        <v>4500</v>
      </c>
      <c r="AF389" s="85">
        <v>872.05700000000002</v>
      </c>
      <c r="AG389" s="87">
        <v>4480</v>
      </c>
      <c r="AH389" s="85">
        <v>241.41300000000001</v>
      </c>
      <c r="AI389" s="87">
        <v>4480</v>
      </c>
      <c r="AJ389" s="85">
        <v>252.55600000000001</v>
      </c>
    </row>
    <row r="390" spans="1:36" ht="14.25" customHeight="1">
      <c r="A390" s="88">
        <v>4510</v>
      </c>
      <c r="B390" s="84">
        <v>509.39600000000002</v>
      </c>
      <c r="C390" s="88">
        <v>4520</v>
      </c>
      <c r="D390" s="85">
        <v>505.66500000000002</v>
      </c>
      <c r="E390" s="86">
        <v>4510</v>
      </c>
      <c r="F390" s="85">
        <v>1097.7439999999999</v>
      </c>
      <c r="G390" s="87">
        <v>4510</v>
      </c>
      <c r="H390" s="85">
        <v>1096.991</v>
      </c>
      <c r="I390" s="87">
        <v>4510</v>
      </c>
      <c r="J390" s="85">
        <v>947.47199999999998</v>
      </c>
      <c r="K390" s="87">
        <v>4510</v>
      </c>
      <c r="L390" s="85">
        <v>947.16899999999998</v>
      </c>
      <c r="M390" s="87">
        <v>4510</v>
      </c>
      <c r="N390" s="85">
        <v>947.274</v>
      </c>
      <c r="O390" s="87">
        <v>4490</v>
      </c>
      <c r="P390" s="85">
        <v>948.44600000000003</v>
      </c>
      <c r="Q390" s="87">
        <v>4510</v>
      </c>
      <c r="R390" s="85">
        <v>948.02499999999998</v>
      </c>
      <c r="S390" s="87">
        <v>4510</v>
      </c>
      <c r="T390" s="85">
        <v>948.57100000000003</v>
      </c>
      <c r="U390" s="87">
        <v>4500</v>
      </c>
      <c r="V390" s="85">
        <v>947.38199999999995</v>
      </c>
      <c r="W390" s="87">
        <v>4510</v>
      </c>
      <c r="X390" s="85">
        <v>947.14400000000001</v>
      </c>
      <c r="Y390" s="87">
        <v>4510</v>
      </c>
      <c r="Z390" s="85">
        <v>945.65800000000002</v>
      </c>
      <c r="AA390" s="87">
        <v>4510</v>
      </c>
      <c r="AB390" s="85">
        <v>945.505</v>
      </c>
      <c r="AC390" s="87">
        <v>4500</v>
      </c>
      <c r="AD390" s="85">
        <v>869.51099999999997</v>
      </c>
      <c r="AE390" s="87">
        <v>4510</v>
      </c>
      <c r="AF390" s="85">
        <v>870.84699999999998</v>
      </c>
      <c r="AG390" s="87">
        <v>4490</v>
      </c>
      <c r="AH390" s="85">
        <v>241.017</v>
      </c>
      <c r="AI390" s="87">
        <v>4490</v>
      </c>
      <c r="AJ390" s="85">
        <v>252.14599999999999</v>
      </c>
    </row>
    <row r="391" spans="1:36" ht="14.25" customHeight="1">
      <c r="A391" s="88">
        <v>4520</v>
      </c>
      <c r="B391" s="84">
        <v>508.601</v>
      </c>
      <c r="C391" s="88">
        <v>4530</v>
      </c>
      <c r="D391" s="85">
        <v>504.87599999999998</v>
      </c>
      <c r="E391" s="86">
        <v>4520</v>
      </c>
      <c r="F391" s="85">
        <v>1096.24</v>
      </c>
      <c r="G391" s="87">
        <v>4520</v>
      </c>
      <c r="H391" s="85">
        <v>1095.492</v>
      </c>
      <c r="I391" s="87">
        <v>4520</v>
      </c>
      <c r="J391" s="85">
        <v>946.25900000000001</v>
      </c>
      <c r="K391" s="87">
        <v>4520</v>
      </c>
      <c r="L391" s="85">
        <v>945.95600000000002</v>
      </c>
      <c r="M391" s="87">
        <v>4520</v>
      </c>
      <c r="N391" s="85">
        <v>946.06100000000004</v>
      </c>
      <c r="O391" s="87">
        <v>4500</v>
      </c>
      <c r="P391" s="85">
        <v>947.23299999999995</v>
      </c>
      <c r="Q391" s="87">
        <v>4520</v>
      </c>
      <c r="R391" s="85">
        <v>946.81200000000001</v>
      </c>
      <c r="S391" s="87">
        <v>4520</v>
      </c>
      <c r="T391" s="85">
        <v>947.35900000000004</v>
      </c>
      <c r="U391" s="87">
        <v>4510</v>
      </c>
      <c r="V391" s="85">
        <v>946.17200000000003</v>
      </c>
      <c r="W391" s="87">
        <v>4520</v>
      </c>
      <c r="X391" s="85">
        <v>945.93299999999999</v>
      </c>
      <c r="Y391" s="87">
        <v>4520</v>
      </c>
      <c r="Z391" s="85">
        <v>944.44600000000003</v>
      </c>
      <c r="AA391" s="87">
        <v>4520</v>
      </c>
      <c r="AB391" s="85">
        <v>944.29499999999996</v>
      </c>
      <c r="AC391" s="87">
        <v>4510</v>
      </c>
      <c r="AD391" s="85">
        <v>868.3</v>
      </c>
      <c r="AE391" s="87">
        <v>4520</v>
      </c>
      <c r="AF391" s="85">
        <v>869.63699999999994</v>
      </c>
      <c r="AG391" s="87">
        <v>4500</v>
      </c>
      <c r="AH391" s="85">
        <v>240.62100000000001</v>
      </c>
      <c r="AI391" s="87">
        <v>4500</v>
      </c>
      <c r="AJ391" s="85">
        <v>251.73599999999999</v>
      </c>
    </row>
    <row r="392" spans="1:36" ht="14.25" customHeight="1">
      <c r="A392" s="88">
        <v>4530</v>
      </c>
      <c r="B392" s="84">
        <v>507.80599999999998</v>
      </c>
      <c r="C392" s="88">
        <v>4540</v>
      </c>
      <c r="D392" s="85">
        <v>504.08699999999999</v>
      </c>
      <c r="E392" s="86">
        <v>4530</v>
      </c>
      <c r="F392" s="85">
        <v>1094.7370000000001</v>
      </c>
      <c r="G392" s="87">
        <v>4530</v>
      </c>
      <c r="H392" s="85">
        <v>1093.9929999999999</v>
      </c>
      <c r="I392" s="87">
        <v>4530</v>
      </c>
      <c r="J392" s="85">
        <v>945.04600000000005</v>
      </c>
      <c r="K392" s="87">
        <v>4530</v>
      </c>
      <c r="L392" s="85">
        <v>944.74199999999996</v>
      </c>
      <c r="M392" s="87">
        <v>4530</v>
      </c>
      <c r="N392" s="85">
        <v>944.84799999999996</v>
      </c>
      <c r="O392" s="87">
        <v>4510</v>
      </c>
      <c r="P392" s="85">
        <v>946.01900000000001</v>
      </c>
      <c r="Q392" s="87">
        <v>4530</v>
      </c>
      <c r="R392" s="85">
        <v>945.59900000000005</v>
      </c>
      <c r="S392" s="87">
        <v>4530</v>
      </c>
      <c r="T392" s="85">
        <v>946.14700000000005</v>
      </c>
      <c r="U392" s="87">
        <v>4520</v>
      </c>
      <c r="V392" s="85">
        <v>944.96299999999997</v>
      </c>
      <c r="W392" s="87">
        <v>4530</v>
      </c>
      <c r="X392" s="85">
        <v>944.72199999999998</v>
      </c>
      <c r="Y392" s="87">
        <v>4530</v>
      </c>
      <c r="Z392" s="85">
        <v>943.23500000000001</v>
      </c>
      <c r="AA392" s="87">
        <v>4530</v>
      </c>
      <c r="AB392" s="85">
        <v>943.08500000000004</v>
      </c>
      <c r="AC392" s="87">
        <v>4520</v>
      </c>
      <c r="AD392" s="85">
        <v>867.09</v>
      </c>
      <c r="AE392" s="87">
        <v>4530</v>
      </c>
      <c r="AF392" s="85">
        <v>868.428</v>
      </c>
      <c r="AG392" s="87">
        <v>4510</v>
      </c>
      <c r="AH392" s="85">
        <v>240.22499999999999</v>
      </c>
      <c r="AI392" s="87">
        <v>4510</v>
      </c>
      <c r="AJ392" s="85">
        <v>251.32599999999999</v>
      </c>
    </row>
    <row r="393" spans="1:36" ht="14.25" customHeight="1">
      <c r="A393" s="88">
        <v>4540</v>
      </c>
      <c r="B393" s="84">
        <v>507.01100000000002</v>
      </c>
      <c r="C393" s="88">
        <v>4550</v>
      </c>
      <c r="D393" s="85">
        <v>503.298</v>
      </c>
      <c r="E393" s="86">
        <v>4540</v>
      </c>
      <c r="F393" s="85">
        <v>1093.2339999999999</v>
      </c>
      <c r="G393" s="87">
        <v>4540</v>
      </c>
      <c r="H393" s="85">
        <v>1092.4939999999999</v>
      </c>
      <c r="I393" s="87">
        <v>4540</v>
      </c>
      <c r="J393" s="85">
        <v>943.83299999999997</v>
      </c>
      <c r="K393" s="87">
        <v>4540</v>
      </c>
      <c r="L393" s="85">
        <v>943.52800000000002</v>
      </c>
      <c r="M393" s="87">
        <v>4540</v>
      </c>
      <c r="N393" s="85">
        <v>943.63499999999999</v>
      </c>
      <c r="O393" s="87">
        <v>4520</v>
      </c>
      <c r="P393" s="85">
        <v>944.80600000000004</v>
      </c>
      <c r="Q393" s="87">
        <v>4540</v>
      </c>
      <c r="R393" s="85">
        <v>944.38599999999997</v>
      </c>
      <c r="S393" s="87">
        <v>4540</v>
      </c>
      <c r="T393" s="85">
        <v>944.93499999999995</v>
      </c>
      <c r="U393" s="87">
        <v>4530</v>
      </c>
      <c r="V393" s="85">
        <v>943.75300000000004</v>
      </c>
      <c r="W393" s="87">
        <v>4540</v>
      </c>
      <c r="X393" s="85">
        <v>943.51099999999997</v>
      </c>
      <c r="Y393" s="87">
        <v>4540</v>
      </c>
      <c r="Z393" s="85">
        <v>942.02300000000002</v>
      </c>
      <c r="AA393" s="87">
        <v>4540</v>
      </c>
      <c r="AB393" s="85">
        <v>941.87599999999998</v>
      </c>
      <c r="AC393" s="87">
        <v>4530</v>
      </c>
      <c r="AD393" s="85">
        <v>865.87900000000002</v>
      </c>
      <c r="AE393" s="87">
        <v>4540</v>
      </c>
      <c r="AF393" s="85">
        <v>867.21799999999996</v>
      </c>
      <c r="AG393" s="87">
        <v>4520</v>
      </c>
      <c r="AH393" s="85">
        <v>239.82900000000001</v>
      </c>
      <c r="AI393" s="87">
        <v>4520</v>
      </c>
      <c r="AJ393" s="85">
        <v>250.917</v>
      </c>
    </row>
    <row r="394" spans="1:36" ht="14.25" customHeight="1">
      <c r="A394" s="88">
        <v>4550</v>
      </c>
      <c r="B394" s="84">
        <v>506.21699999999998</v>
      </c>
      <c r="C394" s="88">
        <v>4560</v>
      </c>
      <c r="D394" s="85">
        <v>502.50900000000001</v>
      </c>
      <c r="E394" s="86">
        <v>4550</v>
      </c>
      <c r="F394" s="85">
        <v>1091.731</v>
      </c>
      <c r="G394" s="87">
        <v>4550</v>
      </c>
      <c r="H394" s="85">
        <v>1090.9960000000001</v>
      </c>
      <c r="I394" s="87">
        <v>4550</v>
      </c>
      <c r="J394" s="85">
        <v>942.62</v>
      </c>
      <c r="K394" s="87">
        <v>4550</v>
      </c>
      <c r="L394" s="85">
        <v>942.31500000000005</v>
      </c>
      <c r="M394" s="87">
        <v>4550</v>
      </c>
      <c r="N394" s="85">
        <v>942.42200000000003</v>
      </c>
      <c r="O394" s="87">
        <v>4530</v>
      </c>
      <c r="P394" s="85">
        <v>943.59299999999996</v>
      </c>
      <c r="Q394" s="87">
        <v>4550</v>
      </c>
      <c r="R394" s="85">
        <v>943.17200000000003</v>
      </c>
      <c r="S394" s="87">
        <v>4550</v>
      </c>
      <c r="T394" s="85">
        <v>943.72199999999998</v>
      </c>
      <c r="U394" s="87">
        <v>4540</v>
      </c>
      <c r="V394" s="85">
        <v>942.54300000000001</v>
      </c>
      <c r="W394" s="87">
        <v>4550</v>
      </c>
      <c r="X394" s="85">
        <v>942.30100000000004</v>
      </c>
      <c r="Y394" s="87">
        <v>4550</v>
      </c>
      <c r="Z394" s="85">
        <v>940.81200000000001</v>
      </c>
      <c r="AA394" s="87">
        <v>4550</v>
      </c>
      <c r="AB394" s="85">
        <v>940.66600000000005</v>
      </c>
      <c r="AC394" s="87">
        <v>4540</v>
      </c>
      <c r="AD394" s="85">
        <v>864.66800000000001</v>
      </c>
      <c r="AE394" s="87">
        <v>4550</v>
      </c>
      <c r="AF394" s="85">
        <v>866.00900000000001</v>
      </c>
      <c r="AG394" s="87">
        <v>4530</v>
      </c>
      <c r="AH394" s="85">
        <v>239.43299999999999</v>
      </c>
      <c r="AI394" s="87">
        <v>4530</v>
      </c>
      <c r="AJ394" s="85">
        <v>250.50700000000001</v>
      </c>
    </row>
    <row r="395" spans="1:36" ht="14.25" customHeight="1">
      <c r="A395" s="88">
        <v>4560</v>
      </c>
      <c r="B395" s="84">
        <v>505.42200000000003</v>
      </c>
      <c r="C395" s="88">
        <v>4570</v>
      </c>
      <c r="D395" s="85">
        <v>501.72</v>
      </c>
      <c r="E395" s="86">
        <v>4560</v>
      </c>
      <c r="F395" s="85">
        <v>1090.2280000000001</v>
      </c>
      <c r="G395" s="87">
        <v>4560</v>
      </c>
      <c r="H395" s="85">
        <v>1089.4970000000001</v>
      </c>
      <c r="I395" s="87">
        <v>4560</v>
      </c>
      <c r="J395" s="85">
        <v>941.40599999999995</v>
      </c>
      <c r="K395" s="87">
        <v>4560</v>
      </c>
      <c r="L395" s="85">
        <v>941.101</v>
      </c>
      <c r="M395" s="87">
        <v>4560</v>
      </c>
      <c r="N395" s="85">
        <v>941.20899999999995</v>
      </c>
      <c r="O395" s="87">
        <v>4540</v>
      </c>
      <c r="P395" s="85">
        <v>942.38</v>
      </c>
      <c r="Q395" s="87">
        <v>4560</v>
      </c>
      <c r="R395" s="85">
        <v>941.96</v>
      </c>
      <c r="S395" s="87">
        <v>4560</v>
      </c>
      <c r="T395" s="85">
        <v>942.51</v>
      </c>
      <c r="U395" s="87">
        <v>4550</v>
      </c>
      <c r="V395" s="85">
        <v>941.33299999999997</v>
      </c>
      <c r="W395" s="87">
        <v>4560</v>
      </c>
      <c r="X395" s="85">
        <v>941.09</v>
      </c>
      <c r="Y395" s="87">
        <v>4560</v>
      </c>
      <c r="Z395" s="85">
        <v>939.6</v>
      </c>
      <c r="AA395" s="87">
        <v>4560</v>
      </c>
      <c r="AB395" s="85">
        <v>939.45600000000002</v>
      </c>
      <c r="AC395" s="87">
        <v>4550</v>
      </c>
      <c r="AD395" s="85">
        <v>863.45699999999999</v>
      </c>
      <c r="AE395" s="87">
        <v>4560</v>
      </c>
      <c r="AF395" s="85">
        <v>864.79899999999998</v>
      </c>
      <c r="AG395" s="87">
        <v>4540</v>
      </c>
      <c r="AH395" s="85">
        <v>239.03700000000001</v>
      </c>
      <c r="AI395" s="87">
        <v>4540</v>
      </c>
      <c r="AJ395" s="85">
        <v>250.09700000000001</v>
      </c>
    </row>
    <row r="396" spans="1:36" ht="14.25" customHeight="1">
      <c r="A396" s="88">
        <v>4570</v>
      </c>
      <c r="B396" s="84">
        <v>504.62799999999999</v>
      </c>
      <c r="C396" s="88">
        <v>4580</v>
      </c>
      <c r="D396" s="85">
        <v>500.93200000000002</v>
      </c>
      <c r="E396" s="86">
        <v>4570</v>
      </c>
      <c r="F396" s="85">
        <v>1088.7249999999999</v>
      </c>
      <c r="G396" s="87">
        <v>4570</v>
      </c>
      <c r="H396" s="85">
        <v>1087.999</v>
      </c>
      <c r="I396" s="87">
        <v>4570</v>
      </c>
      <c r="J396" s="85">
        <v>940.19299999999998</v>
      </c>
      <c r="K396" s="87">
        <v>4570</v>
      </c>
      <c r="L396" s="85">
        <v>939.88699999999994</v>
      </c>
      <c r="M396" s="87">
        <v>4570</v>
      </c>
      <c r="N396" s="85">
        <v>939.99599999999998</v>
      </c>
      <c r="O396" s="87">
        <v>4550</v>
      </c>
      <c r="P396" s="85">
        <v>941.16700000000003</v>
      </c>
      <c r="Q396" s="87">
        <v>4570</v>
      </c>
      <c r="R396" s="85">
        <v>940.74599999999998</v>
      </c>
      <c r="S396" s="87">
        <v>4570</v>
      </c>
      <c r="T396" s="85">
        <v>941.298</v>
      </c>
      <c r="U396" s="87">
        <v>4560</v>
      </c>
      <c r="V396" s="85">
        <v>940.12400000000002</v>
      </c>
      <c r="W396" s="87">
        <v>4570</v>
      </c>
      <c r="X396" s="85">
        <v>939.87900000000002</v>
      </c>
      <c r="Y396" s="87">
        <v>4570</v>
      </c>
      <c r="Z396" s="85">
        <v>938.38900000000001</v>
      </c>
      <c r="AA396" s="87">
        <v>4570</v>
      </c>
      <c r="AB396" s="85">
        <v>938.24599999999998</v>
      </c>
      <c r="AC396" s="87">
        <v>4560</v>
      </c>
      <c r="AD396" s="85">
        <v>862.24599999999998</v>
      </c>
      <c r="AE396" s="87">
        <v>4570</v>
      </c>
      <c r="AF396" s="85">
        <v>863.59</v>
      </c>
      <c r="AG396" s="87">
        <v>4550</v>
      </c>
      <c r="AH396" s="85">
        <v>238.64099999999999</v>
      </c>
      <c r="AI396" s="87">
        <v>4550</v>
      </c>
      <c r="AJ396" s="85">
        <v>249.68700000000001</v>
      </c>
    </row>
    <row r="397" spans="1:36" ht="14.25" customHeight="1">
      <c r="A397" s="88">
        <v>4580</v>
      </c>
      <c r="B397" s="84">
        <v>503.834</v>
      </c>
      <c r="C397" s="88">
        <v>4590</v>
      </c>
      <c r="D397" s="85">
        <v>500.14299999999997</v>
      </c>
      <c r="E397" s="86">
        <v>4580</v>
      </c>
      <c r="F397" s="85">
        <v>1087.223</v>
      </c>
      <c r="G397" s="87">
        <v>4580</v>
      </c>
      <c r="H397" s="85">
        <v>1086.501</v>
      </c>
      <c r="I397" s="87">
        <v>4580</v>
      </c>
      <c r="J397" s="85">
        <v>938.98</v>
      </c>
      <c r="K397" s="87">
        <v>4580</v>
      </c>
      <c r="L397" s="85">
        <v>938.67399999999998</v>
      </c>
      <c r="M397" s="87">
        <v>4580</v>
      </c>
      <c r="N397" s="85">
        <v>938.78300000000002</v>
      </c>
      <c r="O397" s="87">
        <v>4560</v>
      </c>
      <c r="P397" s="85">
        <v>939.95299999999997</v>
      </c>
      <c r="Q397" s="87">
        <v>4580</v>
      </c>
      <c r="R397" s="85">
        <v>939.53300000000002</v>
      </c>
      <c r="S397" s="87">
        <v>4580</v>
      </c>
      <c r="T397" s="85">
        <v>940.08500000000004</v>
      </c>
      <c r="U397" s="87">
        <v>4570</v>
      </c>
      <c r="V397" s="85">
        <v>938.91399999999999</v>
      </c>
      <c r="W397" s="87">
        <v>4580</v>
      </c>
      <c r="X397" s="85">
        <v>938.66899999999998</v>
      </c>
      <c r="Y397" s="87">
        <v>4580</v>
      </c>
      <c r="Z397" s="85">
        <v>937.17700000000002</v>
      </c>
      <c r="AA397" s="87">
        <v>4580</v>
      </c>
      <c r="AB397" s="85">
        <v>937.03599999999994</v>
      </c>
      <c r="AC397" s="87">
        <v>4570</v>
      </c>
      <c r="AD397" s="85">
        <v>861.03599999999994</v>
      </c>
      <c r="AE397" s="87">
        <v>4580</v>
      </c>
      <c r="AF397" s="85">
        <v>862.38</v>
      </c>
      <c r="AG397" s="87">
        <v>4560</v>
      </c>
      <c r="AH397" s="85">
        <v>238.245</v>
      </c>
      <c r="AI397" s="87">
        <v>4560</v>
      </c>
      <c r="AJ397" s="85">
        <v>249.27699999999999</v>
      </c>
    </row>
    <row r="398" spans="1:36" ht="14.25" customHeight="1">
      <c r="A398" s="88">
        <v>4590</v>
      </c>
      <c r="B398" s="84">
        <v>503.04</v>
      </c>
      <c r="C398" s="88">
        <v>4600</v>
      </c>
      <c r="D398" s="85">
        <v>499.35500000000002</v>
      </c>
      <c r="E398" s="86">
        <v>4590</v>
      </c>
      <c r="F398" s="85">
        <v>1085.72</v>
      </c>
      <c r="G398" s="87">
        <v>4590</v>
      </c>
      <c r="H398" s="85">
        <v>1085.0029999999999</v>
      </c>
      <c r="I398" s="87">
        <v>4590</v>
      </c>
      <c r="J398" s="85">
        <v>937.76700000000005</v>
      </c>
      <c r="K398" s="87">
        <v>4590</v>
      </c>
      <c r="L398" s="85">
        <v>937.46</v>
      </c>
      <c r="M398" s="87">
        <v>4590</v>
      </c>
      <c r="N398" s="85">
        <v>937.57</v>
      </c>
      <c r="O398" s="87">
        <v>4570</v>
      </c>
      <c r="P398" s="85">
        <v>938.74</v>
      </c>
      <c r="Q398" s="87">
        <v>4590</v>
      </c>
      <c r="R398" s="85">
        <v>938.32</v>
      </c>
      <c r="S398" s="87">
        <v>4590</v>
      </c>
      <c r="T398" s="85">
        <v>938.87300000000005</v>
      </c>
      <c r="U398" s="87">
        <v>4580</v>
      </c>
      <c r="V398" s="85">
        <v>937.70399999999995</v>
      </c>
      <c r="W398" s="87">
        <v>4590</v>
      </c>
      <c r="X398" s="85">
        <v>937.45799999999997</v>
      </c>
      <c r="Y398" s="87">
        <v>4590</v>
      </c>
      <c r="Z398" s="85">
        <v>935.96600000000001</v>
      </c>
      <c r="AA398" s="87">
        <v>4590</v>
      </c>
      <c r="AB398" s="85">
        <v>935.82600000000002</v>
      </c>
      <c r="AC398" s="87">
        <v>4580</v>
      </c>
      <c r="AD398" s="85">
        <v>859.82500000000005</v>
      </c>
      <c r="AE398" s="87">
        <v>4590</v>
      </c>
      <c r="AF398" s="85">
        <v>861.17</v>
      </c>
      <c r="AG398" s="87">
        <v>4570</v>
      </c>
      <c r="AH398" s="85">
        <v>237.84899999999999</v>
      </c>
      <c r="AI398" s="87">
        <v>4570</v>
      </c>
      <c r="AJ398" s="85">
        <v>248.86699999999999</v>
      </c>
    </row>
    <row r="399" spans="1:36" ht="14.25" customHeight="1">
      <c r="A399" s="88">
        <v>4600</v>
      </c>
      <c r="B399" s="84">
        <v>502.24599999999998</v>
      </c>
      <c r="C399" s="88">
        <v>4610</v>
      </c>
      <c r="D399" s="85">
        <v>498.56700000000001</v>
      </c>
      <c r="E399" s="86">
        <v>4600</v>
      </c>
      <c r="F399" s="85">
        <v>1084.2180000000001</v>
      </c>
      <c r="G399" s="87">
        <v>4600</v>
      </c>
      <c r="H399" s="85">
        <v>1083.5050000000001</v>
      </c>
      <c r="I399" s="87">
        <v>4600</v>
      </c>
      <c r="J399" s="85">
        <v>936.55399999999997</v>
      </c>
      <c r="K399" s="87">
        <v>4600</v>
      </c>
      <c r="L399" s="85">
        <v>936.24599999999998</v>
      </c>
      <c r="M399" s="87">
        <v>4600</v>
      </c>
      <c r="N399" s="85">
        <v>936.35699999999997</v>
      </c>
      <c r="O399" s="87">
        <v>4580</v>
      </c>
      <c r="P399" s="85">
        <v>937.52700000000004</v>
      </c>
      <c r="Q399" s="87">
        <v>4600</v>
      </c>
      <c r="R399" s="85">
        <v>937.10699999999997</v>
      </c>
      <c r="S399" s="87">
        <v>4600</v>
      </c>
      <c r="T399" s="85">
        <v>937.66099999999994</v>
      </c>
      <c r="U399" s="87">
        <v>4590</v>
      </c>
      <c r="V399" s="85">
        <v>936.495</v>
      </c>
      <c r="W399" s="87">
        <v>4600</v>
      </c>
      <c r="X399" s="85">
        <v>936.24699999999996</v>
      </c>
      <c r="Y399" s="87">
        <v>4600</v>
      </c>
      <c r="Z399" s="85">
        <v>934.75400000000002</v>
      </c>
      <c r="AA399" s="87">
        <v>4600</v>
      </c>
      <c r="AB399" s="85">
        <v>934.61599999999999</v>
      </c>
      <c r="AC399" s="87">
        <v>4590</v>
      </c>
      <c r="AD399" s="85">
        <v>858.61400000000003</v>
      </c>
      <c r="AE399" s="87">
        <v>4600</v>
      </c>
      <c r="AF399" s="85">
        <v>859.96100000000001</v>
      </c>
      <c r="AG399" s="87">
        <v>4580</v>
      </c>
      <c r="AH399" s="85">
        <v>237.453</v>
      </c>
      <c r="AI399" s="87">
        <v>4580</v>
      </c>
      <c r="AJ399" s="85">
        <v>248.45699999999999</v>
      </c>
    </row>
    <row r="400" spans="1:36" ht="14.25" customHeight="1">
      <c r="A400" s="88">
        <v>4610</v>
      </c>
      <c r="B400" s="84">
        <v>501.452</v>
      </c>
      <c r="C400" s="88">
        <v>4620</v>
      </c>
      <c r="D400" s="85">
        <v>497.779</v>
      </c>
      <c r="E400" s="86">
        <v>4610</v>
      </c>
      <c r="F400" s="85">
        <v>1082.7159999999999</v>
      </c>
      <c r="G400" s="87">
        <v>4610</v>
      </c>
      <c r="H400" s="85">
        <v>1082.0070000000001</v>
      </c>
      <c r="I400" s="87">
        <v>4610</v>
      </c>
      <c r="J400" s="85">
        <v>935.34100000000001</v>
      </c>
      <c r="K400" s="87">
        <v>4610</v>
      </c>
      <c r="L400" s="85">
        <v>935.03300000000002</v>
      </c>
      <c r="M400" s="87">
        <v>4610</v>
      </c>
      <c r="N400" s="85">
        <v>935.14499999999998</v>
      </c>
      <c r="O400" s="87">
        <v>4590</v>
      </c>
      <c r="P400" s="85">
        <v>936.31399999999996</v>
      </c>
      <c r="Q400" s="87">
        <v>4610</v>
      </c>
      <c r="R400" s="85">
        <v>935.89400000000001</v>
      </c>
      <c r="S400" s="87">
        <v>4610</v>
      </c>
      <c r="T400" s="85">
        <v>936.44799999999998</v>
      </c>
      <c r="U400" s="87">
        <v>4600</v>
      </c>
      <c r="V400" s="85">
        <v>935.28499999999997</v>
      </c>
      <c r="W400" s="87">
        <v>4610</v>
      </c>
      <c r="X400" s="85">
        <v>935.03599999999994</v>
      </c>
      <c r="Y400" s="87">
        <v>4610</v>
      </c>
      <c r="Z400" s="85">
        <v>933.54300000000001</v>
      </c>
      <c r="AA400" s="87">
        <v>4610</v>
      </c>
      <c r="AB400" s="85">
        <v>933.40599999999995</v>
      </c>
      <c r="AC400" s="87">
        <v>4600</v>
      </c>
      <c r="AD400" s="85">
        <v>857.40300000000002</v>
      </c>
      <c r="AE400" s="87">
        <v>4610</v>
      </c>
      <c r="AF400" s="85">
        <v>858.75099999999998</v>
      </c>
      <c r="AG400" s="87">
        <v>4590</v>
      </c>
      <c r="AH400" s="85">
        <v>237.05799999999999</v>
      </c>
      <c r="AI400" s="87">
        <v>4590</v>
      </c>
      <c r="AJ400" s="85">
        <v>248.048</v>
      </c>
    </row>
    <row r="401" spans="1:36" ht="14.25" customHeight="1">
      <c r="A401" s="88">
        <v>4620</v>
      </c>
      <c r="B401" s="84">
        <v>500.65899999999999</v>
      </c>
      <c r="C401" s="88">
        <v>4630</v>
      </c>
      <c r="D401" s="85">
        <v>496.99200000000002</v>
      </c>
      <c r="E401" s="86">
        <v>4620</v>
      </c>
      <c r="F401" s="85">
        <v>1081.213</v>
      </c>
      <c r="G401" s="87">
        <v>4620</v>
      </c>
      <c r="H401" s="85">
        <v>1080.509</v>
      </c>
      <c r="I401" s="87">
        <v>4620</v>
      </c>
      <c r="J401" s="85">
        <v>934.12699999999995</v>
      </c>
      <c r="K401" s="87">
        <v>4620</v>
      </c>
      <c r="L401" s="85">
        <v>933.81899999999996</v>
      </c>
      <c r="M401" s="87">
        <v>4620</v>
      </c>
      <c r="N401" s="85">
        <v>933.93200000000002</v>
      </c>
      <c r="O401" s="87">
        <v>4600</v>
      </c>
      <c r="P401" s="85">
        <v>935.101</v>
      </c>
      <c r="Q401" s="87">
        <v>4620</v>
      </c>
      <c r="R401" s="85">
        <v>934.68100000000004</v>
      </c>
      <c r="S401" s="87">
        <v>4620</v>
      </c>
      <c r="T401" s="85">
        <v>935.23599999999999</v>
      </c>
      <c r="U401" s="87">
        <v>4610</v>
      </c>
      <c r="V401" s="85">
        <v>934.07500000000005</v>
      </c>
      <c r="W401" s="87">
        <v>4620</v>
      </c>
      <c r="X401" s="85">
        <v>933.82600000000002</v>
      </c>
      <c r="Y401" s="87">
        <v>4620</v>
      </c>
      <c r="Z401" s="85">
        <v>932.33100000000002</v>
      </c>
      <c r="AA401" s="87">
        <v>4620</v>
      </c>
      <c r="AB401" s="85">
        <v>932.19600000000003</v>
      </c>
      <c r="AC401" s="87">
        <v>4610</v>
      </c>
      <c r="AD401" s="85">
        <v>856.19200000000001</v>
      </c>
      <c r="AE401" s="87">
        <v>4620</v>
      </c>
      <c r="AF401" s="85">
        <v>857.54200000000003</v>
      </c>
      <c r="AG401" s="87">
        <v>4600</v>
      </c>
      <c r="AH401" s="85">
        <v>236.66200000000001</v>
      </c>
      <c r="AI401" s="87">
        <v>4600</v>
      </c>
      <c r="AJ401" s="85">
        <v>247.63800000000001</v>
      </c>
    </row>
    <row r="402" spans="1:36" ht="14.25" customHeight="1">
      <c r="A402" s="88">
        <v>4630</v>
      </c>
      <c r="B402" s="84">
        <v>499.86599999999999</v>
      </c>
      <c r="C402" s="88">
        <v>4640</v>
      </c>
      <c r="D402" s="85">
        <v>496.20400000000001</v>
      </c>
      <c r="E402" s="86">
        <v>4630</v>
      </c>
      <c r="F402" s="85">
        <v>1079.711</v>
      </c>
      <c r="G402" s="87">
        <v>4630</v>
      </c>
      <c r="H402" s="85">
        <v>1079.011</v>
      </c>
      <c r="I402" s="87">
        <v>4630</v>
      </c>
      <c r="J402" s="85">
        <v>932.91399999999999</v>
      </c>
      <c r="K402" s="87">
        <v>4630</v>
      </c>
      <c r="L402" s="85">
        <v>932.60500000000002</v>
      </c>
      <c r="M402" s="87">
        <v>4630</v>
      </c>
      <c r="N402" s="85">
        <v>932.71900000000005</v>
      </c>
      <c r="O402" s="87">
        <v>4610</v>
      </c>
      <c r="P402" s="85">
        <v>933.88800000000003</v>
      </c>
      <c r="Q402" s="87">
        <v>4630</v>
      </c>
      <c r="R402" s="85">
        <v>933.46799999999996</v>
      </c>
      <c r="S402" s="87">
        <v>4630</v>
      </c>
      <c r="T402" s="85">
        <v>934.024</v>
      </c>
      <c r="U402" s="87">
        <v>4620</v>
      </c>
      <c r="V402" s="85">
        <v>932.86500000000001</v>
      </c>
      <c r="W402" s="87">
        <v>4630</v>
      </c>
      <c r="X402" s="85">
        <v>932.61500000000001</v>
      </c>
      <c r="Y402" s="87">
        <v>4630</v>
      </c>
      <c r="Z402" s="85">
        <v>931.12</v>
      </c>
      <c r="AA402" s="87">
        <v>4630</v>
      </c>
      <c r="AB402" s="85">
        <v>930.98599999999999</v>
      </c>
      <c r="AC402" s="87">
        <v>4620</v>
      </c>
      <c r="AD402" s="85">
        <v>854.98199999999997</v>
      </c>
      <c r="AE402" s="87">
        <v>4630</v>
      </c>
      <c r="AF402" s="85">
        <v>856.33199999999999</v>
      </c>
      <c r="AG402" s="87">
        <v>4610</v>
      </c>
      <c r="AH402" s="85">
        <v>236.26599999999999</v>
      </c>
      <c r="AI402" s="87">
        <v>4610</v>
      </c>
      <c r="AJ402" s="85">
        <v>247.22800000000001</v>
      </c>
    </row>
    <row r="403" spans="1:36" ht="14.25" customHeight="1">
      <c r="A403" s="88">
        <v>4640</v>
      </c>
      <c r="B403" s="84">
        <v>499.07299999999998</v>
      </c>
      <c r="C403" s="88">
        <v>4650</v>
      </c>
      <c r="D403" s="85">
        <v>495.41699999999997</v>
      </c>
      <c r="E403" s="86">
        <v>4640</v>
      </c>
      <c r="F403" s="85">
        <v>1078.21</v>
      </c>
      <c r="G403" s="87">
        <v>4640</v>
      </c>
      <c r="H403" s="85">
        <v>1077.5139999999999</v>
      </c>
      <c r="I403" s="87">
        <v>4640</v>
      </c>
      <c r="J403" s="85">
        <v>931.70100000000002</v>
      </c>
      <c r="K403" s="87">
        <v>4640</v>
      </c>
      <c r="L403" s="85">
        <v>931.39099999999996</v>
      </c>
      <c r="M403" s="87">
        <v>4640</v>
      </c>
      <c r="N403" s="85">
        <v>931.50599999999997</v>
      </c>
      <c r="O403" s="87">
        <v>4620</v>
      </c>
      <c r="P403" s="85">
        <v>932.67399999999998</v>
      </c>
      <c r="Q403" s="87">
        <v>4640</v>
      </c>
      <c r="R403" s="85">
        <v>932.255</v>
      </c>
      <c r="S403" s="87">
        <v>4640</v>
      </c>
      <c r="T403" s="85">
        <v>932.81200000000001</v>
      </c>
      <c r="U403" s="87">
        <v>4630</v>
      </c>
      <c r="V403" s="85">
        <v>931.65599999999995</v>
      </c>
      <c r="W403" s="87">
        <v>4640</v>
      </c>
      <c r="X403" s="85">
        <v>931.404</v>
      </c>
      <c r="Y403" s="87">
        <v>4640</v>
      </c>
      <c r="Z403" s="85">
        <v>929.90800000000002</v>
      </c>
      <c r="AA403" s="87">
        <v>4640</v>
      </c>
      <c r="AB403" s="85">
        <v>929.77599999999995</v>
      </c>
      <c r="AC403" s="87">
        <v>4630</v>
      </c>
      <c r="AD403" s="85">
        <v>853.77099999999996</v>
      </c>
      <c r="AE403" s="87">
        <v>4640</v>
      </c>
      <c r="AF403" s="85">
        <v>855.12199999999996</v>
      </c>
      <c r="AG403" s="87">
        <v>4620</v>
      </c>
      <c r="AH403" s="85">
        <v>235.87</v>
      </c>
      <c r="AI403" s="87">
        <v>4620</v>
      </c>
      <c r="AJ403" s="85">
        <v>246.81899999999999</v>
      </c>
    </row>
    <row r="404" spans="1:36" ht="14.25" customHeight="1">
      <c r="A404" s="88">
        <v>4650</v>
      </c>
      <c r="B404" s="84">
        <v>498.28</v>
      </c>
      <c r="C404" s="88">
        <v>4660</v>
      </c>
      <c r="D404" s="85">
        <v>494.63</v>
      </c>
      <c r="E404" s="86">
        <v>4650</v>
      </c>
      <c r="F404" s="85">
        <v>1076.7080000000001</v>
      </c>
      <c r="G404" s="87">
        <v>4650</v>
      </c>
      <c r="H404" s="85">
        <v>1076.0160000000001</v>
      </c>
      <c r="I404" s="87">
        <v>4650</v>
      </c>
      <c r="J404" s="85">
        <v>930.48800000000006</v>
      </c>
      <c r="K404" s="87">
        <v>4650</v>
      </c>
      <c r="L404" s="85">
        <v>930.178</v>
      </c>
      <c r="M404" s="87">
        <v>4650</v>
      </c>
      <c r="N404" s="85">
        <v>930.29300000000001</v>
      </c>
      <c r="O404" s="87">
        <v>4630</v>
      </c>
      <c r="P404" s="85">
        <v>931.46100000000001</v>
      </c>
      <c r="Q404" s="87">
        <v>4650</v>
      </c>
      <c r="R404" s="85">
        <v>931.04200000000003</v>
      </c>
      <c r="S404" s="87">
        <v>4650</v>
      </c>
      <c r="T404" s="85">
        <v>931.59900000000005</v>
      </c>
      <c r="U404" s="87">
        <v>4640</v>
      </c>
      <c r="V404" s="85">
        <v>930.44600000000003</v>
      </c>
      <c r="W404" s="87">
        <v>4650</v>
      </c>
      <c r="X404" s="85">
        <v>930.19299999999998</v>
      </c>
      <c r="Y404" s="87">
        <v>4650</v>
      </c>
      <c r="Z404" s="85">
        <v>928.697</v>
      </c>
      <c r="AA404" s="87">
        <v>4650</v>
      </c>
      <c r="AB404" s="85">
        <v>928.56600000000003</v>
      </c>
      <c r="AC404" s="87">
        <v>4640</v>
      </c>
      <c r="AD404" s="85">
        <v>852.56</v>
      </c>
      <c r="AE404" s="87">
        <v>4650</v>
      </c>
      <c r="AF404" s="85">
        <v>853.91300000000001</v>
      </c>
      <c r="AG404" s="87">
        <v>4630</v>
      </c>
      <c r="AH404" s="85">
        <v>235.47399999999999</v>
      </c>
      <c r="AI404" s="87">
        <v>4630</v>
      </c>
      <c r="AJ404" s="85">
        <v>246.40899999999999</v>
      </c>
    </row>
    <row r="405" spans="1:36" ht="14.25" customHeight="1">
      <c r="A405" s="88">
        <v>4660</v>
      </c>
      <c r="B405" s="84">
        <v>497.48700000000002</v>
      </c>
      <c r="C405" s="88">
        <v>4670</v>
      </c>
      <c r="D405" s="85">
        <v>493.84300000000002</v>
      </c>
      <c r="E405" s="86">
        <v>4660</v>
      </c>
      <c r="F405" s="85">
        <v>1075.2059999999999</v>
      </c>
      <c r="G405" s="87">
        <v>4660</v>
      </c>
      <c r="H405" s="85">
        <v>1074.519</v>
      </c>
      <c r="I405" s="87">
        <v>4660</v>
      </c>
      <c r="J405" s="85">
        <v>929.27499999999998</v>
      </c>
      <c r="K405" s="87">
        <v>4660</v>
      </c>
      <c r="L405" s="85">
        <v>928.96400000000006</v>
      </c>
      <c r="M405" s="87">
        <v>4660</v>
      </c>
      <c r="N405" s="85">
        <v>929.08</v>
      </c>
      <c r="O405" s="87">
        <v>4640</v>
      </c>
      <c r="P405" s="85">
        <v>930.24800000000005</v>
      </c>
      <c r="Q405" s="87">
        <v>4660</v>
      </c>
      <c r="R405" s="85">
        <v>929.82899999999995</v>
      </c>
      <c r="S405" s="87">
        <v>4660</v>
      </c>
      <c r="T405" s="85">
        <v>930.38699999999994</v>
      </c>
      <c r="U405" s="87">
        <v>4650</v>
      </c>
      <c r="V405" s="85">
        <v>929.23599999999999</v>
      </c>
      <c r="W405" s="87">
        <v>4660</v>
      </c>
      <c r="X405" s="85">
        <v>928.98299999999995</v>
      </c>
      <c r="Y405" s="87">
        <v>4660</v>
      </c>
      <c r="Z405" s="85">
        <v>927.48599999999999</v>
      </c>
      <c r="AA405" s="87">
        <v>4660</v>
      </c>
      <c r="AB405" s="85">
        <v>927.35599999999999</v>
      </c>
      <c r="AC405" s="87">
        <v>4650</v>
      </c>
      <c r="AD405" s="85">
        <v>851.34900000000005</v>
      </c>
      <c r="AE405" s="87">
        <v>4660</v>
      </c>
      <c r="AF405" s="85">
        <v>852.70299999999997</v>
      </c>
      <c r="AG405" s="87">
        <v>4640</v>
      </c>
      <c r="AH405" s="85">
        <v>235.07900000000001</v>
      </c>
      <c r="AI405" s="87">
        <v>4640</v>
      </c>
      <c r="AJ405" s="85">
        <v>245.999</v>
      </c>
    </row>
    <row r="406" spans="1:36" ht="14.25" customHeight="1">
      <c r="A406" s="88">
        <v>4670</v>
      </c>
      <c r="B406" s="84">
        <v>496.69400000000002</v>
      </c>
      <c r="C406" s="88">
        <v>4680</v>
      </c>
      <c r="D406" s="85">
        <v>493.05599999999998</v>
      </c>
      <c r="E406" s="86">
        <v>4670</v>
      </c>
      <c r="F406" s="85">
        <v>1073.7049999999999</v>
      </c>
      <c r="G406" s="87">
        <v>4670</v>
      </c>
      <c r="H406" s="85">
        <v>1073.0219999999999</v>
      </c>
      <c r="I406" s="87">
        <v>4670</v>
      </c>
      <c r="J406" s="85">
        <v>928.06200000000001</v>
      </c>
      <c r="K406" s="87">
        <v>4670</v>
      </c>
      <c r="L406" s="85">
        <v>927.75</v>
      </c>
      <c r="M406" s="87">
        <v>4670</v>
      </c>
      <c r="N406" s="85">
        <v>927.86699999999996</v>
      </c>
      <c r="O406" s="87">
        <v>4650</v>
      </c>
      <c r="P406" s="85">
        <v>929.03499999999997</v>
      </c>
      <c r="Q406" s="87">
        <v>4670</v>
      </c>
      <c r="R406" s="85">
        <v>928.61599999999999</v>
      </c>
      <c r="S406" s="87">
        <v>4670</v>
      </c>
      <c r="T406" s="85">
        <v>929.17499999999995</v>
      </c>
      <c r="U406" s="87">
        <v>4660</v>
      </c>
      <c r="V406" s="85">
        <v>928.02599999999995</v>
      </c>
      <c r="W406" s="87">
        <v>4670</v>
      </c>
      <c r="X406" s="85">
        <v>927.77200000000005</v>
      </c>
      <c r="Y406" s="87">
        <v>4670</v>
      </c>
      <c r="Z406" s="85">
        <v>926.274</v>
      </c>
      <c r="AA406" s="87">
        <v>4670</v>
      </c>
      <c r="AB406" s="85">
        <v>926.14599999999996</v>
      </c>
      <c r="AC406" s="87">
        <v>4660</v>
      </c>
      <c r="AD406" s="85">
        <v>850.13800000000003</v>
      </c>
      <c r="AE406" s="87">
        <v>4670</v>
      </c>
      <c r="AF406" s="85">
        <v>851.49400000000003</v>
      </c>
      <c r="AG406" s="87">
        <v>4650</v>
      </c>
      <c r="AH406" s="85">
        <v>234.68299999999999</v>
      </c>
      <c r="AI406" s="87">
        <v>4650</v>
      </c>
      <c r="AJ406" s="85">
        <v>245.59</v>
      </c>
    </row>
    <row r="407" spans="1:36" ht="14.25" customHeight="1">
      <c r="A407" s="88">
        <v>4680</v>
      </c>
      <c r="B407" s="84">
        <v>495.90199999999999</v>
      </c>
      <c r="C407" s="88">
        <v>4690</v>
      </c>
      <c r="D407" s="85">
        <v>492.27</v>
      </c>
      <c r="E407" s="86">
        <v>4680</v>
      </c>
      <c r="F407" s="85">
        <v>1072.203</v>
      </c>
      <c r="G407" s="87">
        <v>4680</v>
      </c>
      <c r="H407" s="85">
        <v>1071.5250000000001</v>
      </c>
      <c r="I407" s="87">
        <v>4680</v>
      </c>
      <c r="J407" s="85">
        <v>926.84799999999996</v>
      </c>
      <c r="K407" s="87">
        <v>4680</v>
      </c>
      <c r="L407" s="85">
        <v>926.53700000000003</v>
      </c>
      <c r="M407" s="87">
        <v>4680</v>
      </c>
      <c r="N407" s="85">
        <v>926.654</v>
      </c>
      <c r="O407" s="87">
        <v>4660</v>
      </c>
      <c r="P407" s="85">
        <v>927.822</v>
      </c>
      <c r="Q407" s="87">
        <v>4680</v>
      </c>
      <c r="R407" s="85">
        <v>927.40300000000002</v>
      </c>
      <c r="S407" s="87">
        <v>4680</v>
      </c>
      <c r="T407" s="85">
        <v>927.96199999999999</v>
      </c>
      <c r="U407" s="87">
        <v>4670</v>
      </c>
      <c r="V407" s="85">
        <v>926.81700000000001</v>
      </c>
      <c r="W407" s="87">
        <v>4680</v>
      </c>
      <c r="X407" s="85">
        <v>926.56100000000004</v>
      </c>
      <c r="Y407" s="87">
        <v>4680</v>
      </c>
      <c r="Z407" s="85">
        <v>925.06299999999999</v>
      </c>
      <c r="AA407" s="87">
        <v>4680</v>
      </c>
      <c r="AB407" s="85">
        <v>924.93600000000004</v>
      </c>
      <c r="AC407" s="87">
        <v>4670</v>
      </c>
      <c r="AD407" s="85">
        <v>848.928</v>
      </c>
      <c r="AE407" s="87">
        <v>4680</v>
      </c>
      <c r="AF407" s="85">
        <v>850.28399999999999</v>
      </c>
      <c r="AG407" s="87">
        <v>4660</v>
      </c>
      <c r="AH407" s="85">
        <v>234.28700000000001</v>
      </c>
      <c r="AI407" s="87">
        <v>4660</v>
      </c>
      <c r="AJ407" s="85">
        <v>245.18</v>
      </c>
    </row>
    <row r="408" spans="1:36" ht="14.25" customHeight="1">
      <c r="A408" s="88">
        <v>4690</v>
      </c>
      <c r="B408" s="84">
        <v>495.11</v>
      </c>
      <c r="C408" s="88">
        <v>4700</v>
      </c>
      <c r="D408" s="85">
        <v>491.483</v>
      </c>
      <c r="E408" s="86">
        <v>4690</v>
      </c>
      <c r="F408" s="85">
        <v>1070.702</v>
      </c>
      <c r="G408" s="87">
        <v>4690</v>
      </c>
      <c r="H408" s="85">
        <v>1070.028</v>
      </c>
      <c r="I408" s="87">
        <v>4690</v>
      </c>
      <c r="J408" s="85">
        <v>925.63499999999999</v>
      </c>
      <c r="K408" s="87">
        <v>4690</v>
      </c>
      <c r="L408" s="85">
        <v>925.32299999999998</v>
      </c>
      <c r="M408" s="87">
        <v>4690</v>
      </c>
      <c r="N408" s="85">
        <v>925.44200000000001</v>
      </c>
      <c r="O408" s="87">
        <v>4670</v>
      </c>
      <c r="P408" s="85">
        <v>926.60900000000004</v>
      </c>
      <c r="Q408" s="87">
        <v>4690</v>
      </c>
      <c r="R408" s="85">
        <v>926.19100000000003</v>
      </c>
      <c r="S408" s="87">
        <v>4690</v>
      </c>
      <c r="T408" s="85">
        <v>926.75</v>
      </c>
      <c r="U408" s="87">
        <v>4680</v>
      </c>
      <c r="V408" s="85">
        <v>925.60699999999997</v>
      </c>
      <c r="W408" s="87">
        <v>4690</v>
      </c>
      <c r="X408" s="85">
        <v>925.351</v>
      </c>
      <c r="Y408" s="87">
        <v>4690</v>
      </c>
      <c r="Z408" s="85">
        <v>923.851</v>
      </c>
      <c r="AA408" s="87">
        <v>4690</v>
      </c>
      <c r="AB408" s="85">
        <v>923.72699999999998</v>
      </c>
      <c r="AC408" s="87">
        <v>4680</v>
      </c>
      <c r="AD408" s="85">
        <v>847.71699999999998</v>
      </c>
      <c r="AE408" s="87">
        <v>4690</v>
      </c>
      <c r="AF408" s="85">
        <v>849.07399999999996</v>
      </c>
      <c r="AG408" s="87">
        <v>4670</v>
      </c>
      <c r="AH408" s="85">
        <v>233.892</v>
      </c>
      <c r="AI408" s="87">
        <v>4670</v>
      </c>
      <c r="AJ408" s="85">
        <v>244.77</v>
      </c>
    </row>
    <row r="409" spans="1:36" ht="14.25" customHeight="1">
      <c r="A409" s="88">
        <v>4700</v>
      </c>
      <c r="B409" s="84">
        <v>494.31799999999998</v>
      </c>
      <c r="C409" s="88">
        <v>4710</v>
      </c>
      <c r="D409" s="85">
        <v>490.697</v>
      </c>
      <c r="E409" s="86">
        <v>4700</v>
      </c>
      <c r="F409" s="85">
        <v>1069.201</v>
      </c>
      <c r="G409" s="87">
        <v>4700</v>
      </c>
      <c r="H409" s="85">
        <v>1068.5309999999999</v>
      </c>
      <c r="I409" s="87">
        <v>4700</v>
      </c>
      <c r="J409" s="85">
        <v>924.42200000000003</v>
      </c>
      <c r="K409" s="87">
        <v>4700</v>
      </c>
      <c r="L409" s="85">
        <v>924.10900000000004</v>
      </c>
      <c r="M409" s="87">
        <v>4700</v>
      </c>
      <c r="N409" s="85">
        <v>924.22900000000004</v>
      </c>
      <c r="O409" s="87">
        <v>4680</v>
      </c>
      <c r="P409" s="85">
        <v>925.39599999999996</v>
      </c>
      <c r="Q409" s="87">
        <v>4700</v>
      </c>
      <c r="R409" s="85">
        <v>924.97799999999995</v>
      </c>
      <c r="S409" s="87">
        <v>4700</v>
      </c>
      <c r="T409" s="85">
        <v>925.53800000000001</v>
      </c>
      <c r="U409" s="87">
        <v>4690</v>
      </c>
      <c r="V409" s="85">
        <v>924.39700000000005</v>
      </c>
      <c r="W409" s="87">
        <v>4700</v>
      </c>
      <c r="X409" s="85">
        <v>924.14</v>
      </c>
      <c r="Y409" s="87">
        <v>4700</v>
      </c>
      <c r="Z409" s="85">
        <v>922.64</v>
      </c>
      <c r="AA409" s="87">
        <v>4700</v>
      </c>
      <c r="AB409" s="85">
        <v>922.51700000000005</v>
      </c>
      <c r="AC409" s="87">
        <v>4690</v>
      </c>
      <c r="AD409" s="85">
        <v>846.50599999999997</v>
      </c>
      <c r="AE409" s="87">
        <v>4700</v>
      </c>
      <c r="AF409" s="85">
        <v>847.86500000000001</v>
      </c>
      <c r="AG409" s="87">
        <v>4680</v>
      </c>
      <c r="AH409" s="85">
        <v>233.49600000000001</v>
      </c>
      <c r="AI409" s="87">
        <v>4680</v>
      </c>
      <c r="AJ409" s="85">
        <v>244.36099999999999</v>
      </c>
    </row>
    <row r="410" spans="1:36" ht="14.25" customHeight="1">
      <c r="A410" s="88">
        <v>4710</v>
      </c>
      <c r="B410" s="84">
        <v>493.52600000000001</v>
      </c>
      <c r="C410" s="88">
        <v>4720</v>
      </c>
      <c r="D410" s="85">
        <v>489.911</v>
      </c>
      <c r="E410" s="86">
        <v>4710</v>
      </c>
      <c r="F410" s="85">
        <v>1067.7</v>
      </c>
      <c r="G410" s="87">
        <v>4710</v>
      </c>
      <c r="H410" s="85">
        <v>1067.0340000000001</v>
      </c>
      <c r="I410" s="87">
        <v>4710</v>
      </c>
      <c r="J410" s="85">
        <v>923.20899999999995</v>
      </c>
      <c r="K410" s="87">
        <v>4710</v>
      </c>
      <c r="L410" s="85">
        <v>922.89599999999996</v>
      </c>
      <c r="M410" s="87">
        <v>4710</v>
      </c>
      <c r="N410" s="85">
        <v>923.01599999999996</v>
      </c>
      <c r="O410" s="87">
        <v>4690</v>
      </c>
      <c r="P410" s="85">
        <v>924.18200000000002</v>
      </c>
      <c r="Q410" s="87">
        <v>4710</v>
      </c>
      <c r="R410" s="85">
        <v>923.76499999999999</v>
      </c>
      <c r="S410" s="87">
        <v>4710</v>
      </c>
      <c r="T410" s="85">
        <v>924.32600000000002</v>
      </c>
      <c r="U410" s="87">
        <v>4700</v>
      </c>
      <c r="V410" s="85">
        <v>923.18700000000001</v>
      </c>
      <c r="W410" s="87">
        <v>4710</v>
      </c>
      <c r="X410" s="85">
        <v>922.92899999999997</v>
      </c>
      <c r="Y410" s="87">
        <v>4710</v>
      </c>
      <c r="Z410" s="85">
        <v>921.428</v>
      </c>
      <c r="AA410" s="87">
        <v>4710</v>
      </c>
      <c r="AB410" s="85">
        <v>921.30700000000002</v>
      </c>
      <c r="AC410" s="87">
        <v>4700</v>
      </c>
      <c r="AD410" s="85">
        <v>845.29499999999996</v>
      </c>
      <c r="AE410" s="87">
        <v>4710</v>
      </c>
      <c r="AF410" s="85">
        <v>846.65499999999997</v>
      </c>
      <c r="AG410" s="87">
        <v>4690</v>
      </c>
      <c r="AH410" s="85">
        <v>233.101</v>
      </c>
      <c r="AI410" s="87">
        <v>4690</v>
      </c>
      <c r="AJ410" s="85">
        <v>243.95099999999999</v>
      </c>
    </row>
    <row r="411" spans="1:36" ht="14.25" customHeight="1">
      <c r="A411" s="88">
        <v>4720</v>
      </c>
      <c r="B411" s="84">
        <v>492.73399999999998</v>
      </c>
      <c r="C411" s="88">
        <v>4730</v>
      </c>
      <c r="D411" s="85">
        <v>489.125</v>
      </c>
      <c r="E411" s="86">
        <v>4720</v>
      </c>
      <c r="F411" s="85">
        <v>1066.1990000000001</v>
      </c>
      <c r="G411" s="87">
        <v>4720</v>
      </c>
      <c r="H411" s="85">
        <v>1065.538</v>
      </c>
      <c r="I411" s="87">
        <v>4720</v>
      </c>
      <c r="J411" s="85">
        <v>921.99599999999998</v>
      </c>
      <c r="K411" s="87">
        <v>4720</v>
      </c>
      <c r="L411" s="85">
        <v>921.68200000000002</v>
      </c>
      <c r="M411" s="87">
        <v>4720</v>
      </c>
      <c r="N411" s="85">
        <v>921.803</v>
      </c>
      <c r="O411" s="87">
        <v>4700</v>
      </c>
      <c r="P411" s="85">
        <v>922.96900000000005</v>
      </c>
      <c r="Q411" s="87">
        <v>4720</v>
      </c>
      <c r="R411" s="85">
        <v>922.55200000000002</v>
      </c>
      <c r="S411" s="87">
        <v>4720</v>
      </c>
      <c r="T411" s="85">
        <v>923.11300000000006</v>
      </c>
      <c r="U411" s="87">
        <v>4710</v>
      </c>
      <c r="V411" s="85">
        <v>921.97799999999995</v>
      </c>
      <c r="W411" s="87">
        <v>4720</v>
      </c>
      <c r="X411" s="85">
        <v>921.71799999999996</v>
      </c>
      <c r="Y411" s="87">
        <v>4720</v>
      </c>
      <c r="Z411" s="85">
        <v>920.21699999999998</v>
      </c>
      <c r="AA411" s="87">
        <v>4720</v>
      </c>
      <c r="AB411" s="85">
        <v>920.09699999999998</v>
      </c>
      <c r="AC411" s="87">
        <v>4710</v>
      </c>
      <c r="AD411" s="85">
        <v>844.08399999999995</v>
      </c>
      <c r="AE411" s="87">
        <v>4720</v>
      </c>
      <c r="AF411" s="85">
        <v>845.44600000000003</v>
      </c>
      <c r="AG411" s="87">
        <v>4700</v>
      </c>
      <c r="AH411" s="85">
        <v>232.70500000000001</v>
      </c>
      <c r="AI411" s="87">
        <v>4700</v>
      </c>
      <c r="AJ411" s="85">
        <v>243.542</v>
      </c>
    </row>
    <row r="412" spans="1:36" ht="14.25" customHeight="1">
      <c r="A412" s="88">
        <v>4730</v>
      </c>
      <c r="B412" s="84">
        <v>491.94299999999998</v>
      </c>
      <c r="C412" s="88">
        <v>4740</v>
      </c>
      <c r="D412" s="85">
        <v>488.339</v>
      </c>
      <c r="E412" s="86">
        <v>4730</v>
      </c>
      <c r="F412" s="85">
        <v>1064.6990000000001</v>
      </c>
      <c r="G412" s="87">
        <v>4730</v>
      </c>
      <c r="H412" s="85">
        <v>1064.0409999999999</v>
      </c>
      <c r="I412" s="87">
        <v>4730</v>
      </c>
      <c r="J412" s="85">
        <v>920.78300000000002</v>
      </c>
      <c r="K412" s="87">
        <v>4730</v>
      </c>
      <c r="L412" s="85">
        <v>920.46799999999996</v>
      </c>
      <c r="M412" s="87">
        <v>4730</v>
      </c>
      <c r="N412" s="85">
        <v>920.59</v>
      </c>
      <c r="O412" s="87">
        <v>4710</v>
      </c>
      <c r="P412" s="85">
        <v>921.75599999999997</v>
      </c>
      <c r="Q412" s="87">
        <v>4730</v>
      </c>
      <c r="R412" s="85">
        <v>921.33799999999997</v>
      </c>
      <c r="S412" s="87">
        <v>4730</v>
      </c>
      <c r="T412" s="85">
        <v>921.90099999999995</v>
      </c>
      <c r="U412" s="87">
        <v>4720</v>
      </c>
      <c r="V412" s="85">
        <v>920.76800000000003</v>
      </c>
      <c r="W412" s="87">
        <v>4730</v>
      </c>
      <c r="X412" s="85">
        <v>920.50800000000004</v>
      </c>
      <c r="Y412" s="87">
        <v>4730</v>
      </c>
      <c r="Z412" s="85">
        <v>919.005</v>
      </c>
      <c r="AA412" s="87">
        <v>4730</v>
      </c>
      <c r="AB412" s="85">
        <v>918.88699999999994</v>
      </c>
      <c r="AC412" s="87">
        <v>4720</v>
      </c>
      <c r="AD412" s="85">
        <v>842.87400000000002</v>
      </c>
      <c r="AE412" s="87">
        <v>4730</v>
      </c>
      <c r="AF412" s="85">
        <v>844.23599999999999</v>
      </c>
      <c r="AG412" s="87">
        <v>4710</v>
      </c>
      <c r="AH412" s="85">
        <v>232.309</v>
      </c>
      <c r="AI412" s="87">
        <v>4710</v>
      </c>
      <c r="AJ412" s="85">
        <v>243.13200000000001</v>
      </c>
    </row>
    <row r="413" spans="1:36" ht="14.25" customHeight="1">
      <c r="A413" s="88">
        <v>4740</v>
      </c>
      <c r="B413" s="84">
        <v>491.15100000000001</v>
      </c>
      <c r="C413" s="88">
        <v>4750</v>
      </c>
      <c r="D413" s="85">
        <v>487.55399999999997</v>
      </c>
      <c r="E413" s="86">
        <v>4740</v>
      </c>
      <c r="F413" s="85">
        <v>1063.1980000000001</v>
      </c>
      <c r="G413" s="87">
        <v>4740</v>
      </c>
      <c r="H413" s="85">
        <v>1062.5450000000001</v>
      </c>
      <c r="I413" s="87">
        <v>4740</v>
      </c>
      <c r="J413" s="85">
        <v>919.56899999999996</v>
      </c>
      <c r="K413" s="87">
        <v>4740</v>
      </c>
      <c r="L413" s="85">
        <v>919.255</v>
      </c>
      <c r="M413" s="87">
        <v>4740</v>
      </c>
      <c r="N413" s="85">
        <v>919.37699999999995</v>
      </c>
      <c r="O413" s="87">
        <v>4720</v>
      </c>
      <c r="P413" s="85">
        <v>920.54300000000001</v>
      </c>
      <c r="Q413" s="87">
        <v>4740</v>
      </c>
      <c r="R413" s="85">
        <v>920.12599999999998</v>
      </c>
      <c r="S413" s="87">
        <v>4740</v>
      </c>
      <c r="T413" s="85">
        <v>920.68899999999996</v>
      </c>
      <c r="U413" s="87">
        <v>4730</v>
      </c>
      <c r="V413" s="85">
        <v>919.55799999999999</v>
      </c>
      <c r="W413" s="87">
        <v>4740</v>
      </c>
      <c r="X413" s="85">
        <v>919.29700000000003</v>
      </c>
      <c r="Y413" s="87">
        <v>4740</v>
      </c>
      <c r="Z413" s="85">
        <v>917.79399999999998</v>
      </c>
      <c r="AA413" s="87">
        <v>4740</v>
      </c>
      <c r="AB413" s="85">
        <v>917.67700000000002</v>
      </c>
      <c r="AC413" s="87">
        <v>4730</v>
      </c>
      <c r="AD413" s="85">
        <v>841.66300000000001</v>
      </c>
      <c r="AE413" s="87">
        <v>4740</v>
      </c>
      <c r="AF413" s="85">
        <v>843.02599999999995</v>
      </c>
      <c r="AG413" s="87">
        <v>4720</v>
      </c>
      <c r="AH413" s="85">
        <v>231.91399999999999</v>
      </c>
      <c r="AI413" s="87">
        <v>4720</v>
      </c>
      <c r="AJ413" s="85">
        <v>242.72300000000001</v>
      </c>
    </row>
    <row r="414" spans="1:36" ht="14.25" customHeight="1">
      <c r="A414" s="88">
        <v>4750</v>
      </c>
      <c r="B414" s="84">
        <v>490.36</v>
      </c>
      <c r="C414" s="88">
        <v>4760</v>
      </c>
      <c r="D414" s="85">
        <v>486.76799999999997</v>
      </c>
      <c r="E414" s="86">
        <v>4750</v>
      </c>
      <c r="F414" s="85">
        <v>1061.6980000000001</v>
      </c>
      <c r="G414" s="87">
        <v>4750</v>
      </c>
      <c r="H414" s="85">
        <v>1061.049</v>
      </c>
      <c r="I414" s="87">
        <v>4750</v>
      </c>
      <c r="J414" s="85">
        <v>918.35599999999999</v>
      </c>
      <c r="K414" s="87">
        <v>4750</v>
      </c>
      <c r="L414" s="85">
        <v>918.04100000000005</v>
      </c>
      <c r="M414" s="87">
        <v>4750</v>
      </c>
      <c r="N414" s="85">
        <v>918.16399999999999</v>
      </c>
      <c r="O414" s="87">
        <v>4730</v>
      </c>
      <c r="P414" s="85">
        <v>919.33</v>
      </c>
      <c r="Q414" s="87">
        <v>4750</v>
      </c>
      <c r="R414" s="85">
        <v>918.91300000000001</v>
      </c>
      <c r="S414" s="87">
        <v>4750</v>
      </c>
      <c r="T414" s="85">
        <v>919.476</v>
      </c>
      <c r="U414" s="87">
        <v>4740</v>
      </c>
      <c r="V414" s="85">
        <v>918.34799999999996</v>
      </c>
      <c r="W414" s="87">
        <v>4750</v>
      </c>
      <c r="X414" s="85">
        <v>918.08600000000001</v>
      </c>
      <c r="Y414" s="87">
        <v>4750</v>
      </c>
      <c r="Z414" s="85">
        <v>916.58199999999999</v>
      </c>
      <c r="AA414" s="87">
        <v>4750</v>
      </c>
      <c r="AB414" s="85">
        <v>916.46699999999998</v>
      </c>
      <c r="AC414" s="87">
        <v>4740</v>
      </c>
      <c r="AD414" s="85">
        <v>840.452</v>
      </c>
      <c r="AE414" s="87">
        <v>4750</v>
      </c>
      <c r="AF414" s="85">
        <v>841.81700000000001</v>
      </c>
      <c r="AG414" s="87">
        <v>4730</v>
      </c>
      <c r="AH414" s="85">
        <v>231.518</v>
      </c>
      <c r="AI414" s="87">
        <v>4730</v>
      </c>
      <c r="AJ414" s="85">
        <v>242.31299999999999</v>
      </c>
    </row>
    <row r="415" spans="1:36" ht="14.25" customHeight="1">
      <c r="A415" s="88">
        <v>4760</v>
      </c>
      <c r="B415" s="84">
        <v>489.56900000000002</v>
      </c>
      <c r="C415" s="88">
        <v>4770</v>
      </c>
      <c r="D415" s="85">
        <v>485.983</v>
      </c>
      <c r="E415" s="86">
        <v>4760</v>
      </c>
      <c r="F415" s="85">
        <v>1060.1969999999999</v>
      </c>
      <c r="G415" s="87">
        <v>4760</v>
      </c>
      <c r="H415" s="85">
        <v>1059.5530000000001</v>
      </c>
      <c r="I415" s="87">
        <v>4760</v>
      </c>
      <c r="J415" s="85">
        <v>917.14300000000003</v>
      </c>
      <c r="K415" s="87">
        <v>4760</v>
      </c>
      <c r="L415" s="85">
        <v>916.827</v>
      </c>
      <c r="M415" s="87">
        <v>4760</v>
      </c>
      <c r="N415" s="85">
        <v>916.952</v>
      </c>
      <c r="O415" s="87">
        <v>4740</v>
      </c>
      <c r="P415" s="85">
        <v>918.11699999999996</v>
      </c>
      <c r="Q415" s="87">
        <v>4760</v>
      </c>
      <c r="R415" s="85">
        <v>917.7</v>
      </c>
      <c r="S415" s="87">
        <v>4760</v>
      </c>
      <c r="T415" s="85">
        <v>918.26400000000001</v>
      </c>
      <c r="U415" s="87">
        <v>4750</v>
      </c>
      <c r="V415" s="85">
        <v>917.13900000000001</v>
      </c>
      <c r="W415" s="87">
        <v>4760</v>
      </c>
      <c r="X415" s="85">
        <v>916.875</v>
      </c>
      <c r="Y415" s="87">
        <v>4760</v>
      </c>
      <c r="Z415" s="85">
        <v>915.37099999999998</v>
      </c>
      <c r="AA415" s="87">
        <v>4760</v>
      </c>
      <c r="AB415" s="85">
        <v>915.25699999999995</v>
      </c>
      <c r="AC415" s="87">
        <v>4750</v>
      </c>
      <c r="AD415" s="85">
        <v>839.24099999999999</v>
      </c>
      <c r="AE415" s="87">
        <v>4760</v>
      </c>
      <c r="AF415" s="85">
        <v>840.60699999999997</v>
      </c>
      <c r="AG415" s="87">
        <v>4740</v>
      </c>
      <c r="AH415" s="85">
        <v>231.12299999999999</v>
      </c>
      <c r="AI415" s="87">
        <v>4740</v>
      </c>
      <c r="AJ415" s="85">
        <v>241.904</v>
      </c>
    </row>
    <row r="416" spans="1:36" ht="14.25" customHeight="1">
      <c r="A416" s="88">
        <v>4770</v>
      </c>
      <c r="B416" s="84">
        <v>488.779</v>
      </c>
      <c r="C416" s="88">
        <v>4780</v>
      </c>
      <c r="D416" s="85">
        <v>485.19799999999998</v>
      </c>
      <c r="E416" s="86">
        <v>4770</v>
      </c>
      <c r="F416" s="85">
        <v>1058.6969999999999</v>
      </c>
      <c r="G416" s="87">
        <v>4770</v>
      </c>
      <c r="H416" s="85">
        <v>1058.056</v>
      </c>
      <c r="I416" s="87">
        <v>4770</v>
      </c>
      <c r="J416" s="85">
        <v>915.93</v>
      </c>
      <c r="K416" s="87">
        <v>4770</v>
      </c>
      <c r="L416" s="85">
        <v>915.61300000000006</v>
      </c>
      <c r="M416" s="87">
        <v>4770</v>
      </c>
      <c r="N416" s="85">
        <v>915.73900000000003</v>
      </c>
      <c r="O416" s="87">
        <v>4750</v>
      </c>
      <c r="P416" s="85">
        <v>916.90300000000002</v>
      </c>
      <c r="Q416" s="87">
        <v>4770</v>
      </c>
      <c r="R416" s="85">
        <v>916.48699999999997</v>
      </c>
      <c r="S416" s="87">
        <v>4770</v>
      </c>
      <c r="T416" s="85">
        <v>917.05200000000002</v>
      </c>
      <c r="U416" s="87">
        <v>4760</v>
      </c>
      <c r="V416" s="85">
        <v>915.92899999999997</v>
      </c>
      <c r="W416" s="87">
        <v>4770</v>
      </c>
      <c r="X416" s="85">
        <v>915.66499999999996</v>
      </c>
      <c r="Y416" s="87">
        <v>4770</v>
      </c>
      <c r="Z416" s="85">
        <v>914.15899999999999</v>
      </c>
      <c r="AA416" s="87">
        <v>4770</v>
      </c>
      <c r="AB416" s="85">
        <v>914.04700000000003</v>
      </c>
      <c r="AC416" s="87">
        <v>4760</v>
      </c>
      <c r="AD416" s="85">
        <v>838.03099999999995</v>
      </c>
      <c r="AE416" s="87">
        <v>4770</v>
      </c>
      <c r="AF416" s="85">
        <v>839.39800000000002</v>
      </c>
      <c r="AG416" s="87">
        <v>4750</v>
      </c>
      <c r="AH416" s="85">
        <v>230.727</v>
      </c>
      <c r="AI416" s="87">
        <v>4750</v>
      </c>
      <c r="AJ416" s="85">
        <v>241.494</v>
      </c>
    </row>
    <row r="417" spans="1:36" ht="14.25" customHeight="1">
      <c r="A417" s="88">
        <v>4780</v>
      </c>
      <c r="B417" s="84">
        <v>487.988</v>
      </c>
      <c r="C417" s="88">
        <v>4790</v>
      </c>
      <c r="D417" s="85">
        <v>484.41300000000001</v>
      </c>
      <c r="E417" s="86">
        <v>4780</v>
      </c>
      <c r="F417" s="85">
        <v>1057.1969999999999</v>
      </c>
      <c r="G417" s="87">
        <v>4780</v>
      </c>
      <c r="H417" s="85">
        <v>1056.5609999999999</v>
      </c>
      <c r="I417" s="87">
        <v>4780</v>
      </c>
      <c r="J417" s="85">
        <v>914.71699999999998</v>
      </c>
      <c r="K417" s="87">
        <v>4780</v>
      </c>
      <c r="L417" s="85">
        <v>914.4</v>
      </c>
      <c r="M417" s="87">
        <v>4780</v>
      </c>
      <c r="N417" s="85">
        <v>914.52599999999995</v>
      </c>
      <c r="O417" s="87">
        <v>4760</v>
      </c>
      <c r="P417" s="85">
        <v>915.69</v>
      </c>
      <c r="Q417" s="87">
        <v>4780</v>
      </c>
      <c r="R417" s="85">
        <v>915.274</v>
      </c>
      <c r="S417" s="87">
        <v>4780</v>
      </c>
      <c r="T417" s="85">
        <v>915.84</v>
      </c>
      <c r="U417" s="87">
        <v>4770</v>
      </c>
      <c r="V417" s="85">
        <v>914.71900000000005</v>
      </c>
      <c r="W417" s="87">
        <v>4780</v>
      </c>
      <c r="X417" s="85">
        <v>914.45399999999995</v>
      </c>
      <c r="Y417" s="87">
        <v>4780</v>
      </c>
      <c r="Z417" s="85">
        <v>912.94799999999998</v>
      </c>
      <c r="AA417" s="87">
        <v>4780</v>
      </c>
      <c r="AB417" s="85">
        <v>912.83699999999999</v>
      </c>
      <c r="AC417" s="87">
        <v>4770</v>
      </c>
      <c r="AD417" s="85">
        <v>836.82</v>
      </c>
      <c r="AE417" s="87">
        <v>4780</v>
      </c>
      <c r="AF417" s="85">
        <v>838.18799999999999</v>
      </c>
      <c r="AG417" s="87">
        <v>4760</v>
      </c>
      <c r="AH417" s="85">
        <v>230.33199999999999</v>
      </c>
      <c r="AI417" s="87">
        <v>4760</v>
      </c>
      <c r="AJ417" s="85">
        <v>241.08500000000001</v>
      </c>
    </row>
    <row r="418" spans="1:36" ht="14.25" customHeight="1">
      <c r="A418" s="88">
        <v>4790</v>
      </c>
      <c r="B418" s="84">
        <v>487.19799999999998</v>
      </c>
      <c r="C418" s="88">
        <v>4800</v>
      </c>
      <c r="D418" s="85">
        <v>483.62799999999999</v>
      </c>
      <c r="E418" s="86">
        <v>4790</v>
      </c>
      <c r="F418" s="85">
        <v>1055.6969999999999</v>
      </c>
      <c r="G418" s="87">
        <v>4790</v>
      </c>
      <c r="H418" s="85">
        <v>1055.0650000000001</v>
      </c>
      <c r="I418" s="87">
        <v>4790</v>
      </c>
      <c r="J418" s="85">
        <v>913.50400000000002</v>
      </c>
      <c r="K418" s="87">
        <v>4790</v>
      </c>
      <c r="L418" s="85">
        <v>913.18600000000004</v>
      </c>
      <c r="M418" s="87">
        <v>4790</v>
      </c>
      <c r="N418" s="85">
        <v>913.31299999999999</v>
      </c>
      <c r="O418" s="87">
        <v>4770</v>
      </c>
      <c r="P418" s="85">
        <v>914.47699999999998</v>
      </c>
      <c r="Q418" s="87">
        <v>4790</v>
      </c>
      <c r="R418" s="85">
        <v>914.06100000000004</v>
      </c>
      <c r="S418" s="87">
        <v>4790</v>
      </c>
      <c r="T418" s="85">
        <v>914.62699999999995</v>
      </c>
      <c r="U418" s="87">
        <v>4780</v>
      </c>
      <c r="V418" s="85">
        <v>913.50900000000001</v>
      </c>
      <c r="W418" s="87">
        <v>4790</v>
      </c>
      <c r="X418" s="85">
        <v>913.24300000000005</v>
      </c>
      <c r="Y418" s="87">
        <v>4790</v>
      </c>
      <c r="Z418" s="85">
        <v>911.73699999999997</v>
      </c>
      <c r="AA418" s="87">
        <v>4790</v>
      </c>
      <c r="AB418" s="85">
        <v>911.62699999999995</v>
      </c>
      <c r="AC418" s="87">
        <v>4780</v>
      </c>
      <c r="AD418" s="85">
        <v>835.60900000000004</v>
      </c>
      <c r="AE418" s="87">
        <v>4790</v>
      </c>
      <c r="AF418" s="85">
        <v>836.97799999999995</v>
      </c>
      <c r="AG418" s="87">
        <v>4770</v>
      </c>
      <c r="AH418" s="85">
        <v>229.93700000000001</v>
      </c>
      <c r="AI418" s="87">
        <v>4770</v>
      </c>
      <c r="AJ418" s="85">
        <v>240.67599999999999</v>
      </c>
    </row>
    <row r="419" spans="1:36" ht="14.25" customHeight="1">
      <c r="A419" s="88">
        <v>4800</v>
      </c>
      <c r="B419" s="84">
        <v>486.40699999999998</v>
      </c>
      <c r="C419" s="88">
        <v>4810</v>
      </c>
      <c r="D419" s="85">
        <v>482.84399999999999</v>
      </c>
      <c r="E419" s="86">
        <v>4800</v>
      </c>
      <c r="F419" s="85">
        <v>1054.1969999999999</v>
      </c>
      <c r="G419" s="87">
        <v>4800</v>
      </c>
      <c r="H419" s="85">
        <v>1053.569</v>
      </c>
      <c r="I419" s="87">
        <v>4800</v>
      </c>
      <c r="J419" s="85">
        <v>912.29100000000005</v>
      </c>
      <c r="K419" s="87">
        <v>4800</v>
      </c>
      <c r="L419" s="85">
        <v>911.97199999999998</v>
      </c>
      <c r="M419" s="87">
        <v>4800</v>
      </c>
      <c r="N419" s="85">
        <v>912.1</v>
      </c>
      <c r="O419" s="87">
        <v>4780</v>
      </c>
      <c r="P419" s="85">
        <v>913.26400000000001</v>
      </c>
      <c r="Q419" s="87">
        <v>4800</v>
      </c>
      <c r="R419" s="85">
        <v>912.84799999999996</v>
      </c>
      <c r="S419" s="87">
        <v>4800</v>
      </c>
      <c r="T419" s="85">
        <v>913.41499999999996</v>
      </c>
      <c r="U419" s="87">
        <v>4790</v>
      </c>
      <c r="V419" s="85">
        <v>912.29899999999998</v>
      </c>
      <c r="W419" s="87">
        <v>4800</v>
      </c>
      <c r="X419" s="85">
        <v>912.03200000000004</v>
      </c>
      <c r="Y419" s="87">
        <v>4800</v>
      </c>
      <c r="Z419" s="85">
        <v>910.52499999999998</v>
      </c>
      <c r="AA419" s="87">
        <v>4800</v>
      </c>
      <c r="AB419" s="85">
        <v>910.41700000000003</v>
      </c>
      <c r="AC419" s="87">
        <v>4790</v>
      </c>
      <c r="AD419" s="85">
        <v>834.39800000000002</v>
      </c>
      <c r="AE419" s="87">
        <v>4800</v>
      </c>
      <c r="AF419" s="85">
        <v>835.76900000000001</v>
      </c>
      <c r="AG419" s="87">
        <v>4780</v>
      </c>
      <c r="AH419" s="85">
        <v>229.541</v>
      </c>
      <c r="AI419" s="87">
        <v>4780</v>
      </c>
      <c r="AJ419" s="85">
        <v>240.26599999999999</v>
      </c>
    </row>
    <row r="420" spans="1:36" ht="14.25" customHeight="1">
      <c r="A420" s="88">
        <v>4810</v>
      </c>
      <c r="B420" s="84">
        <v>485.61700000000002</v>
      </c>
      <c r="C420" s="88">
        <v>4820</v>
      </c>
      <c r="D420" s="85">
        <v>482.05900000000003</v>
      </c>
      <c r="E420" s="86">
        <v>4810</v>
      </c>
      <c r="F420" s="85">
        <v>1052.6980000000001</v>
      </c>
      <c r="G420" s="87">
        <v>4810</v>
      </c>
      <c r="H420" s="85">
        <v>1052.0740000000001</v>
      </c>
      <c r="I420" s="87">
        <v>4810</v>
      </c>
      <c r="J420" s="85">
        <v>911.07799999999997</v>
      </c>
      <c r="K420" s="87">
        <v>4810</v>
      </c>
      <c r="L420" s="85">
        <v>910.75900000000001</v>
      </c>
      <c r="M420" s="87">
        <v>4810</v>
      </c>
      <c r="N420" s="85">
        <v>910.88699999999994</v>
      </c>
      <c r="O420" s="87">
        <v>4790</v>
      </c>
      <c r="P420" s="85">
        <v>912.05100000000004</v>
      </c>
      <c r="Q420" s="87">
        <v>4810</v>
      </c>
      <c r="R420" s="85">
        <v>911.63499999999999</v>
      </c>
      <c r="S420" s="87">
        <v>4810</v>
      </c>
      <c r="T420" s="85">
        <v>912.20299999999997</v>
      </c>
      <c r="U420" s="87">
        <v>4800</v>
      </c>
      <c r="V420" s="85">
        <v>911.09</v>
      </c>
      <c r="W420" s="87">
        <v>4810</v>
      </c>
      <c r="X420" s="85">
        <v>910.822</v>
      </c>
      <c r="Y420" s="87">
        <v>4810</v>
      </c>
      <c r="Z420" s="85">
        <v>909.31399999999996</v>
      </c>
      <c r="AA420" s="87">
        <v>4810</v>
      </c>
      <c r="AB420" s="85">
        <v>909.20699999999999</v>
      </c>
      <c r="AC420" s="87">
        <v>4800</v>
      </c>
      <c r="AD420" s="85">
        <v>833.18700000000001</v>
      </c>
      <c r="AE420" s="87">
        <v>4810</v>
      </c>
      <c r="AF420" s="85">
        <v>834.55899999999997</v>
      </c>
      <c r="AG420" s="87">
        <v>4790</v>
      </c>
      <c r="AH420" s="85">
        <v>229.14599999999999</v>
      </c>
      <c r="AI420" s="87">
        <v>4790</v>
      </c>
      <c r="AJ420" s="85">
        <v>239.857</v>
      </c>
    </row>
    <row r="421" spans="1:36" ht="14.25" customHeight="1">
      <c r="A421" s="88">
        <v>4820</v>
      </c>
      <c r="B421" s="84">
        <v>484.827</v>
      </c>
      <c r="C421" s="88">
        <v>4830</v>
      </c>
      <c r="D421" s="85">
        <v>481.27499999999998</v>
      </c>
      <c r="E421" s="86">
        <v>4820</v>
      </c>
      <c r="F421" s="85">
        <v>1051.1980000000001</v>
      </c>
      <c r="G421" s="87">
        <v>4820</v>
      </c>
      <c r="H421" s="85">
        <v>1050.578</v>
      </c>
      <c r="I421" s="87">
        <v>4820</v>
      </c>
      <c r="J421" s="85">
        <v>909.86400000000003</v>
      </c>
      <c r="K421" s="87">
        <v>4820</v>
      </c>
      <c r="L421" s="85">
        <v>909.54499999999996</v>
      </c>
      <c r="M421" s="87">
        <v>4820</v>
      </c>
      <c r="N421" s="85">
        <v>909.67399999999998</v>
      </c>
      <c r="O421" s="87">
        <v>4800</v>
      </c>
      <c r="P421" s="85">
        <v>910.83799999999997</v>
      </c>
      <c r="Q421" s="87">
        <v>4820</v>
      </c>
      <c r="R421" s="85">
        <v>910.42200000000003</v>
      </c>
      <c r="S421" s="87">
        <v>4820</v>
      </c>
      <c r="T421" s="85">
        <v>910.99</v>
      </c>
      <c r="U421" s="87">
        <v>4810</v>
      </c>
      <c r="V421" s="85">
        <v>909.88</v>
      </c>
      <c r="W421" s="87">
        <v>4820</v>
      </c>
      <c r="X421" s="85">
        <v>909.61099999999999</v>
      </c>
      <c r="Y421" s="87">
        <v>4820</v>
      </c>
      <c r="Z421" s="85">
        <v>908.10199999999998</v>
      </c>
      <c r="AA421" s="87">
        <v>4820</v>
      </c>
      <c r="AB421" s="85">
        <v>907.99699999999996</v>
      </c>
      <c r="AC421" s="87">
        <v>4810</v>
      </c>
      <c r="AD421" s="85">
        <v>831.97699999999998</v>
      </c>
      <c r="AE421" s="87">
        <v>4820</v>
      </c>
      <c r="AF421" s="85">
        <v>833.35</v>
      </c>
      <c r="AG421" s="87">
        <v>4800</v>
      </c>
      <c r="AH421" s="85">
        <v>228.751</v>
      </c>
      <c r="AI421" s="87">
        <v>4800</v>
      </c>
      <c r="AJ421" s="85">
        <v>239.44800000000001</v>
      </c>
    </row>
    <row r="422" spans="1:36" ht="14.25" customHeight="1">
      <c r="A422" s="88">
        <v>4830</v>
      </c>
      <c r="B422" s="84">
        <v>484.03800000000001</v>
      </c>
      <c r="C422" s="88">
        <v>4840</v>
      </c>
      <c r="D422" s="85">
        <v>480.49099999999999</v>
      </c>
      <c r="E422" s="86">
        <v>4830</v>
      </c>
      <c r="F422" s="85">
        <v>1049.6990000000001</v>
      </c>
      <c r="G422" s="87">
        <v>4830</v>
      </c>
      <c r="H422" s="85">
        <v>1049.0830000000001</v>
      </c>
      <c r="I422" s="87">
        <v>4830</v>
      </c>
      <c r="J422" s="85">
        <v>908.65099999999995</v>
      </c>
      <c r="K422" s="87">
        <v>4830</v>
      </c>
      <c r="L422" s="85">
        <v>908.33100000000002</v>
      </c>
      <c r="M422" s="87">
        <v>4830</v>
      </c>
      <c r="N422" s="85">
        <v>908.46199999999999</v>
      </c>
      <c r="O422" s="87">
        <v>4810</v>
      </c>
      <c r="P422" s="85">
        <v>909.625</v>
      </c>
      <c r="Q422" s="87">
        <v>4830</v>
      </c>
      <c r="R422" s="85">
        <v>909.20899999999995</v>
      </c>
      <c r="S422" s="87">
        <v>4830</v>
      </c>
      <c r="T422" s="85">
        <v>909.77800000000002</v>
      </c>
      <c r="U422" s="87">
        <v>4820</v>
      </c>
      <c r="V422" s="85">
        <v>908.67</v>
      </c>
      <c r="W422" s="87">
        <v>4830</v>
      </c>
      <c r="X422" s="85">
        <v>908.4</v>
      </c>
      <c r="Y422" s="87">
        <v>4830</v>
      </c>
      <c r="Z422" s="85">
        <v>906.89099999999996</v>
      </c>
      <c r="AA422" s="87">
        <v>4830</v>
      </c>
      <c r="AB422" s="85">
        <v>906.78700000000003</v>
      </c>
      <c r="AC422" s="87">
        <v>4820</v>
      </c>
      <c r="AD422" s="85">
        <v>830.76599999999996</v>
      </c>
      <c r="AE422" s="87">
        <v>4830</v>
      </c>
      <c r="AF422" s="85">
        <v>832.14</v>
      </c>
      <c r="AG422" s="87">
        <v>4810</v>
      </c>
      <c r="AH422" s="85">
        <v>228.35499999999999</v>
      </c>
      <c r="AI422" s="87">
        <v>4810</v>
      </c>
      <c r="AJ422" s="85">
        <v>239.03899999999999</v>
      </c>
    </row>
    <row r="423" spans="1:36" ht="14.25" customHeight="1">
      <c r="A423" s="88">
        <v>4840</v>
      </c>
      <c r="B423" s="84">
        <v>483.24799999999999</v>
      </c>
      <c r="C423" s="88">
        <v>4850</v>
      </c>
      <c r="D423" s="85">
        <v>479.70699999999999</v>
      </c>
      <c r="E423" s="86">
        <v>4840</v>
      </c>
      <c r="F423" s="85">
        <v>1048.1990000000001</v>
      </c>
      <c r="G423" s="87">
        <v>4840</v>
      </c>
      <c r="H423" s="85">
        <v>1047.588</v>
      </c>
      <c r="I423" s="87">
        <v>4840</v>
      </c>
      <c r="J423" s="85">
        <v>907.43799999999999</v>
      </c>
      <c r="K423" s="87">
        <v>4840</v>
      </c>
      <c r="L423" s="85">
        <v>907.11800000000005</v>
      </c>
      <c r="M423" s="87">
        <v>4840</v>
      </c>
      <c r="N423" s="85">
        <v>907.24900000000002</v>
      </c>
      <c r="O423" s="87">
        <v>4820</v>
      </c>
      <c r="P423" s="85">
        <v>908.41200000000003</v>
      </c>
      <c r="Q423" s="87">
        <v>4840</v>
      </c>
      <c r="R423" s="85">
        <v>907.99599999999998</v>
      </c>
      <c r="S423" s="87">
        <v>4840</v>
      </c>
      <c r="T423" s="85">
        <v>908.56600000000003</v>
      </c>
      <c r="U423" s="87">
        <v>4830</v>
      </c>
      <c r="V423" s="84">
        <v>907.46</v>
      </c>
      <c r="W423" s="87">
        <v>4840</v>
      </c>
      <c r="X423" s="85">
        <v>907.18899999999996</v>
      </c>
      <c r="Y423" s="87">
        <v>4840</v>
      </c>
      <c r="Z423" s="85">
        <v>905.67899999999997</v>
      </c>
      <c r="AA423" s="87">
        <v>4840</v>
      </c>
      <c r="AB423" s="85">
        <v>905.577</v>
      </c>
      <c r="AC423" s="87">
        <v>4830</v>
      </c>
      <c r="AD423" s="85">
        <v>829.55499999999995</v>
      </c>
      <c r="AE423" s="87">
        <v>4840</v>
      </c>
      <c r="AF423" s="85">
        <v>830.93</v>
      </c>
      <c r="AG423" s="87">
        <v>4820</v>
      </c>
      <c r="AH423" s="85">
        <v>227.96</v>
      </c>
      <c r="AI423" s="87">
        <v>4820</v>
      </c>
      <c r="AJ423" s="85">
        <v>238.62899999999999</v>
      </c>
    </row>
    <row r="424" spans="1:36" ht="14.25" customHeight="1">
      <c r="A424" s="88">
        <v>4850</v>
      </c>
      <c r="B424" s="84">
        <v>482.459</v>
      </c>
      <c r="C424" s="88">
        <v>4860</v>
      </c>
      <c r="D424" s="85">
        <v>478.92399999999998</v>
      </c>
      <c r="E424" s="86">
        <v>4850</v>
      </c>
      <c r="F424" s="85">
        <v>1046.7</v>
      </c>
      <c r="G424" s="87">
        <v>4850</v>
      </c>
      <c r="H424" s="85">
        <v>1046.0930000000001</v>
      </c>
      <c r="I424" s="87">
        <v>4850</v>
      </c>
      <c r="J424" s="85">
        <v>906.22500000000002</v>
      </c>
      <c r="K424" s="87">
        <v>4850</v>
      </c>
      <c r="L424" s="85">
        <v>905.904</v>
      </c>
      <c r="M424" s="87">
        <v>4850</v>
      </c>
      <c r="N424" s="85">
        <v>906.03599999999994</v>
      </c>
      <c r="O424" s="87">
        <v>4830</v>
      </c>
      <c r="P424" s="85">
        <v>907.19799999999998</v>
      </c>
      <c r="Q424" s="87">
        <v>4850</v>
      </c>
      <c r="R424" s="85">
        <v>906.78300000000002</v>
      </c>
      <c r="S424" s="87">
        <v>4850</v>
      </c>
      <c r="T424" s="85">
        <v>907.35400000000004</v>
      </c>
      <c r="U424" s="87">
        <v>4840</v>
      </c>
      <c r="V424" s="84">
        <v>906.25099999999998</v>
      </c>
      <c r="W424" s="87">
        <v>4850</v>
      </c>
      <c r="X424" s="85">
        <v>905.97900000000004</v>
      </c>
      <c r="Y424" s="87">
        <v>4850</v>
      </c>
      <c r="Z424" s="85">
        <v>904.46799999999996</v>
      </c>
      <c r="AA424" s="87">
        <v>4850</v>
      </c>
      <c r="AB424" s="85">
        <v>904.36699999999996</v>
      </c>
      <c r="AC424" s="87">
        <v>4840</v>
      </c>
      <c r="AD424" s="85">
        <v>828.34400000000005</v>
      </c>
      <c r="AE424" s="87">
        <v>4850</v>
      </c>
      <c r="AF424" s="85">
        <v>829.721</v>
      </c>
      <c r="AG424" s="87">
        <v>4830</v>
      </c>
      <c r="AH424" s="85">
        <v>227.565</v>
      </c>
      <c r="AI424" s="87">
        <v>4830</v>
      </c>
      <c r="AJ424" s="85">
        <v>238.22</v>
      </c>
    </row>
    <row r="425" spans="1:36" ht="14.25" customHeight="1">
      <c r="A425" s="88">
        <v>4860</v>
      </c>
      <c r="B425" s="84">
        <v>481.66899999999998</v>
      </c>
      <c r="C425" s="88">
        <v>4870</v>
      </c>
      <c r="D425" s="85">
        <v>478.14</v>
      </c>
      <c r="E425" s="86">
        <v>4860</v>
      </c>
      <c r="F425" s="85">
        <v>1045.201</v>
      </c>
      <c r="G425" s="87">
        <v>4860</v>
      </c>
      <c r="H425" s="85">
        <v>1044.598</v>
      </c>
      <c r="I425" s="87">
        <v>4860</v>
      </c>
      <c r="J425" s="85">
        <v>905.01199999999994</v>
      </c>
      <c r="K425" s="87">
        <v>4860</v>
      </c>
      <c r="L425" s="85">
        <v>904.69</v>
      </c>
      <c r="M425" s="87">
        <v>4860</v>
      </c>
      <c r="N425" s="85">
        <v>904.82299999999998</v>
      </c>
      <c r="O425" s="87">
        <v>4840</v>
      </c>
      <c r="P425" s="85">
        <v>905.98500000000001</v>
      </c>
      <c r="Q425" s="87">
        <v>4860</v>
      </c>
      <c r="R425" s="85">
        <v>905.57</v>
      </c>
      <c r="S425" s="87">
        <v>4860</v>
      </c>
      <c r="T425" s="85">
        <v>906.14099999999996</v>
      </c>
      <c r="U425" s="87">
        <v>4850</v>
      </c>
      <c r="V425" s="84">
        <v>905.04100000000005</v>
      </c>
      <c r="W425" s="87">
        <v>4860</v>
      </c>
      <c r="X425" s="85">
        <v>904.76800000000003</v>
      </c>
      <c r="Y425" s="87">
        <v>4860</v>
      </c>
      <c r="Z425" s="85">
        <v>903.25599999999997</v>
      </c>
      <c r="AA425" s="87">
        <v>4860</v>
      </c>
      <c r="AB425" s="85">
        <v>903.15700000000004</v>
      </c>
      <c r="AC425" s="87">
        <v>4850</v>
      </c>
      <c r="AD425" s="85">
        <v>827.13400000000001</v>
      </c>
      <c r="AE425" s="87">
        <v>4860</v>
      </c>
      <c r="AF425" s="85">
        <v>828.51099999999997</v>
      </c>
      <c r="AG425" s="87">
        <v>4840</v>
      </c>
      <c r="AH425" s="85">
        <v>227.17</v>
      </c>
      <c r="AI425" s="87">
        <v>4840</v>
      </c>
      <c r="AJ425" s="85">
        <v>237.81100000000001</v>
      </c>
    </row>
    <row r="426" spans="1:36" ht="14.25" customHeight="1">
      <c r="A426" s="88">
        <v>4870</v>
      </c>
      <c r="B426" s="84">
        <v>480.88</v>
      </c>
      <c r="C426" s="88">
        <v>4880</v>
      </c>
      <c r="D426" s="85">
        <v>477.35700000000003</v>
      </c>
      <c r="E426" s="86">
        <v>4870</v>
      </c>
      <c r="F426" s="85">
        <v>1043.702</v>
      </c>
      <c r="G426" s="87">
        <v>4870</v>
      </c>
      <c r="H426" s="85">
        <v>1043.1030000000001</v>
      </c>
      <c r="I426" s="87">
        <v>4870</v>
      </c>
      <c r="J426" s="85">
        <v>903.79899999999998</v>
      </c>
      <c r="K426" s="87">
        <v>4870</v>
      </c>
      <c r="L426" s="85">
        <v>903.47699999999998</v>
      </c>
      <c r="M426" s="87">
        <v>4870</v>
      </c>
      <c r="N426" s="85">
        <v>903.61</v>
      </c>
      <c r="O426" s="87">
        <v>4850</v>
      </c>
      <c r="P426" s="85">
        <v>904.77200000000005</v>
      </c>
      <c r="Q426" s="87">
        <v>4870</v>
      </c>
      <c r="R426" s="85">
        <v>904.35699999999997</v>
      </c>
      <c r="S426" s="87">
        <v>4870</v>
      </c>
      <c r="T426" s="85">
        <v>904.92899999999997</v>
      </c>
      <c r="U426" s="87">
        <v>4860</v>
      </c>
      <c r="V426" s="84">
        <v>903.83100000000002</v>
      </c>
      <c r="W426" s="87">
        <v>4870</v>
      </c>
      <c r="X426" s="85">
        <v>903.55700000000002</v>
      </c>
      <c r="Y426" s="87">
        <v>4870</v>
      </c>
      <c r="Z426" s="85">
        <v>902.04499999999996</v>
      </c>
      <c r="AA426" s="87">
        <v>4870</v>
      </c>
      <c r="AB426" s="85">
        <v>901.94799999999998</v>
      </c>
      <c r="AC426" s="87">
        <v>4860</v>
      </c>
      <c r="AD426" s="85">
        <v>825.923</v>
      </c>
      <c r="AE426" s="87">
        <v>4870</v>
      </c>
      <c r="AF426" s="85">
        <v>827.30100000000004</v>
      </c>
      <c r="AG426" s="87">
        <v>4850</v>
      </c>
      <c r="AH426" s="85">
        <v>226.77500000000001</v>
      </c>
      <c r="AI426" s="87">
        <v>4850</v>
      </c>
      <c r="AJ426" s="85">
        <v>237.40199999999999</v>
      </c>
    </row>
    <row r="427" spans="1:36" ht="14.25" customHeight="1">
      <c r="A427" s="88">
        <v>4880</v>
      </c>
      <c r="B427" s="84">
        <v>480.09199999999998</v>
      </c>
      <c r="C427" s="88">
        <v>4890</v>
      </c>
      <c r="D427" s="85">
        <v>476.57400000000001</v>
      </c>
      <c r="E427" s="86">
        <v>4880</v>
      </c>
      <c r="F427" s="85">
        <v>1042.203</v>
      </c>
      <c r="G427" s="87">
        <v>4880</v>
      </c>
      <c r="H427" s="85">
        <v>1041.6079999999999</v>
      </c>
      <c r="I427" s="87">
        <v>4880</v>
      </c>
      <c r="J427" s="85">
        <v>902.58600000000001</v>
      </c>
      <c r="K427" s="87">
        <v>4880</v>
      </c>
      <c r="L427" s="85">
        <v>902.26300000000003</v>
      </c>
      <c r="M427" s="87">
        <v>4880</v>
      </c>
      <c r="N427" s="85">
        <v>902.39700000000005</v>
      </c>
      <c r="O427" s="87">
        <v>4860</v>
      </c>
      <c r="P427" s="85">
        <v>903.55899999999997</v>
      </c>
      <c r="Q427" s="87">
        <v>4880</v>
      </c>
      <c r="R427" s="85">
        <v>903.14400000000001</v>
      </c>
      <c r="S427" s="87">
        <v>4880</v>
      </c>
      <c r="T427" s="85">
        <v>903.71699999999998</v>
      </c>
      <c r="U427" s="87">
        <v>4870</v>
      </c>
      <c r="V427" s="84">
        <v>902.62099999999998</v>
      </c>
      <c r="W427" s="87">
        <v>4880</v>
      </c>
      <c r="X427" s="85">
        <v>902.346</v>
      </c>
      <c r="Y427" s="87">
        <v>4880</v>
      </c>
      <c r="Z427" s="85">
        <v>900.83299999999997</v>
      </c>
      <c r="AA427" s="87">
        <v>4880</v>
      </c>
      <c r="AB427" s="85">
        <v>900.73800000000006</v>
      </c>
      <c r="AC427" s="87">
        <v>4870</v>
      </c>
      <c r="AD427" s="85">
        <v>824.71199999999999</v>
      </c>
      <c r="AE427" s="87">
        <v>4880</v>
      </c>
      <c r="AF427" s="85">
        <v>826.09199999999998</v>
      </c>
      <c r="AG427" s="87">
        <v>4860</v>
      </c>
      <c r="AH427" s="85">
        <v>226.38</v>
      </c>
      <c r="AI427" s="87">
        <v>4860</v>
      </c>
      <c r="AJ427" s="85">
        <v>236.99299999999999</v>
      </c>
    </row>
    <row r="428" spans="1:36" ht="14.25" customHeight="1">
      <c r="A428" s="88">
        <v>4890</v>
      </c>
      <c r="B428" s="84">
        <v>479.303</v>
      </c>
      <c r="C428" s="88">
        <v>4900</v>
      </c>
      <c r="D428" s="85">
        <v>475.791</v>
      </c>
      <c r="E428" s="86">
        <v>4890</v>
      </c>
      <c r="F428" s="85">
        <v>1040.7049999999999</v>
      </c>
      <c r="G428" s="87">
        <v>4890</v>
      </c>
      <c r="H428" s="85">
        <v>1040.1130000000001</v>
      </c>
      <c r="I428" s="87">
        <v>4890</v>
      </c>
      <c r="J428" s="85">
        <v>901.37300000000005</v>
      </c>
      <c r="K428" s="87">
        <v>4890</v>
      </c>
      <c r="L428" s="85">
        <v>901.04899999999998</v>
      </c>
      <c r="M428" s="87">
        <v>4890</v>
      </c>
      <c r="N428" s="85">
        <v>901.18499999999995</v>
      </c>
      <c r="O428" s="87">
        <v>4870</v>
      </c>
      <c r="P428" s="85">
        <v>902.346</v>
      </c>
      <c r="Q428" s="87">
        <v>4890</v>
      </c>
      <c r="R428" s="85">
        <v>901.93100000000004</v>
      </c>
      <c r="S428" s="87">
        <v>4890</v>
      </c>
      <c r="T428" s="85">
        <v>902.50400000000002</v>
      </c>
      <c r="U428" s="87">
        <v>4880</v>
      </c>
      <c r="V428" s="84">
        <v>901.41200000000003</v>
      </c>
      <c r="W428" s="87">
        <v>4890</v>
      </c>
      <c r="X428" s="85">
        <v>901.13599999999997</v>
      </c>
      <c r="Y428" s="87">
        <v>4890</v>
      </c>
      <c r="Z428" s="85">
        <v>899.62199999999996</v>
      </c>
      <c r="AA428" s="87">
        <v>4890</v>
      </c>
      <c r="AB428" s="85">
        <v>899.52800000000002</v>
      </c>
      <c r="AC428" s="87">
        <v>4880</v>
      </c>
      <c r="AD428" s="85">
        <v>823.50099999999998</v>
      </c>
      <c r="AE428" s="87">
        <v>4890</v>
      </c>
      <c r="AF428" s="85">
        <v>824.88199999999995</v>
      </c>
      <c r="AG428" s="87">
        <v>4870</v>
      </c>
      <c r="AH428" s="85">
        <v>225.98500000000001</v>
      </c>
      <c r="AI428" s="87">
        <v>4870</v>
      </c>
      <c r="AJ428" s="85">
        <v>236.584</v>
      </c>
    </row>
    <row r="429" spans="1:36" ht="14.25" customHeight="1">
      <c r="A429" s="88">
        <v>4900</v>
      </c>
      <c r="B429" s="84">
        <v>478.51400000000001</v>
      </c>
      <c r="C429" s="88">
        <v>4910</v>
      </c>
      <c r="D429" s="85">
        <v>475.00799999999998</v>
      </c>
      <c r="E429" s="86">
        <v>4900</v>
      </c>
      <c r="F429" s="85">
        <v>1039.2059999999999</v>
      </c>
      <c r="G429" s="87">
        <v>4900</v>
      </c>
      <c r="H429" s="85">
        <v>1038.6189999999999</v>
      </c>
      <c r="I429" s="87">
        <v>4900</v>
      </c>
      <c r="J429" s="85">
        <v>900.16</v>
      </c>
      <c r="K429" s="87">
        <v>4900</v>
      </c>
      <c r="L429" s="85">
        <v>899.83600000000001</v>
      </c>
      <c r="M429" s="87">
        <v>4900</v>
      </c>
      <c r="N429" s="85">
        <v>899.97199999999998</v>
      </c>
      <c r="O429" s="87">
        <v>4880</v>
      </c>
      <c r="P429" s="85">
        <v>901.13300000000004</v>
      </c>
      <c r="Q429" s="87">
        <v>4900</v>
      </c>
      <c r="R429" s="85">
        <v>900.71799999999996</v>
      </c>
      <c r="S429" s="87">
        <v>4900</v>
      </c>
      <c r="T429" s="85">
        <v>901.29200000000003</v>
      </c>
      <c r="U429" s="87">
        <v>4890</v>
      </c>
      <c r="V429" s="84">
        <v>900.202</v>
      </c>
      <c r="W429" s="87">
        <v>4900</v>
      </c>
      <c r="X429" s="85">
        <v>899.92499999999995</v>
      </c>
      <c r="Y429" s="87">
        <v>4900</v>
      </c>
      <c r="Z429" s="85">
        <v>898.41099999999994</v>
      </c>
      <c r="AA429" s="87">
        <v>4900</v>
      </c>
      <c r="AB429" s="85">
        <v>898.31799999999998</v>
      </c>
      <c r="AC429" s="87">
        <v>4890</v>
      </c>
      <c r="AD429" s="85">
        <v>822.29</v>
      </c>
      <c r="AE429" s="87">
        <v>4900</v>
      </c>
      <c r="AF429" s="85">
        <v>823.673</v>
      </c>
      <c r="AG429" s="87">
        <v>4880</v>
      </c>
      <c r="AH429" s="85">
        <v>225.59</v>
      </c>
      <c r="AI429" s="87">
        <v>4880</v>
      </c>
      <c r="AJ429" s="85">
        <v>236.17500000000001</v>
      </c>
    </row>
    <row r="430" spans="1:36" ht="14.25" customHeight="1">
      <c r="A430" s="88">
        <v>4910</v>
      </c>
      <c r="B430" s="84">
        <v>477.726</v>
      </c>
      <c r="C430" s="88">
        <v>4920</v>
      </c>
      <c r="D430" s="85">
        <v>474.22500000000002</v>
      </c>
      <c r="E430" s="86">
        <v>4910</v>
      </c>
      <c r="F430" s="85">
        <v>1037.7080000000001</v>
      </c>
      <c r="G430" s="87">
        <v>4910</v>
      </c>
      <c r="H430" s="85">
        <v>1037.124</v>
      </c>
      <c r="I430" s="87">
        <v>4910</v>
      </c>
      <c r="J430" s="85">
        <v>898.947</v>
      </c>
      <c r="K430" s="87">
        <v>4910</v>
      </c>
      <c r="L430" s="85">
        <v>898.62199999999996</v>
      </c>
      <c r="M430" s="87">
        <v>4910</v>
      </c>
      <c r="N430" s="85">
        <v>898.75900000000001</v>
      </c>
      <c r="O430" s="87">
        <v>4890</v>
      </c>
      <c r="P430" s="85">
        <v>899.92</v>
      </c>
      <c r="Q430" s="87">
        <v>4910</v>
      </c>
      <c r="R430" s="85">
        <v>899.505</v>
      </c>
      <c r="S430" s="87">
        <v>4910</v>
      </c>
      <c r="T430" s="85">
        <v>900.08</v>
      </c>
      <c r="U430" s="87">
        <v>4900</v>
      </c>
      <c r="V430" s="84">
        <v>898.99199999999996</v>
      </c>
      <c r="W430" s="87">
        <v>4910</v>
      </c>
      <c r="X430" s="85">
        <v>898.71400000000006</v>
      </c>
      <c r="Y430" s="87">
        <v>4910</v>
      </c>
      <c r="Z430" s="85">
        <v>897.19899999999996</v>
      </c>
      <c r="AA430" s="87">
        <v>4910</v>
      </c>
      <c r="AB430" s="85">
        <v>897.10799999999995</v>
      </c>
      <c r="AC430" s="87">
        <v>4900</v>
      </c>
      <c r="AD430" s="85">
        <v>821.08</v>
      </c>
      <c r="AE430" s="87">
        <v>4910</v>
      </c>
      <c r="AF430" s="85">
        <v>822.46299999999997</v>
      </c>
      <c r="AG430" s="87">
        <v>4890</v>
      </c>
      <c r="AH430" s="85">
        <v>225.19499999999999</v>
      </c>
      <c r="AI430" s="87">
        <v>4890</v>
      </c>
      <c r="AJ430" s="85">
        <v>235.76599999999999</v>
      </c>
    </row>
    <row r="431" spans="1:36" ht="14.25" customHeight="1">
      <c r="A431" s="88">
        <v>4920</v>
      </c>
      <c r="B431" s="84">
        <v>476.93799999999999</v>
      </c>
      <c r="C431" s="88">
        <v>4930</v>
      </c>
      <c r="D431" s="85">
        <v>473.44299999999998</v>
      </c>
      <c r="E431" s="86">
        <v>4920</v>
      </c>
      <c r="F431" s="85">
        <v>1036.21</v>
      </c>
      <c r="G431" s="87">
        <v>4920</v>
      </c>
      <c r="H431" s="85">
        <v>1035.6300000000001</v>
      </c>
      <c r="I431" s="87">
        <v>4920</v>
      </c>
      <c r="J431" s="85">
        <v>897.73400000000004</v>
      </c>
      <c r="K431" s="87">
        <v>4920</v>
      </c>
      <c r="L431" s="85">
        <v>897.40800000000002</v>
      </c>
      <c r="M431" s="87">
        <v>4920</v>
      </c>
      <c r="N431" s="85">
        <v>897.54600000000005</v>
      </c>
      <c r="O431" s="87">
        <v>4900</v>
      </c>
      <c r="P431" s="85">
        <v>898.70699999999999</v>
      </c>
      <c r="Q431" s="87">
        <v>4920</v>
      </c>
      <c r="R431" s="85">
        <v>898.29300000000001</v>
      </c>
      <c r="S431" s="87">
        <v>4920</v>
      </c>
      <c r="T431" s="85">
        <v>898.86800000000005</v>
      </c>
      <c r="U431" s="87">
        <v>4910</v>
      </c>
      <c r="V431" s="84">
        <v>897.78200000000004</v>
      </c>
      <c r="W431" s="87">
        <v>4920</v>
      </c>
      <c r="X431" s="85">
        <v>897.50300000000004</v>
      </c>
      <c r="Y431" s="87">
        <v>4920</v>
      </c>
      <c r="Z431" s="85">
        <v>895.98800000000006</v>
      </c>
      <c r="AA431" s="87">
        <v>4920</v>
      </c>
      <c r="AB431" s="85">
        <v>895.89800000000002</v>
      </c>
      <c r="AC431" s="87">
        <v>4910</v>
      </c>
      <c r="AD431" s="85">
        <v>819.86900000000003</v>
      </c>
      <c r="AE431" s="87">
        <v>4920</v>
      </c>
      <c r="AF431" s="85">
        <v>821.25300000000004</v>
      </c>
      <c r="AG431" s="87">
        <v>4900</v>
      </c>
      <c r="AH431" s="85">
        <v>224.8</v>
      </c>
      <c r="AI431" s="87">
        <v>4900</v>
      </c>
      <c r="AJ431" s="85">
        <v>235.357</v>
      </c>
    </row>
    <row r="432" spans="1:36" ht="14.25" customHeight="1">
      <c r="A432" s="88">
        <v>4930</v>
      </c>
      <c r="B432" s="84">
        <v>476.15</v>
      </c>
      <c r="C432" s="88">
        <v>4940</v>
      </c>
      <c r="D432" s="85">
        <v>472.66</v>
      </c>
      <c r="E432" s="86">
        <v>4930</v>
      </c>
      <c r="F432" s="85">
        <v>1034.711</v>
      </c>
      <c r="G432" s="87">
        <v>4930</v>
      </c>
      <c r="H432" s="85">
        <v>1034.136</v>
      </c>
      <c r="I432" s="87">
        <v>4930</v>
      </c>
      <c r="J432" s="85">
        <v>896.52099999999996</v>
      </c>
      <c r="K432" s="87">
        <v>4930</v>
      </c>
      <c r="L432" s="85">
        <v>896.19500000000005</v>
      </c>
      <c r="M432" s="87">
        <v>4930</v>
      </c>
      <c r="N432" s="85">
        <v>896.33299999999997</v>
      </c>
      <c r="O432" s="87">
        <v>4910</v>
      </c>
      <c r="P432" s="85">
        <v>897.49400000000003</v>
      </c>
      <c r="Q432" s="87">
        <v>4930</v>
      </c>
      <c r="R432" s="85">
        <v>897.08</v>
      </c>
      <c r="S432" s="87">
        <v>4930</v>
      </c>
      <c r="T432" s="85">
        <v>897.65499999999997</v>
      </c>
      <c r="U432" s="87">
        <v>4920</v>
      </c>
      <c r="V432" s="84">
        <v>896.572</v>
      </c>
      <c r="W432" s="87">
        <v>4930</v>
      </c>
      <c r="X432" s="85">
        <v>896.29300000000001</v>
      </c>
      <c r="Y432" s="87">
        <v>4930</v>
      </c>
      <c r="Z432" s="85">
        <v>894.77599999999995</v>
      </c>
      <c r="AA432" s="87">
        <v>4930</v>
      </c>
      <c r="AB432" s="85">
        <v>894.68799999999999</v>
      </c>
      <c r="AC432" s="87">
        <v>4920</v>
      </c>
      <c r="AD432" s="85">
        <v>818.65800000000002</v>
      </c>
      <c r="AE432" s="87">
        <v>4930</v>
      </c>
      <c r="AF432" s="85">
        <v>820.04399999999998</v>
      </c>
      <c r="AG432" s="87">
        <v>4910</v>
      </c>
      <c r="AH432" s="85">
        <v>224.405</v>
      </c>
      <c r="AI432" s="87">
        <v>4910</v>
      </c>
      <c r="AJ432" s="85">
        <v>234.94800000000001</v>
      </c>
    </row>
    <row r="433" spans="1:36" ht="14.25" customHeight="1">
      <c r="A433" s="88">
        <v>4940</v>
      </c>
      <c r="B433" s="84">
        <v>475.36200000000002</v>
      </c>
      <c r="C433" s="88">
        <v>4950</v>
      </c>
      <c r="D433" s="85">
        <v>471.87799999999999</v>
      </c>
      <c r="E433" s="86">
        <v>4940</v>
      </c>
      <c r="F433" s="85">
        <v>1033.213</v>
      </c>
      <c r="G433" s="87">
        <v>4940</v>
      </c>
      <c r="H433" s="85">
        <v>1032.6420000000001</v>
      </c>
      <c r="I433" s="87">
        <v>4940</v>
      </c>
      <c r="J433" s="85">
        <v>895.30700000000002</v>
      </c>
      <c r="K433" s="87">
        <v>4940</v>
      </c>
      <c r="L433" s="85">
        <v>894.98099999999999</v>
      </c>
      <c r="M433" s="87">
        <v>4940</v>
      </c>
      <c r="N433" s="85">
        <v>895.12099999999998</v>
      </c>
      <c r="O433" s="87">
        <v>4920</v>
      </c>
      <c r="P433" s="85">
        <v>896.28099999999995</v>
      </c>
      <c r="Q433" s="87">
        <v>4940</v>
      </c>
      <c r="R433" s="85">
        <v>895.86699999999996</v>
      </c>
      <c r="S433" s="87">
        <v>4940</v>
      </c>
      <c r="T433" s="85">
        <v>896.44299999999998</v>
      </c>
      <c r="U433" s="87">
        <v>4930</v>
      </c>
      <c r="V433" s="84">
        <v>895.36300000000006</v>
      </c>
      <c r="W433" s="87">
        <v>4940</v>
      </c>
      <c r="X433" s="85">
        <v>895.08199999999999</v>
      </c>
      <c r="Y433" s="87">
        <v>4940</v>
      </c>
      <c r="Z433" s="85">
        <v>893.56500000000005</v>
      </c>
      <c r="AA433" s="87">
        <v>4940</v>
      </c>
      <c r="AB433" s="85">
        <v>893.47799999999995</v>
      </c>
      <c r="AC433" s="87">
        <v>4930</v>
      </c>
      <c r="AD433" s="85">
        <v>817.447</v>
      </c>
      <c r="AE433" s="87">
        <v>4940</v>
      </c>
      <c r="AF433" s="85">
        <v>818.83399999999995</v>
      </c>
      <c r="AG433" s="87">
        <v>4920</v>
      </c>
      <c r="AH433" s="85">
        <v>224.01</v>
      </c>
      <c r="AI433" s="87">
        <v>4920</v>
      </c>
      <c r="AJ433" s="85">
        <v>234.53899999999999</v>
      </c>
    </row>
    <row r="434" spans="1:36" ht="14.25" customHeight="1">
      <c r="A434" s="88">
        <v>4950</v>
      </c>
      <c r="B434" s="84">
        <v>474.57499999999999</v>
      </c>
      <c r="C434" s="88">
        <v>4960</v>
      </c>
      <c r="D434" s="85">
        <v>471.096</v>
      </c>
      <c r="E434" s="86">
        <v>4950</v>
      </c>
      <c r="F434" s="85">
        <v>1031.7149999999999</v>
      </c>
      <c r="G434" s="87">
        <v>4950</v>
      </c>
      <c r="H434" s="85">
        <v>1031.1479999999999</v>
      </c>
      <c r="I434" s="87">
        <v>4950</v>
      </c>
      <c r="J434" s="85">
        <v>894.09400000000005</v>
      </c>
      <c r="K434" s="87">
        <v>4950</v>
      </c>
      <c r="L434" s="85">
        <v>893.76700000000005</v>
      </c>
      <c r="M434" s="87">
        <v>4950</v>
      </c>
      <c r="N434" s="85">
        <v>893.90800000000002</v>
      </c>
      <c r="O434" s="87">
        <v>4930</v>
      </c>
      <c r="P434" s="85">
        <v>895.06799999999998</v>
      </c>
      <c r="Q434" s="87">
        <v>4950</v>
      </c>
      <c r="R434" s="85">
        <v>894.654</v>
      </c>
      <c r="S434" s="87">
        <v>4950</v>
      </c>
      <c r="T434" s="85">
        <v>895.23099999999999</v>
      </c>
      <c r="U434" s="87">
        <v>4940</v>
      </c>
      <c r="V434" s="84">
        <v>894.15300000000002</v>
      </c>
      <c r="W434" s="87">
        <v>4950</v>
      </c>
      <c r="X434" s="85">
        <v>893.87099999999998</v>
      </c>
      <c r="Y434" s="87">
        <v>4950</v>
      </c>
      <c r="Z434" s="85">
        <v>892.35299999999995</v>
      </c>
      <c r="AA434" s="87">
        <v>4950</v>
      </c>
      <c r="AB434" s="85">
        <v>892.26800000000003</v>
      </c>
      <c r="AC434" s="87">
        <v>4940</v>
      </c>
      <c r="AD434" s="85">
        <v>816.23699999999997</v>
      </c>
      <c r="AE434" s="87">
        <v>4950</v>
      </c>
      <c r="AF434" s="85">
        <v>817.62400000000002</v>
      </c>
      <c r="AG434" s="87">
        <v>4930</v>
      </c>
      <c r="AH434" s="85">
        <v>223.61500000000001</v>
      </c>
      <c r="AI434" s="87">
        <v>4930</v>
      </c>
      <c r="AJ434" s="85">
        <v>234.13</v>
      </c>
    </row>
    <row r="435" spans="1:36" ht="14.25" customHeight="1">
      <c r="A435" s="88">
        <v>4960</v>
      </c>
      <c r="B435" s="84">
        <v>473.78699999999998</v>
      </c>
      <c r="C435" s="88">
        <v>4970</v>
      </c>
      <c r="D435" s="85">
        <v>470.315</v>
      </c>
      <c r="E435" s="86">
        <v>4960</v>
      </c>
      <c r="F435" s="85">
        <v>1030.2180000000001</v>
      </c>
      <c r="G435" s="87">
        <v>4960</v>
      </c>
      <c r="H435" s="85">
        <v>1029.654</v>
      </c>
      <c r="I435" s="87">
        <v>4960</v>
      </c>
      <c r="J435" s="85">
        <v>892.88099999999997</v>
      </c>
      <c r="K435" s="87">
        <v>4960</v>
      </c>
      <c r="L435" s="85">
        <v>892.55399999999997</v>
      </c>
      <c r="M435" s="87">
        <v>4960</v>
      </c>
      <c r="N435" s="85">
        <v>892.69500000000005</v>
      </c>
      <c r="O435" s="87">
        <v>4940</v>
      </c>
      <c r="P435" s="85">
        <v>893.85400000000004</v>
      </c>
      <c r="Q435" s="87">
        <v>4960</v>
      </c>
      <c r="R435" s="85">
        <v>893.44100000000003</v>
      </c>
      <c r="S435" s="87">
        <v>4960</v>
      </c>
      <c r="T435" s="85">
        <v>894.01800000000003</v>
      </c>
      <c r="U435" s="87">
        <v>4950</v>
      </c>
      <c r="V435" s="84">
        <v>892.94299999999998</v>
      </c>
      <c r="W435" s="87">
        <v>4960</v>
      </c>
      <c r="X435" s="85">
        <v>892.66</v>
      </c>
      <c r="Y435" s="87">
        <v>4960</v>
      </c>
      <c r="Z435" s="85">
        <v>891.14200000000005</v>
      </c>
      <c r="AA435" s="87">
        <v>4960</v>
      </c>
      <c r="AB435" s="85">
        <v>891.05799999999999</v>
      </c>
      <c r="AC435" s="87">
        <v>4950</v>
      </c>
      <c r="AD435" s="85">
        <v>815.02599999999995</v>
      </c>
      <c r="AE435" s="87">
        <v>4960</v>
      </c>
      <c r="AF435" s="85">
        <v>816.41499999999996</v>
      </c>
      <c r="AG435" s="87">
        <v>4940</v>
      </c>
      <c r="AH435" s="85">
        <v>223.22</v>
      </c>
      <c r="AI435" s="87">
        <v>4940</v>
      </c>
      <c r="AJ435" s="85">
        <v>233.72200000000001</v>
      </c>
    </row>
    <row r="436" spans="1:36" ht="14.25" customHeight="1">
      <c r="A436" s="88">
        <v>4970</v>
      </c>
      <c r="B436" s="84">
        <v>473</v>
      </c>
      <c r="C436" s="88">
        <v>4980</v>
      </c>
      <c r="D436" s="85">
        <v>469.53300000000002</v>
      </c>
      <c r="E436" s="86">
        <v>4970</v>
      </c>
      <c r="F436" s="85">
        <v>1028.72</v>
      </c>
      <c r="G436" s="87">
        <v>4970</v>
      </c>
      <c r="H436" s="85">
        <v>1028.1600000000001</v>
      </c>
      <c r="I436" s="87">
        <v>4970</v>
      </c>
      <c r="J436" s="85">
        <v>891.66800000000001</v>
      </c>
      <c r="K436" s="87">
        <v>4970</v>
      </c>
      <c r="L436" s="85">
        <v>891.34</v>
      </c>
      <c r="M436" s="87">
        <v>4970</v>
      </c>
      <c r="N436" s="85">
        <v>891.48199999999997</v>
      </c>
      <c r="O436" s="87">
        <v>4950</v>
      </c>
      <c r="P436" s="85">
        <v>892.64099999999996</v>
      </c>
      <c r="Q436" s="87">
        <v>4970</v>
      </c>
      <c r="R436" s="85">
        <v>892.22799999999995</v>
      </c>
      <c r="S436" s="87">
        <v>4970</v>
      </c>
      <c r="T436" s="85">
        <v>892.80600000000004</v>
      </c>
      <c r="U436" s="87">
        <v>4960</v>
      </c>
      <c r="V436" s="84">
        <v>891.73299999999995</v>
      </c>
      <c r="W436" s="87">
        <v>4970</v>
      </c>
      <c r="X436" s="85">
        <v>891.45</v>
      </c>
      <c r="Y436" s="87">
        <v>4970</v>
      </c>
      <c r="Z436" s="85">
        <v>889.93100000000004</v>
      </c>
      <c r="AA436" s="87">
        <v>4970</v>
      </c>
      <c r="AB436" s="85">
        <v>889.84799999999996</v>
      </c>
      <c r="AC436" s="87">
        <v>4960</v>
      </c>
      <c r="AD436" s="85">
        <v>813.81500000000005</v>
      </c>
      <c r="AE436" s="87">
        <v>4970</v>
      </c>
      <c r="AF436" s="85">
        <v>815.20500000000004</v>
      </c>
      <c r="AG436" s="87">
        <v>4950</v>
      </c>
      <c r="AH436" s="85">
        <v>222.82499999999999</v>
      </c>
      <c r="AI436" s="87">
        <v>4950</v>
      </c>
      <c r="AJ436" s="85">
        <v>233.31299999999999</v>
      </c>
    </row>
    <row r="437" spans="1:36" ht="14.25" customHeight="1">
      <c r="A437" s="88">
        <v>4980</v>
      </c>
      <c r="B437" s="84">
        <v>472.21300000000002</v>
      </c>
      <c r="C437" s="88">
        <v>4990</v>
      </c>
      <c r="D437" s="85">
        <v>468.75200000000001</v>
      </c>
      <c r="E437" s="86">
        <v>4980</v>
      </c>
      <c r="F437" s="85">
        <v>1027.222</v>
      </c>
      <c r="G437" s="87">
        <v>4980</v>
      </c>
      <c r="H437" s="85">
        <v>1026.6669999999999</v>
      </c>
      <c r="I437" s="87">
        <v>4980</v>
      </c>
      <c r="J437" s="85">
        <v>890.45500000000004</v>
      </c>
      <c r="K437" s="87">
        <v>4980</v>
      </c>
      <c r="L437" s="85">
        <v>890.12599999999998</v>
      </c>
      <c r="M437" s="87">
        <v>4980</v>
      </c>
      <c r="N437" s="85">
        <v>890.26900000000001</v>
      </c>
      <c r="O437" s="87">
        <v>4960</v>
      </c>
      <c r="P437" s="85">
        <v>891.428</v>
      </c>
      <c r="Q437" s="87">
        <v>4980</v>
      </c>
      <c r="R437" s="85">
        <v>891.01499999999999</v>
      </c>
      <c r="S437" s="87">
        <v>4980</v>
      </c>
      <c r="T437" s="85">
        <v>891.59400000000005</v>
      </c>
      <c r="U437" s="87">
        <v>4970</v>
      </c>
      <c r="V437" s="84">
        <v>890.52300000000002</v>
      </c>
      <c r="W437" s="87">
        <v>4980</v>
      </c>
      <c r="X437" s="85">
        <v>890.23900000000003</v>
      </c>
      <c r="Y437" s="87">
        <v>4980</v>
      </c>
      <c r="Z437" s="85">
        <v>888.71900000000005</v>
      </c>
      <c r="AA437" s="87">
        <v>4980</v>
      </c>
      <c r="AB437" s="85">
        <v>888.63800000000003</v>
      </c>
      <c r="AC437" s="87">
        <v>4970</v>
      </c>
      <c r="AD437" s="85">
        <v>812.60400000000004</v>
      </c>
      <c r="AE437" s="87">
        <v>4980</v>
      </c>
      <c r="AF437" s="85">
        <v>813.99599999999998</v>
      </c>
      <c r="AG437" s="87">
        <v>4960</v>
      </c>
      <c r="AH437" s="85">
        <v>222.43100000000001</v>
      </c>
      <c r="AI437" s="87">
        <v>4960</v>
      </c>
      <c r="AJ437" s="85">
        <v>232.904</v>
      </c>
    </row>
    <row r="438" spans="1:36" ht="14.25" customHeight="1">
      <c r="A438" s="88">
        <v>4990</v>
      </c>
      <c r="B438" s="84">
        <v>471.42599999999999</v>
      </c>
      <c r="C438" s="88">
        <v>5000</v>
      </c>
      <c r="D438" s="85">
        <v>467.97</v>
      </c>
      <c r="E438" s="86">
        <v>4990</v>
      </c>
      <c r="F438" s="85">
        <v>1025.7249999999999</v>
      </c>
      <c r="G438" s="87">
        <v>4990</v>
      </c>
      <c r="H438" s="85">
        <v>1025.173</v>
      </c>
      <c r="I438" s="87">
        <v>4990</v>
      </c>
      <c r="J438" s="85">
        <v>889.24199999999996</v>
      </c>
      <c r="K438" s="87">
        <v>4990</v>
      </c>
      <c r="L438" s="85">
        <v>888.91200000000003</v>
      </c>
      <c r="M438" s="87">
        <v>4990</v>
      </c>
      <c r="N438" s="85">
        <v>889.05700000000002</v>
      </c>
      <c r="O438" s="87">
        <v>4970</v>
      </c>
      <c r="P438" s="85">
        <v>890.21500000000003</v>
      </c>
      <c r="Q438" s="87">
        <v>4990</v>
      </c>
      <c r="R438" s="85">
        <v>889.80200000000002</v>
      </c>
      <c r="S438" s="87">
        <v>4990</v>
      </c>
      <c r="T438" s="85">
        <v>890.38199999999995</v>
      </c>
      <c r="U438" s="87">
        <v>4980</v>
      </c>
      <c r="V438" s="84">
        <v>889.31399999999996</v>
      </c>
      <c r="W438" s="87">
        <v>4990</v>
      </c>
      <c r="X438" s="85">
        <v>889.02800000000002</v>
      </c>
      <c r="Y438" s="87">
        <v>4990</v>
      </c>
      <c r="Z438" s="85">
        <v>887.50800000000004</v>
      </c>
      <c r="AA438" s="87">
        <v>4990</v>
      </c>
      <c r="AB438" s="85">
        <v>887.428</v>
      </c>
      <c r="AC438" s="87">
        <v>4980</v>
      </c>
      <c r="AD438" s="85">
        <v>811.39400000000001</v>
      </c>
      <c r="AE438" s="87">
        <v>4990</v>
      </c>
      <c r="AF438" s="85">
        <v>812.78599999999994</v>
      </c>
      <c r="AG438" s="87">
        <v>4970</v>
      </c>
      <c r="AH438" s="85">
        <v>222.036</v>
      </c>
      <c r="AI438" s="87">
        <v>4970</v>
      </c>
      <c r="AJ438" s="85">
        <v>232.495</v>
      </c>
    </row>
    <row r="439" spans="1:36" ht="14.25" customHeight="1">
      <c r="A439" s="88">
        <v>5000</v>
      </c>
      <c r="B439" s="84">
        <v>470.63900000000001</v>
      </c>
      <c r="C439" s="88">
        <v>5010</v>
      </c>
      <c r="D439" s="85">
        <v>467.18900000000002</v>
      </c>
      <c r="E439" s="86">
        <v>5000</v>
      </c>
      <c r="F439" s="85">
        <v>1024.2280000000001</v>
      </c>
      <c r="G439" s="87">
        <v>5000</v>
      </c>
      <c r="H439" s="85">
        <v>1023.68</v>
      </c>
      <c r="I439" s="87">
        <v>5000</v>
      </c>
      <c r="J439" s="85">
        <v>888.029</v>
      </c>
      <c r="K439" s="87">
        <v>5000</v>
      </c>
      <c r="L439" s="85">
        <v>887.69899999999996</v>
      </c>
      <c r="M439" s="87">
        <v>5000</v>
      </c>
      <c r="N439" s="85">
        <v>887.84400000000005</v>
      </c>
      <c r="O439" s="87">
        <v>4980</v>
      </c>
      <c r="P439" s="85">
        <v>889.00199999999995</v>
      </c>
      <c r="Q439" s="87">
        <v>5000</v>
      </c>
      <c r="R439" s="85">
        <v>888.58900000000006</v>
      </c>
      <c r="S439" s="87">
        <v>5000</v>
      </c>
      <c r="T439" s="85">
        <v>889.16899999999998</v>
      </c>
      <c r="U439" s="87">
        <v>4990</v>
      </c>
      <c r="V439" s="84">
        <v>888.10400000000004</v>
      </c>
      <c r="W439" s="87">
        <v>5000</v>
      </c>
      <c r="X439" s="85">
        <v>887.81700000000001</v>
      </c>
      <c r="Y439" s="87">
        <v>5000</v>
      </c>
      <c r="Z439" s="85">
        <v>886.29600000000005</v>
      </c>
      <c r="AA439" s="87">
        <v>5000</v>
      </c>
      <c r="AB439" s="85">
        <v>886.21799999999996</v>
      </c>
      <c r="AC439" s="87">
        <v>4990</v>
      </c>
      <c r="AD439" s="85">
        <v>810.18299999999999</v>
      </c>
      <c r="AE439" s="87">
        <v>5000</v>
      </c>
      <c r="AF439" s="85">
        <v>811.57600000000002</v>
      </c>
      <c r="AG439" s="87">
        <v>4980</v>
      </c>
      <c r="AH439" s="85">
        <v>221.64099999999999</v>
      </c>
      <c r="AI439" s="87">
        <v>4980</v>
      </c>
      <c r="AJ439" s="85">
        <v>232.08699999999999</v>
      </c>
    </row>
    <row r="440" spans="1:36" ht="14.25" customHeight="1">
      <c r="A440" s="88">
        <v>5010</v>
      </c>
      <c r="B440" s="84">
        <v>469.85300000000001</v>
      </c>
      <c r="C440" s="88">
        <v>5020</v>
      </c>
      <c r="D440" s="85">
        <v>466.40800000000002</v>
      </c>
      <c r="E440" s="86">
        <v>5010</v>
      </c>
      <c r="F440" s="85">
        <v>1022.731</v>
      </c>
      <c r="G440" s="87">
        <v>5010</v>
      </c>
      <c r="H440" s="85">
        <v>1022.187</v>
      </c>
      <c r="I440" s="87">
        <v>5010</v>
      </c>
      <c r="J440" s="85">
        <v>886.81600000000003</v>
      </c>
      <c r="K440" s="87">
        <v>5010</v>
      </c>
      <c r="L440" s="85">
        <v>886.48500000000001</v>
      </c>
      <c r="M440" s="87">
        <v>5010</v>
      </c>
      <c r="N440" s="85">
        <v>886.63099999999997</v>
      </c>
      <c r="O440" s="87">
        <v>4990</v>
      </c>
      <c r="P440" s="85">
        <v>887.78899999999999</v>
      </c>
      <c r="Q440" s="87">
        <v>5010</v>
      </c>
      <c r="R440" s="85">
        <v>887.37599999999998</v>
      </c>
      <c r="S440" s="87">
        <v>5010</v>
      </c>
      <c r="T440" s="85">
        <v>887.95699999999999</v>
      </c>
      <c r="U440" s="87">
        <v>5000</v>
      </c>
      <c r="V440" s="84">
        <v>886.89400000000001</v>
      </c>
      <c r="W440" s="87">
        <v>5010</v>
      </c>
      <c r="X440" s="85">
        <v>886.60699999999997</v>
      </c>
      <c r="Y440" s="87">
        <v>5010</v>
      </c>
      <c r="Z440" s="85">
        <v>885.08500000000004</v>
      </c>
      <c r="AA440" s="87">
        <v>5010</v>
      </c>
      <c r="AB440" s="85">
        <v>885.00800000000004</v>
      </c>
      <c r="AC440" s="87">
        <v>5000</v>
      </c>
      <c r="AD440" s="85">
        <v>808.97199999999998</v>
      </c>
      <c r="AE440" s="87">
        <v>5010</v>
      </c>
      <c r="AF440" s="85">
        <v>810.36699999999996</v>
      </c>
      <c r="AG440" s="87">
        <v>4990</v>
      </c>
      <c r="AH440" s="85">
        <v>221.24700000000001</v>
      </c>
      <c r="AI440" s="87">
        <v>4990</v>
      </c>
      <c r="AJ440" s="85">
        <v>231.678</v>
      </c>
    </row>
    <row r="441" spans="1:36" ht="14.25" customHeight="1">
      <c r="A441" s="88">
        <v>5020</v>
      </c>
      <c r="B441" s="84">
        <v>469.06700000000001</v>
      </c>
      <c r="C441" s="88">
        <v>5030</v>
      </c>
      <c r="D441" s="85">
        <v>465.62799999999999</v>
      </c>
      <c r="E441" s="86">
        <v>5020</v>
      </c>
      <c r="F441" s="85">
        <v>1021.234</v>
      </c>
      <c r="G441" s="87">
        <v>5020</v>
      </c>
      <c r="H441" s="85">
        <v>1020.694</v>
      </c>
      <c r="I441" s="87">
        <v>5020</v>
      </c>
      <c r="J441" s="85">
        <v>885.60299999999995</v>
      </c>
      <c r="K441" s="87">
        <v>5020</v>
      </c>
      <c r="L441" s="85">
        <v>885.27099999999996</v>
      </c>
      <c r="M441" s="87">
        <v>5020</v>
      </c>
      <c r="N441" s="85">
        <v>885.41800000000001</v>
      </c>
      <c r="O441" s="87">
        <v>5000</v>
      </c>
      <c r="P441" s="85">
        <v>886.57600000000002</v>
      </c>
      <c r="Q441" s="87">
        <v>5020</v>
      </c>
      <c r="R441" s="85">
        <v>886.16300000000001</v>
      </c>
      <c r="S441" s="87">
        <v>5020</v>
      </c>
      <c r="T441" s="85">
        <v>886.745</v>
      </c>
      <c r="U441" s="87">
        <v>5010</v>
      </c>
      <c r="V441" s="84">
        <v>885.68399999999997</v>
      </c>
      <c r="W441" s="87">
        <v>5020</v>
      </c>
      <c r="X441" s="85">
        <v>885.39599999999996</v>
      </c>
      <c r="Y441" s="87">
        <v>5020</v>
      </c>
      <c r="Z441" s="85">
        <v>883.87300000000005</v>
      </c>
      <c r="AA441" s="87">
        <v>5020</v>
      </c>
      <c r="AB441" s="85">
        <v>883.798</v>
      </c>
      <c r="AC441" s="87">
        <v>5010</v>
      </c>
      <c r="AD441" s="85">
        <v>807.76099999999997</v>
      </c>
      <c r="AE441" s="87">
        <v>5020</v>
      </c>
      <c r="AF441" s="85">
        <v>809.15700000000004</v>
      </c>
      <c r="AG441" s="87">
        <v>5000</v>
      </c>
      <c r="AH441" s="85">
        <v>220.852</v>
      </c>
      <c r="AI441" s="87">
        <v>5000</v>
      </c>
      <c r="AJ441" s="85">
        <v>231.26900000000001</v>
      </c>
    </row>
    <row r="442" spans="1:36" ht="14.25" customHeight="1">
      <c r="A442" s="88">
        <v>5030</v>
      </c>
      <c r="B442" s="84">
        <v>468.28</v>
      </c>
      <c r="C442" s="88">
        <v>5040</v>
      </c>
      <c r="D442" s="85">
        <v>464.84699999999998</v>
      </c>
      <c r="E442" s="86">
        <v>5030</v>
      </c>
      <c r="F442" s="85">
        <v>1019.737</v>
      </c>
      <c r="G442" s="87">
        <v>5030</v>
      </c>
      <c r="H442" s="89">
        <v>1019.201</v>
      </c>
      <c r="I442" s="87">
        <v>5030</v>
      </c>
      <c r="J442" s="85">
        <v>884.39</v>
      </c>
      <c r="K442" s="87">
        <v>5030</v>
      </c>
      <c r="L442" s="85">
        <v>884.05799999999999</v>
      </c>
      <c r="M442" s="87">
        <v>5030</v>
      </c>
      <c r="N442" s="85">
        <v>884.20500000000004</v>
      </c>
      <c r="O442" s="87">
        <v>5010</v>
      </c>
      <c r="P442" s="85">
        <v>885.36300000000006</v>
      </c>
      <c r="Q442" s="87">
        <v>5030</v>
      </c>
      <c r="R442" s="85">
        <v>884.95</v>
      </c>
      <c r="S442" s="87">
        <v>5030</v>
      </c>
      <c r="T442" s="85">
        <v>885.53200000000004</v>
      </c>
      <c r="U442" s="87">
        <v>5020</v>
      </c>
      <c r="V442" s="84">
        <v>884.47500000000002</v>
      </c>
      <c r="W442" s="87">
        <v>5030</v>
      </c>
      <c r="X442" s="85">
        <v>884.18499999999995</v>
      </c>
      <c r="Y442" s="87">
        <v>5030</v>
      </c>
      <c r="Z442" s="85">
        <v>882.66200000000003</v>
      </c>
      <c r="AA442" s="87">
        <v>5030</v>
      </c>
      <c r="AB442" s="85">
        <v>882.58799999999997</v>
      </c>
      <c r="AC442" s="87">
        <v>5020</v>
      </c>
      <c r="AD442" s="85">
        <v>806.55</v>
      </c>
      <c r="AE442" s="87">
        <v>5030</v>
      </c>
      <c r="AF442" s="85">
        <v>807.947</v>
      </c>
      <c r="AG442" s="87">
        <v>5010</v>
      </c>
      <c r="AH442" s="85">
        <v>220.45699999999999</v>
      </c>
      <c r="AI442" s="87">
        <v>5010</v>
      </c>
      <c r="AJ442" s="85">
        <v>230.86099999999999</v>
      </c>
    </row>
    <row r="443" spans="1:36" ht="14.25" customHeight="1">
      <c r="A443" s="88">
        <v>5040</v>
      </c>
      <c r="B443" s="84">
        <v>467.49400000000003</v>
      </c>
      <c r="C443" s="88">
        <v>5050</v>
      </c>
      <c r="D443" s="85">
        <v>464.06700000000001</v>
      </c>
      <c r="E443" s="86">
        <v>5040</v>
      </c>
      <c r="F443" s="85">
        <v>1018.24</v>
      </c>
      <c r="G443" s="87">
        <v>5040</v>
      </c>
      <c r="H443" s="89">
        <v>1017.708</v>
      </c>
      <c r="I443" s="87">
        <v>5040</v>
      </c>
      <c r="J443" s="85">
        <v>883.17700000000002</v>
      </c>
      <c r="K443" s="87">
        <v>5040</v>
      </c>
      <c r="L443" s="85">
        <v>882.84400000000005</v>
      </c>
      <c r="M443" s="87">
        <v>5040</v>
      </c>
      <c r="N443" s="85">
        <v>882.99300000000005</v>
      </c>
      <c r="O443" s="87">
        <v>5020</v>
      </c>
      <c r="P443" s="85">
        <v>884.15</v>
      </c>
      <c r="Q443" s="87">
        <v>5040</v>
      </c>
      <c r="R443" s="85">
        <v>883.73800000000006</v>
      </c>
      <c r="S443" s="87">
        <v>5040</v>
      </c>
      <c r="T443" s="85">
        <v>884.32</v>
      </c>
      <c r="U443" s="87">
        <v>5030</v>
      </c>
      <c r="V443" s="84">
        <v>883.26499999999999</v>
      </c>
      <c r="W443" s="87">
        <v>5040</v>
      </c>
      <c r="X443" s="85">
        <v>882.97400000000005</v>
      </c>
      <c r="Y443" s="87">
        <v>5040</v>
      </c>
      <c r="Z443" s="85">
        <v>881.45100000000002</v>
      </c>
      <c r="AA443" s="87">
        <v>5040</v>
      </c>
      <c r="AB443" s="85">
        <v>881.37800000000004</v>
      </c>
      <c r="AC443" s="87">
        <v>5030</v>
      </c>
      <c r="AD443" s="85">
        <v>805.34</v>
      </c>
      <c r="AE443" s="87">
        <v>5040</v>
      </c>
      <c r="AF443" s="85">
        <v>806.73800000000006</v>
      </c>
      <c r="AG443" s="87">
        <v>5020</v>
      </c>
      <c r="AH443" s="85">
        <v>220.06299999999999</v>
      </c>
      <c r="AI443" s="87">
        <v>5020</v>
      </c>
      <c r="AJ443" s="85">
        <v>230.452</v>
      </c>
    </row>
    <row r="444" spans="1:36" ht="14.25" customHeight="1">
      <c r="A444" s="88">
        <v>5050</v>
      </c>
      <c r="B444" s="84">
        <v>466.709</v>
      </c>
      <c r="C444" s="88">
        <v>5060</v>
      </c>
      <c r="D444" s="85">
        <v>463.28699999999998</v>
      </c>
      <c r="E444" s="86">
        <v>5050</v>
      </c>
      <c r="F444" s="85">
        <v>1016.7430000000001</v>
      </c>
      <c r="G444" s="87">
        <v>5050</v>
      </c>
      <c r="H444" s="85">
        <v>1016.215</v>
      </c>
      <c r="I444" s="87">
        <v>5050</v>
      </c>
      <c r="J444" s="85">
        <v>881.96400000000006</v>
      </c>
      <c r="K444" s="87">
        <v>5050</v>
      </c>
      <c r="L444" s="85">
        <v>881.63</v>
      </c>
      <c r="M444" s="87">
        <v>5050</v>
      </c>
      <c r="N444" s="85">
        <v>881.78</v>
      </c>
      <c r="O444" s="87">
        <v>5030</v>
      </c>
      <c r="P444" s="85">
        <v>882.93700000000001</v>
      </c>
      <c r="Q444" s="87">
        <v>5050</v>
      </c>
      <c r="R444" s="85">
        <v>882.52499999999998</v>
      </c>
      <c r="S444" s="87">
        <v>5050</v>
      </c>
      <c r="T444" s="85">
        <v>883.10799999999995</v>
      </c>
      <c r="U444" s="87">
        <v>5040</v>
      </c>
      <c r="V444" s="84">
        <v>882.05499999999995</v>
      </c>
      <c r="W444" s="87">
        <v>5050</v>
      </c>
      <c r="X444" s="85">
        <v>881.76400000000001</v>
      </c>
      <c r="Y444" s="87">
        <v>5050</v>
      </c>
      <c r="Z444" s="85">
        <v>880.23900000000003</v>
      </c>
      <c r="AA444" s="87">
        <v>5050</v>
      </c>
      <c r="AB444" s="85">
        <v>880.16800000000001</v>
      </c>
      <c r="AC444" s="87">
        <v>5040</v>
      </c>
      <c r="AD444" s="85">
        <v>804.12900000000002</v>
      </c>
      <c r="AE444" s="87">
        <v>5050</v>
      </c>
      <c r="AF444" s="85">
        <v>805.52800000000002</v>
      </c>
      <c r="AG444" s="87">
        <v>5030</v>
      </c>
      <c r="AH444" s="85">
        <v>219.66800000000001</v>
      </c>
      <c r="AI444" s="87">
        <v>5030</v>
      </c>
      <c r="AJ444" s="85">
        <v>230.04400000000001</v>
      </c>
    </row>
    <row r="445" spans="1:36" ht="14.25" customHeight="1">
      <c r="A445" s="88">
        <v>5060</v>
      </c>
      <c r="B445" s="84">
        <v>465.923</v>
      </c>
      <c r="C445" s="88">
        <v>5070</v>
      </c>
      <c r="D445" s="85">
        <v>462.50700000000001</v>
      </c>
      <c r="E445" s="86">
        <v>5060</v>
      </c>
      <c r="F445" s="85">
        <v>1015.247</v>
      </c>
      <c r="G445" s="87">
        <v>5060</v>
      </c>
      <c r="H445" s="85">
        <v>1014.722</v>
      </c>
      <c r="I445" s="87">
        <v>5060</v>
      </c>
      <c r="J445" s="85">
        <v>880.75099999999998</v>
      </c>
      <c r="K445" s="87">
        <v>5060</v>
      </c>
      <c r="L445" s="85">
        <v>880.41700000000003</v>
      </c>
      <c r="M445" s="87">
        <v>5060</v>
      </c>
      <c r="N445" s="85">
        <v>880.56700000000001</v>
      </c>
      <c r="O445" s="87">
        <v>5040</v>
      </c>
      <c r="P445" s="85">
        <v>881.72400000000005</v>
      </c>
      <c r="Q445" s="87">
        <v>5060</v>
      </c>
      <c r="R445" s="85">
        <v>881.31200000000001</v>
      </c>
      <c r="S445" s="87">
        <v>5060</v>
      </c>
      <c r="T445" s="85">
        <v>881.89599999999996</v>
      </c>
      <c r="U445" s="87">
        <v>5050</v>
      </c>
      <c r="V445" s="84">
        <v>880.84500000000003</v>
      </c>
      <c r="W445" s="87">
        <v>5060</v>
      </c>
      <c r="X445" s="85">
        <v>880.553</v>
      </c>
      <c r="Y445" s="87">
        <v>5060</v>
      </c>
      <c r="Z445" s="85">
        <v>879.02800000000002</v>
      </c>
      <c r="AA445" s="87">
        <v>5060</v>
      </c>
      <c r="AB445" s="85">
        <v>878.95799999999997</v>
      </c>
      <c r="AC445" s="87">
        <v>5050</v>
      </c>
      <c r="AD445" s="85">
        <v>802.91800000000001</v>
      </c>
      <c r="AE445" s="87">
        <v>5060</v>
      </c>
      <c r="AF445" s="85">
        <v>804.31799999999998</v>
      </c>
      <c r="AG445" s="87">
        <v>5040</v>
      </c>
      <c r="AH445" s="85">
        <v>219.274</v>
      </c>
      <c r="AI445" s="87">
        <v>5040</v>
      </c>
      <c r="AJ445" s="85">
        <v>229.63499999999999</v>
      </c>
    </row>
    <row r="446" spans="1:36" ht="14.25" customHeight="1">
      <c r="A446" s="88">
        <v>5070</v>
      </c>
      <c r="B446" s="84">
        <v>465.137</v>
      </c>
      <c r="C446" s="88">
        <v>5080</v>
      </c>
      <c r="D446" s="85">
        <v>461.72699999999998</v>
      </c>
      <c r="E446" s="86">
        <v>5070</v>
      </c>
      <c r="F446" s="85">
        <v>1013.751</v>
      </c>
      <c r="G446" s="87">
        <v>5070</v>
      </c>
      <c r="H446" s="85">
        <v>1013.23</v>
      </c>
      <c r="I446" s="87">
        <v>5070</v>
      </c>
      <c r="J446" s="85">
        <v>879.53800000000001</v>
      </c>
      <c r="K446" s="87">
        <v>5070</v>
      </c>
      <c r="L446" s="85">
        <v>879.20299999999997</v>
      </c>
      <c r="M446" s="87">
        <v>5070</v>
      </c>
      <c r="N446" s="85">
        <v>879.35400000000004</v>
      </c>
      <c r="O446" s="87">
        <v>5050</v>
      </c>
      <c r="P446" s="85">
        <v>880.51099999999997</v>
      </c>
      <c r="Q446" s="87">
        <v>5070</v>
      </c>
      <c r="R446" s="85">
        <v>880.09900000000005</v>
      </c>
      <c r="S446" s="87">
        <v>5070</v>
      </c>
      <c r="T446" s="85">
        <v>880.68299999999999</v>
      </c>
      <c r="U446" s="87">
        <v>5060</v>
      </c>
      <c r="V446" s="84">
        <v>879.63499999999999</v>
      </c>
      <c r="W446" s="87">
        <v>5070</v>
      </c>
      <c r="X446" s="85">
        <v>879.34199999999998</v>
      </c>
      <c r="Y446" s="87">
        <v>5070</v>
      </c>
      <c r="Z446" s="85">
        <v>877.81600000000003</v>
      </c>
      <c r="AA446" s="87">
        <v>5070</v>
      </c>
      <c r="AB446" s="85">
        <v>877.74800000000005</v>
      </c>
      <c r="AC446" s="87">
        <v>5060</v>
      </c>
      <c r="AD446" s="85">
        <v>801.70699999999999</v>
      </c>
      <c r="AE446" s="87">
        <v>5070</v>
      </c>
      <c r="AF446" s="85">
        <v>803.10900000000004</v>
      </c>
      <c r="AG446" s="87">
        <v>5050</v>
      </c>
      <c r="AH446" s="85">
        <v>218.88</v>
      </c>
      <c r="AI446" s="87">
        <v>5050</v>
      </c>
      <c r="AJ446" s="85">
        <v>229.227</v>
      </c>
    </row>
    <row r="447" spans="1:36" ht="14.25" customHeight="1">
      <c r="A447" s="88">
        <v>5080</v>
      </c>
      <c r="B447" s="84">
        <v>464.35199999999998</v>
      </c>
      <c r="C447" s="88">
        <v>5090</v>
      </c>
      <c r="D447" s="85">
        <v>460.947</v>
      </c>
      <c r="E447" s="86">
        <v>5080</v>
      </c>
      <c r="F447" s="85">
        <v>1012.254</v>
      </c>
      <c r="G447" s="87">
        <v>5080</v>
      </c>
      <c r="H447" s="85">
        <v>1011.737</v>
      </c>
      <c r="I447" s="87">
        <v>5080</v>
      </c>
      <c r="J447" s="85">
        <v>878.32500000000005</v>
      </c>
      <c r="K447" s="87">
        <v>5080</v>
      </c>
      <c r="L447" s="85">
        <v>877.98900000000003</v>
      </c>
      <c r="M447" s="87">
        <v>5080</v>
      </c>
      <c r="N447" s="85">
        <v>878.14099999999996</v>
      </c>
      <c r="O447" s="87">
        <v>5060</v>
      </c>
      <c r="P447" s="85">
        <v>879.29700000000003</v>
      </c>
      <c r="Q447" s="87">
        <v>5080</v>
      </c>
      <c r="R447" s="85">
        <v>878.88599999999997</v>
      </c>
      <c r="S447" s="87">
        <v>5080</v>
      </c>
      <c r="T447" s="85">
        <v>879.471</v>
      </c>
      <c r="U447" s="87">
        <v>5070</v>
      </c>
      <c r="V447" s="84">
        <v>878.42600000000004</v>
      </c>
      <c r="W447" s="87">
        <v>5080</v>
      </c>
      <c r="X447" s="85">
        <v>878.13099999999997</v>
      </c>
      <c r="Y447" s="87">
        <v>5080</v>
      </c>
      <c r="Z447" s="85">
        <v>876.60500000000002</v>
      </c>
      <c r="AA447" s="87">
        <v>5080</v>
      </c>
      <c r="AB447" s="85">
        <v>876.53899999999999</v>
      </c>
      <c r="AC447" s="87">
        <v>5070</v>
      </c>
      <c r="AD447" s="85">
        <v>800.49699999999996</v>
      </c>
      <c r="AE447" s="87">
        <v>5080</v>
      </c>
      <c r="AF447" s="85">
        <v>801.899</v>
      </c>
      <c r="AG447" s="87">
        <v>5060</v>
      </c>
      <c r="AH447" s="85">
        <v>218.48500000000001</v>
      </c>
      <c r="AI447" s="87">
        <v>5060</v>
      </c>
      <c r="AJ447" s="85">
        <v>228.81899999999999</v>
      </c>
    </row>
    <row r="448" spans="1:36" ht="14.25" customHeight="1">
      <c r="A448" s="88">
        <v>5090</v>
      </c>
      <c r="B448" s="84">
        <v>463.56700000000001</v>
      </c>
      <c r="C448" s="88">
        <v>5100</v>
      </c>
      <c r="D448" s="85">
        <v>460.16800000000001</v>
      </c>
      <c r="E448" s="86">
        <v>5090</v>
      </c>
      <c r="F448" s="85">
        <v>1010.758</v>
      </c>
      <c r="G448" s="87">
        <v>5090</v>
      </c>
      <c r="H448" s="85">
        <v>1010.245</v>
      </c>
      <c r="I448" s="87">
        <v>5090</v>
      </c>
      <c r="J448" s="85">
        <v>877.11199999999997</v>
      </c>
      <c r="K448" s="87">
        <v>5090</v>
      </c>
      <c r="L448" s="85">
        <v>876.77599999999995</v>
      </c>
      <c r="M448" s="87">
        <v>5090</v>
      </c>
      <c r="N448" s="85">
        <v>876.92899999999997</v>
      </c>
      <c r="O448" s="87">
        <v>5070</v>
      </c>
      <c r="P448" s="85">
        <v>878.08399999999995</v>
      </c>
      <c r="Q448" s="87">
        <v>5090</v>
      </c>
      <c r="R448" s="85">
        <v>877.673</v>
      </c>
      <c r="S448" s="87">
        <v>5090</v>
      </c>
      <c r="T448" s="85">
        <v>878.25900000000001</v>
      </c>
      <c r="U448" s="87">
        <v>5080</v>
      </c>
      <c r="V448" s="84">
        <v>877.21600000000001</v>
      </c>
      <c r="W448" s="87">
        <v>5090</v>
      </c>
      <c r="X448" s="85">
        <v>876.92</v>
      </c>
      <c r="Y448" s="87">
        <v>5090</v>
      </c>
      <c r="Z448" s="85">
        <v>875.39400000000001</v>
      </c>
      <c r="AA448" s="87">
        <v>5090</v>
      </c>
      <c r="AB448" s="85">
        <v>875.32899999999995</v>
      </c>
      <c r="AC448" s="87">
        <v>5080</v>
      </c>
      <c r="AD448" s="85">
        <v>799.28599999999994</v>
      </c>
      <c r="AE448" s="87">
        <v>5090</v>
      </c>
      <c r="AF448" s="85">
        <v>800.68899999999996</v>
      </c>
      <c r="AG448" s="87">
        <v>5070</v>
      </c>
      <c r="AH448" s="85">
        <v>218.09100000000001</v>
      </c>
      <c r="AI448" s="87">
        <v>5070</v>
      </c>
      <c r="AJ448" s="85">
        <v>228.41</v>
      </c>
    </row>
    <row r="449" spans="1:36" ht="14.25" customHeight="1">
      <c r="A449" s="88">
        <v>5100</v>
      </c>
      <c r="B449" s="84">
        <v>462.78199999999998</v>
      </c>
      <c r="C449" s="88">
        <v>5110</v>
      </c>
      <c r="D449" s="85">
        <v>459.38799999999998</v>
      </c>
      <c r="E449" s="86">
        <v>5100</v>
      </c>
      <c r="F449" s="85">
        <v>1009.2619999999999</v>
      </c>
      <c r="G449" s="87">
        <v>5100</v>
      </c>
      <c r="H449" s="85">
        <v>1008.753</v>
      </c>
      <c r="I449" s="87">
        <v>5100</v>
      </c>
      <c r="J449" s="85">
        <v>875.899</v>
      </c>
      <c r="K449" s="87">
        <v>5100</v>
      </c>
      <c r="L449" s="85">
        <v>875.56200000000001</v>
      </c>
      <c r="M449" s="87">
        <v>5100</v>
      </c>
      <c r="N449" s="85">
        <v>875.71600000000001</v>
      </c>
      <c r="O449" s="87">
        <v>5080</v>
      </c>
      <c r="P449" s="85">
        <v>876.87099999999998</v>
      </c>
      <c r="Q449" s="87">
        <v>5100</v>
      </c>
      <c r="R449" s="85">
        <v>876.46</v>
      </c>
      <c r="S449" s="87">
        <v>5100</v>
      </c>
      <c r="T449" s="85">
        <v>877.04700000000003</v>
      </c>
      <c r="U449" s="87">
        <v>5090</v>
      </c>
      <c r="V449" s="84">
        <v>876.00599999999997</v>
      </c>
      <c r="W449" s="87">
        <v>5100</v>
      </c>
      <c r="X449" s="85">
        <v>875.71</v>
      </c>
      <c r="Y449" s="87">
        <v>5100</v>
      </c>
      <c r="Z449" s="85">
        <v>874.18200000000002</v>
      </c>
      <c r="AA449" s="87">
        <v>5100</v>
      </c>
      <c r="AB449" s="85">
        <v>874.11900000000003</v>
      </c>
      <c r="AC449" s="87">
        <v>5090</v>
      </c>
      <c r="AD449" s="85">
        <v>798.07500000000005</v>
      </c>
      <c r="AE449" s="87">
        <v>5100</v>
      </c>
      <c r="AF449" s="85">
        <v>799.48</v>
      </c>
      <c r="AG449" s="87">
        <v>5080</v>
      </c>
      <c r="AH449" s="85">
        <v>217.697</v>
      </c>
      <c r="AI449" s="87">
        <v>5080</v>
      </c>
      <c r="AJ449" s="85">
        <v>228.00200000000001</v>
      </c>
    </row>
    <row r="450" spans="1:36" ht="14.25" customHeight="1">
      <c r="A450" s="88">
        <v>5110</v>
      </c>
      <c r="B450" s="84">
        <v>461.99700000000001</v>
      </c>
      <c r="C450" s="88">
        <v>5120</v>
      </c>
      <c r="D450" s="85">
        <v>458.60899999999998</v>
      </c>
      <c r="E450" s="86">
        <v>5110</v>
      </c>
      <c r="F450" s="85">
        <v>1007.766</v>
      </c>
      <c r="G450" s="87">
        <v>5110</v>
      </c>
      <c r="H450" s="85">
        <v>1007.261</v>
      </c>
      <c r="I450" s="87">
        <v>5110</v>
      </c>
      <c r="J450" s="85">
        <v>874.68600000000004</v>
      </c>
      <c r="K450" s="87">
        <v>5110</v>
      </c>
      <c r="L450" s="85">
        <v>874.34799999999996</v>
      </c>
      <c r="M450" s="87">
        <v>5110</v>
      </c>
      <c r="N450" s="85">
        <v>874.50300000000004</v>
      </c>
      <c r="O450" s="87">
        <v>5090</v>
      </c>
      <c r="P450" s="85">
        <v>875.65800000000002</v>
      </c>
      <c r="Q450" s="87">
        <v>5110</v>
      </c>
      <c r="R450" s="85">
        <v>875.24699999999996</v>
      </c>
      <c r="S450" s="87">
        <v>5110</v>
      </c>
      <c r="T450" s="85">
        <v>875.83399999999995</v>
      </c>
      <c r="U450" s="87">
        <v>5100</v>
      </c>
      <c r="V450" s="84">
        <v>874.79600000000005</v>
      </c>
      <c r="W450" s="87">
        <v>5110</v>
      </c>
      <c r="X450" s="85">
        <v>874.49900000000002</v>
      </c>
      <c r="Y450" s="87">
        <v>5110</v>
      </c>
      <c r="Z450" s="85">
        <v>872.971</v>
      </c>
      <c r="AA450" s="87">
        <v>5110</v>
      </c>
      <c r="AB450" s="85">
        <v>872.90899999999999</v>
      </c>
      <c r="AC450" s="87">
        <v>5100</v>
      </c>
      <c r="AD450" s="85">
        <v>796.86400000000003</v>
      </c>
      <c r="AE450" s="87">
        <v>5110</v>
      </c>
      <c r="AF450" s="85">
        <v>798.27</v>
      </c>
      <c r="AG450" s="87">
        <v>5090</v>
      </c>
      <c r="AH450" s="85">
        <v>217.303</v>
      </c>
      <c r="AI450" s="87">
        <v>5090</v>
      </c>
      <c r="AJ450" s="85">
        <v>227.59399999999999</v>
      </c>
    </row>
    <row r="451" spans="1:36" ht="14.25" customHeight="1">
      <c r="A451" s="88">
        <v>5120</v>
      </c>
      <c r="B451" s="84">
        <v>461.21300000000002</v>
      </c>
      <c r="C451" s="88">
        <v>5130</v>
      </c>
      <c r="D451" s="85">
        <v>457.83</v>
      </c>
      <c r="E451" s="86">
        <v>5120</v>
      </c>
      <c r="F451" s="85">
        <v>1006.271</v>
      </c>
      <c r="G451" s="87">
        <v>5120</v>
      </c>
      <c r="H451" s="85">
        <v>1005.769</v>
      </c>
      <c r="I451" s="87">
        <v>5120</v>
      </c>
      <c r="J451" s="85">
        <v>873.47299999999996</v>
      </c>
      <c r="K451" s="87">
        <v>5120</v>
      </c>
      <c r="L451" s="85">
        <v>873.13499999999999</v>
      </c>
      <c r="M451" s="87">
        <v>5120</v>
      </c>
      <c r="N451" s="85">
        <v>873.29</v>
      </c>
      <c r="O451" s="87">
        <v>5100</v>
      </c>
      <c r="P451" s="85">
        <v>874.44500000000005</v>
      </c>
      <c r="Q451" s="87">
        <v>5120</v>
      </c>
      <c r="R451" s="85">
        <v>874.03399999999999</v>
      </c>
      <c r="S451" s="87">
        <v>5120</v>
      </c>
      <c r="T451" s="85">
        <v>874.62199999999996</v>
      </c>
      <c r="U451" s="87">
        <v>5110</v>
      </c>
      <c r="V451" s="84">
        <v>873.58600000000001</v>
      </c>
      <c r="W451" s="87">
        <v>5120</v>
      </c>
      <c r="X451" s="85">
        <v>873.28800000000001</v>
      </c>
      <c r="Y451" s="87">
        <v>5120</v>
      </c>
      <c r="Z451" s="85">
        <v>871.75900000000001</v>
      </c>
      <c r="AA451" s="87">
        <v>5120</v>
      </c>
      <c r="AB451" s="85">
        <v>871.69899999999996</v>
      </c>
      <c r="AC451" s="87">
        <v>5110</v>
      </c>
      <c r="AD451" s="85">
        <v>795.654</v>
      </c>
      <c r="AE451" s="87">
        <v>5120</v>
      </c>
      <c r="AF451" s="85">
        <v>797.06</v>
      </c>
      <c r="AG451" s="87">
        <v>5100</v>
      </c>
      <c r="AH451" s="85">
        <v>216.90799999999999</v>
      </c>
      <c r="AI451" s="87">
        <v>5100</v>
      </c>
      <c r="AJ451" s="85">
        <v>227.18600000000001</v>
      </c>
    </row>
    <row r="452" spans="1:36" ht="14.25" customHeight="1">
      <c r="A452" s="88">
        <v>5130</v>
      </c>
      <c r="B452" s="84">
        <v>460.42899999999997</v>
      </c>
      <c r="C452" s="88">
        <v>5140</v>
      </c>
      <c r="D452" s="85">
        <v>457.05099999999999</v>
      </c>
      <c r="E452" s="86">
        <v>5130</v>
      </c>
      <c r="F452" s="85">
        <v>1004.775</v>
      </c>
      <c r="G452" s="87">
        <v>5130</v>
      </c>
      <c r="H452" s="85">
        <v>1004.277</v>
      </c>
      <c r="I452" s="87">
        <v>5130</v>
      </c>
      <c r="J452" s="85">
        <v>872.26</v>
      </c>
      <c r="K452" s="87">
        <v>5130</v>
      </c>
      <c r="L452" s="85">
        <v>871.92100000000005</v>
      </c>
      <c r="M452" s="87">
        <v>5130</v>
      </c>
      <c r="N452" s="85">
        <v>872.07799999999997</v>
      </c>
      <c r="O452" s="87">
        <v>5110</v>
      </c>
      <c r="P452" s="85">
        <v>873.23199999999997</v>
      </c>
      <c r="Q452" s="87">
        <v>5130</v>
      </c>
      <c r="R452" s="85">
        <v>872.822</v>
      </c>
      <c r="S452" s="87">
        <v>5130</v>
      </c>
      <c r="T452" s="85">
        <v>873.41</v>
      </c>
      <c r="U452" s="87">
        <v>5120</v>
      </c>
      <c r="V452" s="84">
        <v>872.37599999999998</v>
      </c>
      <c r="W452" s="87">
        <v>5130</v>
      </c>
      <c r="X452" s="85">
        <v>872.077</v>
      </c>
      <c r="Y452" s="87">
        <v>5130</v>
      </c>
      <c r="Z452" s="85">
        <v>870.548</v>
      </c>
      <c r="AA452" s="87">
        <v>5130</v>
      </c>
      <c r="AB452" s="85">
        <v>870.48900000000003</v>
      </c>
      <c r="AC452" s="87">
        <v>5120</v>
      </c>
      <c r="AD452" s="85">
        <v>794.44299999999998</v>
      </c>
      <c r="AE452" s="87">
        <v>5130</v>
      </c>
      <c r="AF452" s="85">
        <v>795.851</v>
      </c>
      <c r="AG452" s="87">
        <v>5110</v>
      </c>
      <c r="AH452" s="85">
        <v>216.51400000000001</v>
      </c>
      <c r="AI452" s="87">
        <v>5110</v>
      </c>
      <c r="AJ452" s="85">
        <v>226.77799999999999</v>
      </c>
    </row>
    <row r="453" spans="1:36" ht="14.25" customHeight="1">
      <c r="A453" s="88">
        <v>5140</v>
      </c>
      <c r="B453" s="84">
        <v>459.64400000000001</v>
      </c>
      <c r="C453" s="88">
        <v>5150</v>
      </c>
      <c r="D453" s="85">
        <v>456.27300000000002</v>
      </c>
      <c r="E453" s="86">
        <v>5140</v>
      </c>
      <c r="F453" s="85">
        <v>1003.279</v>
      </c>
      <c r="G453" s="87">
        <v>5140</v>
      </c>
      <c r="H453" s="85">
        <v>1002.785</v>
      </c>
      <c r="I453" s="87">
        <v>5140</v>
      </c>
      <c r="J453" s="85">
        <v>871.04700000000003</v>
      </c>
      <c r="K453" s="87">
        <v>5140</v>
      </c>
      <c r="L453" s="85">
        <v>870.70699999999999</v>
      </c>
      <c r="M453" s="87">
        <v>5140</v>
      </c>
      <c r="N453" s="85">
        <v>870.86500000000001</v>
      </c>
      <c r="O453" s="87">
        <v>5120</v>
      </c>
      <c r="P453" s="85">
        <v>872.01900000000001</v>
      </c>
      <c r="Q453" s="87">
        <v>5140</v>
      </c>
      <c r="R453" s="85">
        <v>871.60900000000004</v>
      </c>
      <c r="S453" s="87">
        <v>5140</v>
      </c>
      <c r="T453" s="85">
        <v>872.19799999999998</v>
      </c>
      <c r="U453" s="87">
        <v>5130</v>
      </c>
      <c r="V453" s="84">
        <v>871.16700000000003</v>
      </c>
      <c r="W453" s="87">
        <v>5140</v>
      </c>
      <c r="X453" s="85">
        <v>870.86699999999996</v>
      </c>
      <c r="Y453" s="87">
        <v>5140</v>
      </c>
      <c r="Z453" s="85">
        <v>869.33600000000001</v>
      </c>
      <c r="AA453" s="87">
        <v>5140</v>
      </c>
      <c r="AB453" s="85">
        <v>869.279</v>
      </c>
      <c r="AC453" s="87">
        <v>5130</v>
      </c>
      <c r="AD453" s="85">
        <v>793.23199999999997</v>
      </c>
      <c r="AE453" s="87">
        <v>5140</v>
      </c>
      <c r="AF453" s="85">
        <v>794.64099999999996</v>
      </c>
      <c r="AG453" s="87">
        <v>5120</v>
      </c>
      <c r="AH453" s="85">
        <v>216.12</v>
      </c>
      <c r="AI453" s="87">
        <v>5120</v>
      </c>
      <c r="AJ453" s="85">
        <v>226.369</v>
      </c>
    </row>
    <row r="454" spans="1:36" ht="14.25" customHeight="1">
      <c r="A454" s="88">
        <v>5150</v>
      </c>
      <c r="B454" s="84">
        <v>458.86</v>
      </c>
      <c r="C454" s="88">
        <v>5160</v>
      </c>
      <c r="D454" s="85">
        <v>455.49400000000003</v>
      </c>
      <c r="E454" s="86">
        <v>5150</v>
      </c>
      <c r="F454" s="85">
        <v>1001.784</v>
      </c>
      <c r="G454" s="87">
        <v>5150</v>
      </c>
      <c r="H454" s="85">
        <v>1001.293</v>
      </c>
      <c r="I454" s="87">
        <v>5150</v>
      </c>
      <c r="J454" s="85">
        <v>869.83399999999995</v>
      </c>
      <c r="K454" s="87">
        <v>5150</v>
      </c>
      <c r="L454" s="85">
        <v>869.49400000000003</v>
      </c>
      <c r="M454" s="87">
        <v>5150</v>
      </c>
      <c r="N454" s="85">
        <v>869.65200000000004</v>
      </c>
      <c r="O454" s="87">
        <v>5130</v>
      </c>
      <c r="P454" s="85">
        <v>870.80600000000004</v>
      </c>
      <c r="Q454" s="87">
        <v>5150</v>
      </c>
      <c r="R454" s="85">
        <v>870.39599999999996</v>
      </c>
      <c r="S454" s="87">
        <v>5150</v>
      </c>
      <c r="T454" s="85">
        <v>870.98500000000001</v>
      </c>
      <c r="U454" s="87">
        <v>5140</v>
      </c>
      <c r="V454" s="84">
        <v>869.95699999999999</v>
      </c>
      <c r="W454" s="87">
        <v>5150</v>
      </c>
      <c r="X454" s="85">
        <v>869.65599999999995</v>
      </c>
      <c r="Y454" s="87">
        <v>5150</v>
      </c>
      <c r="Z454" s="85">
        <v>868.125</v>
      </c>
      <c r="AA454" s="87">
        <v>5150</v>
      </c>
      <c r="AB454" s="85">
        <v>868.06899999999996</v>
      </c>
      <c r="AC454" s="87">
        <v>5140</v>
      </c>
      <c r="AD454" s="85">
        <v>792.02099999999996</v>
      </c>
      <c r="AE454" s="87">
        <v>5150</v>
      </c>
      <c r="AF454" s="85">
        <v>793.43100000000004</v>
      </c>
      <c r="AG454" s="87">
        <v>5130</v>
      </c>
      <c r="AH454" s="85">
        <v>215.726</v>
      </c>
      <c r="AI454" s="87">
        <v>5130</v>
      </c>
      <c r="AJ454" s="85">
        <v>225.96100000000001</v>
      </c>
    </row>
    <row r="455" spans="1:36" ht="14.25" customHeight="1">
      <c r="A455" s="88">
        <v>5160</v>
      </c>
      <c r="B455" s="84">
        <v>458.077</v>
      </c>
      <c r="C455" s="88">
        <v>5170</v>
      </c>
      <c r="D455" s="85">
        <v>454.71600000000001</v>
      </c>
      <c r="E455" s="86">
        <v>5160</v>
      </c>
      <c r="F455" s="85">
        <v>1000.289</v>
      </c>
      <c r="G455" s="87">
        <v>5160</v>
      </c>
      <c r="H455" s="85">
        <v>999.80200000000002</v>
      </c>
      <c r="I455" s="87">
        <v>5160</v>
      </c>
      <c r="J455" s="85">
        <v>868.62099999999998</v>
      </c>
      <c r="K455" s="87">
        <v>5160</v>
      </c>
      <c r="L455" s="85">
        <v>868.28</v>
      </c>
      <c r="M455" s="87">
        <v>5160</v>
      </c>
      <c r="N455" s="85">
        <v>868.43899999999996</v>
      </c>
      <c r="O455" s="87">
        <v>5140</v>
      </c>
      <c r="P455" s="85">
        <v>869.59299999999996</v>
      </c>
      <c r="Q455" s="87">
        <v>5160</v>
      </c>
      <c r="R455" s="85">
        <v>869.18299999999999</v>
      </c>
      <c r="S455" s="87">
        <v>5160</v>
      </c>
      <c r="T455" s="85">
        <v>869.77300000000002</v>
      </c>
      <c r="U455" s="87">
        <v>5150</v>
      </c>
      <c r="V455" s="84">
        <v>868.74699999999996</v>
      </c>
      <c r="W455" s="87">
        <v>5160</v>
      </c>
      <c r="X455" s="85">
        <v>868.44500000000005</v>
      </c>
      <c r="Y455" s="87">
        <v>5160</v>
      </c>
      <c r="Z455" s="85">
        <v>866.91399999999999</v>
      </c>
      <c r="AA455" s="87">
        <v>5160</v>
      </c>
      <c r="AB455" s="85">
        <v>866.85900000000004</v>
      </c>
      <c r="AC455" s="87">
        <v>5150</v>
      </c>
      <c r="AD455" s="85">
        <v>790.81100000000004</v>
      </c>
      <c r="AE455" s="87">
        <v>5160</v>
      </c>
      <c r="AF455" s="85">
        <v>792.22199999999998</v>
      </c>
      <c r="AG455" s="87">
        <v>5140</v>
      </c>
      <c r="AH455" s="85">
        <v>215.33199999999999</v>
      </c>
      <c r="AI455" s="87">
        <v>5140</v>
      </c>
      <c r="AJ455" s="85">
        <v>225.553</v>
      </c>
    </row>
    <row r="456" spans="1:36" ht="14.25" customHeight="1">
      <c r="A456" s="88">
        <v>5170</v>
      </c>
      <c r="B456" s="84">
        <v>457.29300000000001</v>
      </c>
      <c r="C456" s="88">
        <v>5180</v>
      </c>
      <c r="D456" s="85">
        <v>453.93799999999999</v>
      </c>
      <c r="E456" s="86">
        <v>5170</v>
      </c>
      <c r="F456" s="85">
        <v>998.79399999999998</v>
      </c>
      <c r="G456" s="87">
        <v>5170</v>
      </c>
      <c r="H456" s="85">
        <v>998.31100000000004</v>
      </c>
      <c r="I456" s="87">
        <v>5170</v>
      </c>
      <c r="J456" s="85">
        <v>867.40800000000002</v>
      </c>
      <c r="K456" s="87">
        <v>5170</v>
      </c>
      <c r="L456" s="85">
        <v>867.06600000000003</v>
      </c>
      <c r="M456" s="87">
        <v>5170</v>
      </c>
      <c r="N456" s="85">
        <v>867.22699999999998</v>
      </c>
      <c r="O456" s="87">
        <v>5150</v>
      </c>
      <c r="P456" s="85">
        <v>868.38</v>
      </c>
      <c r="Q456" s="87">
        <v>5170</v>
      </c>
      <c r="R456" s="85">
        <v>867.97</v>
      </c>
      <c r="S456" s="87">
        <v>5170</v>
      </c>
      <c r="T456" s="85">
        <v>868.56100000000004</v>
      </c>
      <c r="U456" s="87">
        <v>5160</v>
      </c>
      <c r="V456" s="84">
        <v>867.53700000000003</v>
      </c>
      <c r="W456" s="87">
        <v>5170</v>
      </c>
      <c r="X456" s="85">
        <v>867.23400000000004</v>
      </c>
      <c r="Y456" s="87">
        <v>5170</v>
      </c>
      <c r="Z456" s="85">
        <v>865.702</v>
      </c>
      <c r="AA456" s="87">
        <v>5170</v>
      </c>
      <c r="AB456" s="85">
        <v>865.649</v>
      </c>
      <c r="AC456" s="87">
        <v>5160</v>
      </c>
      <c r="AD456" s="85">
        <v>789.6</v>
      </c>
      <c r="AE456" s="87">
        <v>5170</v>
      </c>
      <c r="AF456" s="85">
        <v>791.01199999999994</v>
      </c>
      <c r="AG456" s="87">
        <v>5150</v>
      </c>
      <c r="AH456" s="85">
        <v>214.93799999999999</v>
      </c>
      <c r="AI456" s="87">
        <v>5150</v>
      </c>
      <c r="AJ456" s="85">
        <v>225.14500000000001</v>
      </c>
    </row>
    <row r="457" spans="1:36" ht="14.25" customHeight="1">
      <c r="A457" s="88">
        <v>5180</v>
      </c>
      <c r="B457" s="84">
        <v>456.50900000000001</v>
      </c>
      <c r="C457" s="88">
        <v>5190</v>
      </c>
      <c r="D457" s="85">
        <v>453.16</v>
      </c>
      <c r="E457" s="86">
        <v>5180</v>
      </c>
      <c r="F457" s="85">
        <v>997.29899999999998</v>
      </c>
      <c r="G457" s="87">
        <v>5180</v>
      </c>
      <c r="H457" s="85">
        <v>996.81899999999996</v>
      </c>
      <c r="I457" s="87">
        <v>5180</v>
      </c>
      <c r="J457" s="85">
        <v>866.19500000000005</v>
      </c>
      <c r="K457" s="87">
        <v>5180</v>
      </c>
      <c r="L457" s="85">
        <v>865.85299999999995</v>
      </c>
      <c r="M457" s="87">
        <v>5180</v>
      </c>
      <c r="N457" s="85">
        <v>866.01400000000001</v>
      </c>
      <c r="O457" s="87">
        <v>5160</v>
      </c>
      <c r="P457" s="85">
        <v>867.16700000000003</v>
      </c>
      <c r="Q457" s="87">
        <v>5180</v>
      </c>
      <c r="R457" s="85">
        <v>866.75699999999995</v>
      </c>
      <c r="S457" s="87">
        <v>5180</v>
      </c>
      <c r="T457" s="85">
        <v>867.34799999999996</v>
      </c>
      <c r="U457" s="87">
        <v>5170</v>
      </c>
      <c r="V457" s="84">
        <v>866.327</v>
      </c>
      <c r="W457" s="87">
        <v>5180</v>
      </c>
      <c r="X457" s="85">
        <v>866.02300000000002</v>
      </c>
      <c r="Y457" s="87">
        <v>5180</v>
      </c>
      <c r="Z457" s="85">
        <v>864.49099999999999</v>
      </c>
      <c r="AA457" s="87">
        <v>5180</v>
      </c>
      <c r="AB457" s="85">
        <v>864.43899999999996</v>
      </c>
      <c r="AC457" s="87">
        <v>5170</v>
      </c>
      <c r="AD457" s="85">
        <v>788.38900000000001</v>
      </c>
      <c r="AE457" s="87">
        <v>5180</v>
      </c>
      <c r="AF457" s="85">
        <v>789.80200000000002</v>
      </c>
      <c r="AG457" s="87">
        <v>5160</v>
      </c>
      <c r="AH457" s="85">
        <v>214.54400000000001</v>
      </c>
      <c r="AI457" s="87">
        <v>5160</v>
      </c>
      <c r="AJ457" s="85">
        <v>224.73699999999999</v>
      </c>
    </row>
    <row r="458" spans="1:36" ht="14.25" customHeight="1">
      <c r="A458" s="88">
        <v>5190</v>
      </c>
      <c r="B458" s="84">
        <v>455.726</v>
      </c>
      <c r="C458" s="88">
        <v>5200</v>
      </c>
      <c r="D458" s="85">
        <v>452.38200000000001</v>
      </c>
      <c r="E458" s="86">
        <v>5190</v>
      </c>
      <c r="F458" s="85">
        <v>995.80399999999997</v>
      </c>
      <c r="G458" s="87">
        <v>5190</v>
      </c>
      <c r="H458" s="85">
        <v>995.32799999999997</v>
      </c>
      <c r="I458" s="87">
        <v>5190</v>
      </c>
      <c r="J458" s="85">
        <v>864.98199999999997</v>
      </c>
      <c r="K458" s="87">
        <v>5190</v>
      </c>
      <c r="L458" s="85">
        <v>864.63900000000001</v>
      </c>
      <c r="M458" s="87">
        <v>5190</v>
      </c>
      <c r="N458" s="85">
        <v>864.80100000000004</v>
      </c>
      <c r="O458" s="87">
        <v>5170</v>
      </c>
      <c r="P458" s="85">
        <v>865.95399999999995</v>
      </c>
      <c r="Q458" s="87">
        <v>5190</v>
      </c>
      <c r="R458" s="85">
        <v>865.54399999999998</v>
      </c>
      <c r="S458" s="87">
        <v>5190</v>
      </c>
      <c r="T458" s="85">
        <v>866.13599999999997</v>
      </c>
      <c r="U458" s="87">
        <v>5180</v>
      </c>
      <c r="V458" s="84">
        <v>865.11800000000005</v>
      </c>
      <c r="W458" s="87">
        <v>5190</v>
      </c>
      <c r="X458" s="85">
        <v>864.81299999999999</v>
      </c>
      <c r="Y458" s="87">
        <v>5190</v>
      </c>
      <c r="Z458" s="85">
        <v>863.279</v>
      </c>
      <c r="AA458" s="87">
        <v>5190</v>
      </c>
      <c r="AB458" s="85">
        <v>863.22900000000004</v>
      </c>
      <c r="AC458" s="87">
        <v>5180</v>
      </c>
      <c r="AD458" s="85">
        <v>787.178</v>
      </c>
      <c r="AE458" s="87">
        <v>5190</v>
      </c>
      <c r="AF458" s="85">
        <v>788.59299999999996</v>
      </c>
      <c r="AG458" s="87">
        <v>5170</v>
      </c>
      <c r="AH458" s="85">
        <v>214.15</v>
      </c>
      <c r="AI458" s="87">
        <v>5170</v>
      </c>
      <c r="AJ458" s="85">
        <v>224.33</v>
      </c>
    </row>
    <row r="459" spans="1:36" ht="14.25" customHeight="1">
      <c r="A459" s="88">
        <v>5200</v>
      </c>
      <c r="B459" s="84">
        <v>454.94299999999998</v>
      </c>
      <c r="C459" s="88">
        <v>5210</v>
      </c>
      <c r="D459" s="85">
        <v>451.60500000000002</v>
      </c>
      <c r="E459" s="86">
        <v>5200</v>
      </c>
      <c r="F459" s="85">
        <v>994.30899999999997</v>
      </c>
      <c r="G459" s="87">
        <v>5200</v>
      </c>
      <c r="H459" s="85">
        <v>993.83699999999999</v>
      </c>
      <c r="I459" s="87">
        <v>5200</v>
      </c>
      <c r="J459" s="85">
        <v>863.76900000000001</v>
      </c>
      <c r="K459" s="87">
        <v>5200</v>
      </c>
      <c r="L459" s="85">
        <v>863.42499999999995</v>
      </c>
      <c r="M459" s="87">
        <v>5200</v>
      </c>
      <c r="N459" s="85">
        <v>863.58799999999997</v>
      </c>
      <c r="O459" s="87">
        <v>5180</v>
      </c>
      <c r="P459" s="85">
        <v>864.74099999999999</v>
      </c>
      <c r="Q459" s="87">
        <v>5200</v>
      </c>
      <c r="R459" s="85">
        <v>864.33199999999999</v>
      </c>
      <c r="S459" s="87">
        <v>5200</v>
      </c>
      <c r="T459" s="85">
        <v>864.92399999999998</v>
      </c>
      <c r="U459" s="87">
        <v>5190</v>
      </c>
      <c r="V459" s="84">
        <v>863.90800000000002</v>
      </c>
      <c r="W459" s="87">
        <v>5200</v>
      </c>
      <c r="X459" s="85">
        <v>863.60199999999998</v>
      </c>
      <c r="Y459" s="87">
        <v>5200</v>
      </c>
      <c r="Z459" s="85">
        <v>862.06799999999998</v>
      </c>
      <c r="AA459" s="87">
        <v>5200</v>
      </c>
      <c r="AB459" s="85">
        <v>862.01900000000001</v>
      </c>
      <c r="AC459" s="87">
        <v>5190</v>
      </c>
      <c r="AD459" s="85">
        <v>785.96799999999996</v>
      </c>
      <c r="AE459" s="87">
        <v>5200</v>
      </c>
      <c r="AF459" s="85">
        <v>787.38300000000004</v>
      </c>
      <c r="AG459" s="87">
        <v>5180</v>
      </c>
      <c r="AH459" s="85">
        <v>213.75700000000001</v>
      </c>
      <c r="AI459" s="87">
        <v>5180</v>
      </c>
      <c r="AJ459" s="85">
        <v>223.922</v>
      </c>
    </row>
    <row r="460" spans="1:36" ht="14.25" customHeight="1">
      <c r="A460" s="88">
        <v>5210</v>
      </c>
      <c r="B460" s="84">
        <v>454.16</v>
      </c>
      <c r="C460" s="88">
        <v>5220</v>
      </c>
      <c r="D460" s="85">
        <v>450.827</v>
      </c>
      <c r="E460" s="86">
        <v>5210</v>
      </c>
      <c r="F460" s="85">
        <v>992.81500000000005</v>
      </c>
      <c r="G460" s="87">
        <v>5210</v>
      </c>
      <c r="H460" s="85">
        <v>992.346</v>
      </c>
      <c r="I460" s="87">
        <v>5210</v>
      </c>
      <c r="J460" s="85">
        <v>862.55600000000004</v>
      </c>
      <c r="K460" s="87">
        <v>5210</v>
      </c>
      <c r="L460" s="85">
        <v>862.21199999999999</v>
      </c>
      <c r="M460" s="87">
        <v>5210</v>
      </c>
      <c r="N460" s="85">
        <v>862.37599999999998</v>
      </c>
      <c r="O460" s="87">
        <v>5190</v>
      </c>
      <c r="P460" s="85">
        <v>863.52800000000002</v>
      </c>
      <c r="Q460" s="87">
        <v>5210</v>
      </c>
      <c r="R460" s="85">
        <v>863.11900000000003</v>
      </c>
      <c r="S460" s="87">
        <v>5210</v>
      </c>
      <c r="T460" s="85">
        <v>863.71199999999999</v>
      </c>
      <c r="U460" s="87">
        <v>5200</v>
      </c>
      <c r="V460" s="84">
        <v>862.69799999999998</v>
      </c>
      <c r="W460" s="87">
        <v>5210</v>
      </c>
      <c r="X460" s="85">
        <v>862.39099999999996</v>
      </c>
      <c r="Y460" s="87">
        <v>5210</v>
      </c>
      <c r="Z460" s="85">
        <v>860.85699999999997</v>
      </c>
      <c r="AA460" s="87">
        <v>5210</v>
      </c>
      <c r="AB460" s="85">
        <v>860.80899999999997</v>
      </c>
      <c r="AC460" s="87">
        <v>5200</v>
      </c>
      <c r="AD460" s="85">
        <v>784.75699999999995</v>
      </c>
      <c r="AE460" s="87">
        <v>5210</v>
      </c>
      <c r="AF460" s="85">
        <v>786.173</v>
      </c>
      <c r="AG460" s="87">
        <v>5190</v>
      </c>
      <c r="AH460" s="85">
        <v>213.363</v>
      </c>
      <c r="AI460" s="87">
        <v>5190</v>
      </c>
      <c r="AJ460" s="85">
        <v>223.51400000000001</v>
      </c>
    </row>
    <row r="461" spans="1:36" ht="14.25" customHeight="1">
      <c r="A461" s="88">
        <v>5220</v>
      </c>
      <c r="B461" s="84">
        <v>453.37700000000001</v>
      </c>
      <c r="C461" s="88">
        <v>5230</v>
      </c>
      <c r="D461" s="85">
        <v>450.05</v>
      </c>
      <c r="E461" s="86">
        <v>5220</v>
      </c>
      <c r="F461" s="85">
        <v>991.32</v>
      </c>
      <c r="G461" s="87">
        <v>5220</v>
      </c>
      <c r="H461" s="85">
        <v>990.85500000000002</v>
      </c>
      <c r="I461" s="87">
        <v>5220</v>
      </c>
      <c r="J461" s="85">
        <v>861.34299999999996</v>
      </c>
      <c r="K461" s="87">
        <v>5220</v>
      </c>
      <c r="L461" s="85">
        <v>860.99800000000005</v>
      </c>
      <c r="M461" s="87">
        <v>5220</v>
      </c>
      <c r="N461" s="85">
        <v>861.16300000000001</v>
      </c>
      <c r="O461" s="87">
        <v>5200</v>
      </c>
      <c r="P461" s="85">
        <v>862.31500000000005</v>
      </c>
      <c r="Q461" s="87">
        <v>5220</v>
      </c>
      <c r="R461" s="85">
        <v>861.90599999999995</v>
      </c>
      <c r="S461" s="87">
        <v>5220</v>
      </c>
      <c r="T461" s="85">
        <v>862.49900000000002</v>
      </c>
      <c r="U461" s="87">
        <v>5210</v>
      </c>
      <c r="V461" s="84">
        <v>861.48800000000006</v>
      </c>
      <c r="W461" s="87">
        <v>5220</v>
      </c>
      <c r="X461" s="85">
        <v>861.18</v>
      </c>
      <c r="Y461" s="87">
        <v>5220</v>
      </c>
      <c r="Z461" s="85">
        <v>859.64499999999998</v>
      </c>
      <c r="AA461" s="87">
        <v>5220</v>
      </c>
      <c r="AB461" s="85">
        <v>859.59900000000005</v>
      </c>
      <c r="AC461" s="87">
        <v>5210</v>
      </c>
      <c r="AD461" s="85">
        <v>783.54600000000005</v>
      </c>
      <c r="AE461" s="87">
        <v>5220</v>
      </c>
      <c r="AF461" s="85">
        <v>784.96400000000006</v>
      </c>
      <c r="AG461" s="87">
        <v>5200</v>
      </c>
      <c r="AH461" s="85">
        <v>212.96899999999999</v>
      </c>
      <c r="AI461" s="87">
        <v>5200</v>
      </c>
      <c r="AJ461" s="85">
        <v>223.10599999999999</v>
      </c>
    </row>
    <row r="462" spans="1:36" ht="14.25" customHeight="1">
      <c r="A462" s="88">
        <v>5230</v>
      </c>
      <c r="B462" s="84">
        <v>452.59500000000003</v>
      </c>
      <c r="C462" s="88">
        <v>5240</v>
      </c>
      <c r="D462" s="85">
        <v>449.27300000000002</v>
      </c>
      <c r="E462" s="86">
        <v>5230</v>
      </c>
      <c r="F462" s="85">
        <v>989.82600000000002</v>
      </c>
      <c r="G462" s="87">
        <v>5230</v>
      </c>
      <c r="H462" s="85">
        <v>989.36500000000001</v>
      </c>
      <c r="I462" s="87">
        <v>5230</v>
      </c>
      <c r="J462" s="85">
        <v>860.13</v>
      </c>
      <c r="K462" s="87">
        <v>5230</v>
      </c>
      <c r="L462" s="85">
        <v>859.78399999999999</v>
      </c>
      <c r="M462" s="87">
        <v>5230</v>
      </c>
      <c r="N462" s="85">
        <v>859.95</v>
      </c>
      <c r="O462" s="87">
        <v>5210</v>
      </c>
      <c r="P462" s="85">
        <v>861.10199999999998</v>
      </c>
      <c r="Q462" s="87">
        <v>5230</v>
      </c>
      <c r="R462" s="85">
        <v>860.69299999999998</v>
      </c>
      <c r="S462" s="87">
        <v>5230</v>
      </c>
      <c r="T462" s="85">
        <v>861.28700000000003</v>
      </c>
      <c r="U462" s="87">
        <v>5220</v>
      </c>
      <c r="V462" s="84">
        <v>860.27800000000002</v>
      </c>
      <c r="W462" s="87">
        <v>5230</v>
      </c>
      <c r="X462" s="85">
        <v>859.97</v>
      </c>
      <c r="Y462" s="87">
        <v>5230</v>
      </c>
      <c r="Z462" s="85">
        <v>858.43399999999997</v>
      </c>
      <c r="AA462" s="87">
        <v>5230</v>
      </c>
      <c r="AB462" s="85">
        <v>858.38900000000001</v>
      </c>
      <c r="AC462" s="87">
        <v>5220</v>
      </c>
      <c r="AD462" s="85">
        <v>782.33500000000004</v>
      </c>
      <c r="AE462" s="87">
        <v>5230</v>
      </c>
      <c r="AF462" s="85">
        <v>783.75400000000002</v>
      </c>
      <c r="AG462" s="87">
        <v>5210</v>
      </c>
      <c r="AH462" s="85">
        <v>212.57499999999999</v>
      </c>
      <c r="AI462" s="87">
        <v>5210</v>
      </c>
      <c r="AJ462" s="85">
        <v>222.69800000000001</v>
      </c>
    </row>
    <row r="463" spans="1:36" ht="14.25" customHeight="1">
      <c r="A463" s="88">
        <v>5240</v>
      </c>
      <c r="B463" s="84">
        <v>451.81200000000001</v>
      </c>
      <c r="C463" s="88">
        <v>5250</v>
      </c>
      <c r="D463" s="85">
        <v>448.49599999999998</v>
      </c>
      <c r="E463" s="86">
        <v>5240</v>
      </c>
      <c r="F463" s="85">
        <v>988.33199999999999</v>
      </c>
      <c r="G463" s="87">
        <v>5240</v>
      </c>
      <c r="H463" s="85">
        <v>987.87400000000002</v>
      </c>
      <c r="I463" s="87">
        <v>5240</v>
      </c>
      <c r="J463" s="85">
        <v>858.91700000000003</v>
      </c>
      <c r="K463" s="87">
        <v>5240</v>
      </c>
      <c r="L463" s="85">
        <v>858.57100000000003</v>
      </c>
      <c r="M463" s="87">
        <v>5240</v>
      </c>
      <c r="N463" s="85">
        <v>858.73699999999997</v>
      </c>
      <c r="O463" s="87">
        <v>5220</v>
      </c>
      <c r="P463" s="85">
        <v>859.88900000000001</v>
      </c>
      <c r="Q463" s="87">
        <v>5240</v>
      </c>
      <c r="R463" s="85">
        <v>859.48</v>
      </c>
      <c r="S463" s="87">
        <v>5240</v>
      </c>
      <c r="T463" s="85">
        <v>860.07500000000005</v>
      </c>
      <c r="U463" s="87">
        <v>5230</v>
      </c>
      <c r="V463" s="84">
        <v>859.06799999999998</v>
      </c>
      <c r="W463" s="87">
        <v>5240</v>
      </c>
      <c r="X463" s="85">
        <v>858.75900000000001</v>
      </c>
      <c r="Y463" s="87">
        <v>5240</v>
      </c>
      <c r="Z463" s="85">
        <v>857.22199999999998</v>
      </c>
      <c r="AA463" s="87">
        <v>5240</v>
      </c>
      <c r="AB463" s="85">
        <v>857.17899999999997</v>
      </c>
      <c r="AC463" s="87">
        <v>5230</v>
      </c>
      <c r="AD463" s="85">
        <v>781.125</v>
      </c>
      <c r="AE463" s="87">
        <v>5240</v>
      </c>
      <c r="AF463" s="85">
        <v>782.54399999999998</v>
      </c>
      <c r="AG463" s="87">
        <v>5220</v>
      </c>
      <c r="AH463" s="85">
        <v>212.18199999999999</v>
      </c>
      <c r="AI463" s="87">
        <v>5220</v>
      </c>
      <c r="AJ463" s="85">
        <v>222.291</v>
      </c>
    </row>
    <row r="464" spans="1:36" ht="14.25" customHeight="1">
      <c r="A464" s="88">
        <v>5250</v>
      </c>
      <c r="B464" s="84">
        <v>451.03</v>
      </c>
      <c r="C464" s="88">
        <v>5260</v>
      </c>
      <c r="D464" s="85">
        <v>447.72</v>
      </c>
      <c r="E464" s="86">
        <v>5250</v>
      </c>
      <c r="F464" s="85">
        <v>986.83799999999997</v>
      </c>
      <c r="G464" s="87">
        <v>5250</v>
      </c>
      <c r="H464" s="85">
        <v>986.38400000000001</v>
      </c>
      <c r="I464" s="87">
        <v>5250</v>
      </c>
      <c r="J464" s="85">
        <v>857.70399999999995</v>
      </c>
      <c r="K464" s="87">
        <v>5250</v>
      </c>
      <c r="L464" s="85">
        <v>857.35699999999997</v>
      </c>
      <c r="M464" s="87">
        <v>5250</v>
      </c>
      <c r="N464" s="85">
        <v>857.52499999999998</v>
      </c>
      <c r="O464" s="87">
        <v>5230</v>
      </c>
      <c r="P464" s="85">
        <v>858.67600000000004</v>
      </c>
      <c r="Q464" s="87">
        <v>5250</v>
      </c>
      <c r="R464" s="85">
        <v>858.26700000000005</v>
      </c>
      <c r="S464" s="87">
        <v>5250</v>
      </c>
      <c r="T464" s="85">
        <v>858.86199999999997</v>
      </c>
      <c r="U464" s="87">
        <v>5240</v>
      </c>
      <c r="V464" s="84">
        <v>857.85900000000004</v>
      </c>
      <c r="W464" s="87">
        <v>5250</v>
      </c>
      <c r="X464" s="85">
        <v>857.548</v>
      </c>
      <c r="Y464" s="87">
        <v>5250</v>
      </c>
      <c r="Z464" s="85">
        <v>856.01099999999997</v>
      </c>
      <c r="AA464" s="87">
        <v>5250</v>
      </c>
      <c r="AB464" s="85">
        <v>855.96900000000005</v>
      </c>
      <c r="AC464" s="87">
        <v>5240</v>
      </c>
      <c r="AD464" s="85">
        <v>779.91399999999999</v>
      </c>
      <c r="AE464" s="87">
        <v>5250</v>
      </c>
      <c r="AF464" s="85">
        <v>781.33500000000004</v>
      </c>
      <c r="AG464" s="87">
        <v>5230</v>
      </c>
      <c r="AH464" s="85">
        <v>211.78800000000001</v>
      </c>
      <c r="AI464" s="87">
        <v>5230</v>
      </c>
      <c r="AJ464" s="85">
        <v>221.88300000000001</v>
      </c>
    </row>
    <row r="465" spans="1:36" ht="14.25" customHeight="1">
      <c r="A465" s="88">
        <v>5260</v>
      </c>
      <c r="B465" s="84">
        <v>450.24799999999999</v>
      </c>
      <c r="C465" s="88">
        <v>5270</v>
      </c>
      <c r="D465" s="85">
        <v>446.94299999999998</v>
      </c>
      <c r="E465" s="86">
        <v>5260</v>
      </c>
      <c r="F465" s="85">
        <v>985.34400000000005</v>
      </c>
      <c r="G465" s="87">
        <v>5260</v>
      </c>
      <c r="H465" s="85">
        <v>984.89300000000003</v>
      </c>
      <c r="I465" s="87">
        <v>5260</v>
      </c>
      <c r="J465" s="85">
        <v>856.49099999999999</v>
      </c>
      <c r="K465" s="87">
        <v>5260</v>
      </c>
      <c r="L465" s="85">
        <v>856.14300000000003</v>
      </c>
      <c r="M465" s="87">
        <v>5260</v>
      </c>
      <c r="N465" s="85">
        <v>856.31200000000001</v>
      </c>
      <c r="O465" s="87">
        <v>5240</v>
      </c>
      <c r="P465" s="85">
        <v>857.46299999999997</v>
      </c>
      <c r="Q465" s="87">
        <v>5260</v>
      </c>
      <c r="R465" s="85">
        <v>857.05399999999997</v>
      </c>
      <c r="S465" s="87">
        <v>5260</v>
      </c>
      <c r="T465" s="85">
        <v>857.65</v>
      </c>
      <c r="U465" s="87">
        <v>5250</v>
      </c>
      <c r="V465" s="84">
        <v>856.649</v>
      </c>
      <c r="W465" s="87">
        <v>5260</v>
      </c>
      <c r="X465" s="85">
        <v>856.33699999999999</v>
      </c>
      <c r="Y465" s="87">
        <v>5260</v>
      </c>
      <c r="Z465" s="85">
        <v>854.8</v>
      </c>
      <c r="AA465" s="87">
        <v>5260</v>
      </c>
      <c r="AB465" s="85">
        <v>854.75900000000001</v>
      </c>
      <c r="AC465" s="87">
        <v>5250</v>
      </c>
      <c r="AD465" s="85">
        <v>778.70299999999997</v>
      </c>
      <c r="AE465" s="87">
        <v>5260</v>
      </c>
      <c r="AF465" s="85">
        <v>780.125</v>
      </c>
      <c r="AG465" s="87">
        <v>5240</v>
      </c>
      <c r="AH465" s="85">
        <v>211.39500000000001</v>
      </c>
      <c r="AI465" s="87">
        <v>5240</v>
      </c>
      <c r="AJ465" s="85">
        <v>221.476</v>
      </c>
    </row>
    <row r="466" spans="1:36" ht="14.25" customHeight="1">
      <c r="A466" s="88">
        <v>5270</v>
      </c>
      <c r="B466" s="84">
        <v>449.46600000000001</v>
      </c>
      <c r="C466" s="88">
        <v>5280</v>
      </c>
      <c r="D466" s="85">
        <v>446.16699999999997</v>
      </c>
      <c r="E466" s="86">
        <v>5270</v>
      </c>
      <c r="F466" s="85">
        <v>983.85</v>
      </c>
      <c r="G466" s="87">
        <v>5270</v>
      </c>
      <c r="H466" s="85">
        <v>983.40300000000002</v>
      </c>
      <c r="I466" s="87">
        <v>5270</v>
      </c>
      <c r="J466" s="85">
        <v>855.27800000000002</v>
      </c>
      <c r="K466" s="87">
        <v>5270</v>
      </c>
      <c r="L466" s="85">
        <v>854.93</v>
      </c>
      <c r="M466" s="87">
        <v>5270</v>
      </c>
      <c r="N466" s="85">
        <v>855.09900000000005</v>
      </c>
      <c r="O466" s="87">
        <v>5250</v>
      </c>
      <c r="P466" s="85">
        <v>856.25</v>
      </c>
      <c r="Q466" s="87">
        <v>5270</v>
      </c>
      <c r="R466" s="85">
        <v>855.84199999999998</v>
      </c>
      <c r="S466" s="87">
        <v>5270</v>
      </c>
      <c r="T466" s="85">
        <v>856.43799999999999</v>
      </c>
      <c r="U466" s="87">
        <v>5260</v>
      </c>
      <c r="V466" s="84">
        <v>855.43899999999996</v>
      </c>
      <c r="W466" s="87">
        <v>5270</v>
      </c>
      <c r="X466" s="85">
        <v>855.12599999999998</v>
      </c>
      <c r="Y466" s="87">
        <v>5270</v>
      </c>
      <c r="Z466" s="85">
        <v>853.58799999999997</v>
      </c>
      <c r="AA466" s="87">
        <v>5270</v>
      </c>
      <c r="AB466" s="85">
        <v>853.54899999999998</v>
      </c>
      <c r="AC466" s="87">
        <v>5260</v>
      </c>
      <c r="AD466" s="85">
        <v>777.49199999999996</v>
      </c>
      <c r="AE466" s="87">
        <v>5270</v>
      </c>
      <c r="AF466" s="85">
        <v>778.91499999999996</v>
      </c>
      <c r="AG466" s="87">
        <v>5250</v>
      </c>
      <c r="AH466" s="85">
        <v>211.001</v>
      </c>
      <c r="AI466" s="87">
        <v>5250</v>
      </c>
      <c r="AJ466" s="85">
        <v>221.06800000000001</v>
      </c>
    </row>
    <row r="467" spans="1:36" ht="14.25" customHeight="1">
      <c r="A467" s="88">
        <v>5280</v>
      </c>
      <c r="B467" s="84">
        <v>448.685</v>
      </c>
      <c r="C467" s="88">
        <v>5290</v>
      </c>
      <c r="D467" s="85">
        <v>445.39100000000002</v>
      </c>
      <c r="E467" s="86">
        <v>5280</v>
      </c>
      <c r="F467" s="85">
        <v>982.35599999999999</v>
      </c>
      <c r="G467" s="87">
        <v>5280</v>
      </c>
      <c r="H467" s="85">
        <v>981.91300000000001</v>
      </c>
      <c r="I467" s="87">
        <v>5280</v>
      </c>
      <c r="J467" s="85">
        <v>854.06500000000005</v>
      </c>
      <c r="K467" s="87">
        <v>5280</v>
      </c>
      <c r="L467" s="85">
        <v>853.71600000000001</v>
      </c>
      <c r="M467" s="87">
        <v>5280</v>
      </c>
      <c r="N467" s="85">
        <v>853.88599999999997</v>
      </c>
      <c r="O467" s="87">
        <v>5260</v>
      </c>
      <c r="P467" s="85">
        <v>855.03700000000003</v>
      </c>
      <c r="Q467" s="87">
        <v>5280</v>
      </c>
      <c r="R467" s="85">
        <v>854.62900000000002</v>
      </c>
      <c r="S467" s="87">
        <v>5280</v>
      </c>
      <c r="T467" s="85">
        <v>855.226</v>
      </c>
      <c r="U467" s="87">
        <v>5270</v>
      </c>
      <c r="V467" s="84">
        <v>854.22900000000004</v>
      </c>
      <c r="W467" s="87">
        <v>5280</v>
      </c>
      <c r="X467" s="85">
        <v>853.91600000000005</v>
      </c>
      <c r="Y467" s="87">
        <v>5280</v>
      </c>
      <c r="Z467" s="85">
        <v>852.37699999999995</v>
      </c>
      <c r="AA467" s="87">
        <v>5280</v>
      </c>
      <c r="AB467" s="85">
        <v>852.33900000000006</v>
      </c>
      <c r="AC467" s="87">
        <v>5270</v>
      </c>
      <c r="AD467" s="85">
        <v>776.28200000000004</v>
      </c>
      <c r="AE467" s="87">
        <v>5280</v>
      </c>
      <c r="AF467" s="85">
        <v>777.70600000000002</v>
      </c>
      <c r="AG467" s="87">
        <v>5260</v>
      </c>
      <c r="AH467" s="85">
        <v>210.608</v>
      </c>
      <c r="AI467" s="87">
        <v>5260</v>
      </c>
      <c r="AJ467" s="85">
        <v>220.661</v>
      </c>
    </row>
    <row r="468" spans="1:36" ht="14.25" customHeight="1">
      <c r="A468" s="88">
        <v>5290</v>
      </c>
      <c r="B468" s="84">
        <v>447.90300000000002</v>
      </c>
      <c r="C468" s="88">
        <v>5300</v>
      </c>
      <c r="D468" s="85">
        <v>444.61500000000001</v>
      </c>
      <c r="E468" s="86">
        <v>5290</v>
      </c>
      <c r="F468" s="85">
        <v>980.86300000000006</v>
      </c>
      <c r="G468" s="87">
        <v>5290</v>
      </c>
      <c r="H468" s="85">
        <v>980.423</v>
      </c>
      <c r="I468" s="87">
        <v>5290</v>
      </c>
      <c r="J468" s="85">
        <v>852.85199999999998</v>
      </c>
      <c r="K468" s="87">
        <v>5290</v>
      </c>
      <c r="L468" s="85">
        <v>852.50199999999995</v>
      </c>
      <c r="M468" s="87">
        <v>5290</v>
      </c>
      <c r="N468" s="85">
        <v>852.67399999999998</v>
      </c>
      <c r="O468" s="87">
        <v>5270</v>
      </c>
      <c r="P468" s="85">
        <v>853.82399999999996</v>
      </c>
      <c r="Q468" s="87">
        <v>5290</v>
      </c>
      <c r="R468" s="85">
        <v>853.41600000000005</v>
      </c>
      <c r="S468" s="87">
        <v>5290</v>
      </c>
      <c r="T468" s="85">
        <v>854.01300000000003</v>
      </c>
      <c r="U468" s="87">
        <v>5280</v>
      </c>
      <c r="V468" s="84">
        <v>853.01900000000001</v>
      </c>
      <c r="W468" s="87">
        <v>5290</v>
      </c>
      <c r="X468" s="85">
        <v>852.70500000000004</v>
      </c>
      <c r="Y468" s="87">
        <v>5290</v>
      </c>
      <c r="Z468" s="85">
        <v>851.16499999999996</v>
      </c>
      <c r="AA468" s="87">
        <v>5290</v>
      </c>
      <c r="AB468" s="85">
        <v>851.12900000000002</v>
      </c>
      <c r="AC468" s="87">
        <v>5280</v>
      </c>
      <c r="AD468" s="85">
        <v>775.07100000000003</v>
      </c>
      <c r="AE468" s="87">
        <v>5290</v>
      </c>
      <c r="AF468" s="85">
        <v>776.49599999999998</v>
      </c>
      <c r="AG468" s="87">
        <v>5270</v>
      </c>
      <c r="AH468" s="85">
        <v>210.214</v>
      </c>
      <c r="AI468" s="87">
        <v>5270</v>
      </c>
      <c r="AJ468" s="85">
        <v>220.25299999999999</v>
      </c>
    </row>
    <row r="469" spans="1:36" ht="14.25" customHeight="1">
      <c r="A469" s="88">
        <v>5300</v>
      </c>
      <c r="B469" s="84">
        <v>447.12200000000001</v>
      </c>
      <c r="C469" s="88">
        <v>5310</v>
      </c>
      <c r="D469" s="85">
        <v>443.839</v>
      </c>
      <c r="E469" s="86">
        <v>5300</v>
      </c>
      <c r="F469" s="85">
        <v>979.36900000000003</v>
      </c>
      <c r="G469" s="87">
        <v>5300</v>
      </c>
      <c r="H469" s="85">
        <v>978.93299999999999</v>
      </c>
      <c r="I469" s="87">
        <v>5300</v>
      </c>
      <c r="J469" s="85">
        <v>851.63900000000001</v>
      </c>
      <c r="K469" s="87">
        <v>5300</v>
      </c>
      <c r="L469" s="85">
        <v>851.28899999999999</v>
      </c>
      <c r="M469" s="87">
        <v>5300</v>
      </c>
      <c r="N469" s="85">
        <v>851.46100000000001</v>
      </c>
      <c r="O469" s="87">
        <v>5280</v>
      </c>
      <c r="P469" s="85">
        <v>852.61099999999999</v>
      </c>
      <c r="Q469" s="87">
        <v>5300</v>
      </c>
      <c r="R469" s="85">
        <v>852.20299999999997</v>
      </c>
      <c r="S469" s="87">
        <v>5300</v>
      </c>
      <c r="T469" s="85">
        <v>852.80100000000004</v>
      </c>
      <c r="U469" s="87">
        <v>5290</v>
      </c>
      <c r="V469" s="84">
        <v>851.80899999999997</v>
      </c>
      <c r="W469" s="87">
        <v>5300</v>
      </c>
      <c r="X469" s="85">
        <v>851.49400000000003</v>
      </c>
      <c r="Y469" s="87">
        <v>5300</v>
      </c>
      <c r="Z469" s="85">
        <v>849.95399999999995</v>
      </c>
      <c r="AA469" s="87">
        <v>5300</v>
      </c>
      <c r="AB469" s="85">
        <v>849.91899999999998</v>
      </c>
      <c r="AC469" s="87">
        <v>5290</v>
      </c>
      <c r="AD469" s="85">
        <v>773.86</v>
      </c>
      <c r="AE469" s="87">
        <v>5300</v>
      </c>
      <c r="AF469" s="85">
        <v>775.28599999999994</v>
      </c>
      <c r="AG469" s="87">
        <v>5280</v>
      </c>
      <c r="AH469" s="85">
        <v>209.821</v>
      </c>
      <c r="AI469" s="87">
        <v>5280</v>
      </c>
      <c r="AJ469" s="85">
        <v>219.846</v>
      </c>
    </row>
    <row r="470" spans="1:36" ht="14.25" customHeight="1">
      <c r="A470" s="88">
        <v>5310</v>
      </c>
      <c r="B470" s="84">
        <v>446.34100000000001</v>
      </c>
      <c r="C470" s="88">
        <v>5320</v>
      </c>
      <c r="D470" s="85">
        <v>443.06299999999999</v>
      </c>
      <c r="E470" s="86">
        <v>5310</v>
      </c>
      <c r="F470" s="85">
        <v>977.87599999999998</v>
      </c>
      <c r="G470" s="87">
        <v>5310</v>
      </c>
      <c r="H470" s="85">
        <v>977.44299999999998</v>
      </c>
      <c r="I470" s="87">
        <v>5310</v>
      </c>
      <c r="J470" s="85">
        <v>850.42600000000004</v>
      </c>
      <c r="K470" s="87">
        <v>5310</v>
      </c>
      <c r="L470" s="85">
        <v>850.07500000000005</v>
      </c>
      <c r="M470" s="87">
        <v>5310</v>
      </c>
      <c r="N470" s="85">
        <v>850.24800000000005</v>
      </c>
      <c r="O470" s="87">
        <v>5290</v>
      </c>
      <c r="P470" s="85">
        <v>851.39800000000002</v>
      </c>
      <c r="Q470" s="87">
        <v>5310</v>
      </c>
      <c r="R470" s="85">
        <v>850.99</v>
      </c>
      <c r="S470" s="87">
        <v>5310</v>
      </c>
      <c r="T470" s="85">
        <v>851.58900000000006</v>
      </c>
      <c r="U470" s="87">
        <v>5300</v>
      </c>
      <c r="V470" s="84">
        <v>850.6</v>
      </c>
      <c r="W470" s="87">
        <v>5310</v>
      </c>
      <c r="X470" s="85">
        <v>850.28300000000002</v>
      </c>
      <c r="Y470" s="87">
        <v>5310</v>
      </c>
      <c r="Z470" s="85">
        <v>848.74300000000005</v>
      </c>
      <c r="AA470" s="87">
        <v>5310</v>
      </c>
      <c r="AB470" s="85">
        <v>848.71</v>
      </c>
      <c r="AC470" s="87">
        <v>5300</v>
      </c>
      <c r="AD470" s="85">
        <v>772.649</v>
      </c>
      <c r="AE470" s="87">
        <v>5310</v>
      </c>
      <c r="AF470" s="85">
        <v>774.077</v>
      </c>
      <c r="AG470" s="87">
        <v>5290</v>
      </c>
      <c r="AH470" s="85">
        <v>209.428</v>
      </c>
      <c r="AI470" s="87">
        <v>5290</v>
      </c>
      <c r="AJ470" s="85">
        <v>219.43899999999999</v>
      </c>
    </row>
    <row r="471" spans="1:36" ht="14.25" customHeight="1">
      <c r="A471" s="88">
        <v>5320</v>
      </c>
      <c r="B471" s="84">
        <v>445.56</v>
      </c>
      <c r="C471" s="88">
        <v>5330</v>
      </c>
      <c r="D471" s="85">
        <v>442.28800000000001</v>
      </c>
      <c r="E471" s="86">
        <v>5320</v>
      </c>
      <c r="F471" s="85">
        <v>976.38300000000004</v>
      </c>
      <c r="G471" s="87">
        <v>5320</v>
      </c>
      <c r="H471" s="85">
        <v>975.95299999999997</v>
      </c>
      <c r="I471" s="87">
        <v>5320</v>
      </c>
      <c r="J471" s="85">
        <v>849.21299999999997</v>
      </c>
      <c r="K471" s="87">
        <v>5320</v>
      </c>
      <c r="L471" s="85">
        <v>848.86099999999999</v>
      </c>
      <c r="M471" s="87">
        <v>5320</v>
      </c>
      <c r="N471" s="85">
        <v>849.03499999999997</v>
      </c>
      <c r="O471" s="87">
        <v>5300</v>
      </c>
      <c r="P471" s="85">
        <v>850.18499999999995</v>
      </c>
      <c r="Q471" s="87">
        <v>5320</v>
      </c>
      <c r="R471" s="85">
        <v>849.77700000000004</v>
      </c>
      <c r="S471" s="87">
        <v>5320</v>
      </c>
      <c r="T471" s="85">
        <v>850.37699999999995</v>
      </c>
      <c r="U471" s="87">
        <v>5310</v>
      </c>
      <c r="V471" s="84">
        <v>849.39</v>
      </c>
      <c r="W471" s="87">
        <v>5320</v>
      </c>
      <c r="X471" s="85">
        <v>849.072</v>
      </c>
      <c r="Y471" s="87">
        <v>5320</v>
      </c>
      <c r="Z471" s="85">
        <v>847.53099999999995</v>
      </c>
      <c r="AA471" s="87">
        <v>5320</v>
      </c>
      <c r="AB471" s="85">
        <v>847.5</v>
      </c>
      <c r="AC471" s="87">
        <v>5310</v>
      </c>
      <c r="AD471" s="85">
        <v>771.43899999999996</v>
      </c>
      <c r="AE471" s="87">
        <v>5320</v>
      </c>
      <c r="AF471" s="85">
        <v>772.86699999999996</v>
      </c>
      <c r="AG471" s="87">
        <v>5300</v>
      </c>
      <c r="AH471" s="85">
        <v>209.035</v>
      </c>
      <c r="AI471" s="87">
        <v>5300</v>
      </c>
      <c r="AJ471" s="85">
        <v>219.03100000000001</v>
      </c>
    </row>
    <row r="472" spans="1:36" ht="14.25" customHeight="1">
      <c r="A472" s="88">
        <v>5330</v>
      </c>
      <c r="B472" s="84">
        <v>444.779</v>
      </c>
      <c r="C472" s="88">
        <v>5340</v>
      </c>
      <c r="D472" s="85">
        <v>441.51299999999998</v>
      </c>
      <c r="E472" s="86">
        <v>5330</v>
      </c>
      <c r="F472" s="85">
        <v>974.89</v>
      </c>
      <c r="G472" s="87">
        <v>5330</v>
      </c>
      <c r="H472" s="85">
        <v>974.46400000000006</v>
      </c>
      <c r="I472" s="87">
        <v>5330</v>
      </c>
      <c r="J472" s="85">
        <v>848</v>
      </c>
      <c r="K472" s="87">
        <v>5330</v>
      </c>
      <c r="L472" s="85">
        <v>847.64800000000002</v>
      </c>
      <c r="M472" s="87">
        <v>5330</v>
      </c>
      <c r="N472" s="85">
        <v>847.82299999999998</v>
      </c>
      <c r="O472" s="87">
        <v>5310</v>
      </c>
      <c r="P472" s="85">
        <v>848.97199999999998</v>
      </c>
      <c r="Q472" s="87">
        <v>5330</v>
      </c>
      <c r="R472" s="85">
        <v>848.56500000000005</v>
      </c>
      <c r="S472" s="87">
        <v>5330</v>
      </c>
      <c r="T472" s="85">
        <v>849.16399999999999</v>
      </c>
      <c r="U472" s="87">
        <v>5320</v>
      </c>
      <c r="V472" s="84">
        <v>848.18</v>
      </c>
      <c r="W472" s="87">
        <v>5330</v>
      </c>
      <c r="X472" s="85">
        <v>847.86199999999997</v>
      </c>
      <c r="Y472" s="87">
        <v>5330</v>
      </c>
      <c r="Z472" s="85">
        <v>846.32</v>
      </c>
      <c r="AA472" s="87">
        <v>5330</v>
      </c>
      <c r="AB472" s="85">
        <v>846.29</v>
      </c>
      <c r="AC472" s="87">
        <v>5320</v>
      </c>
      <c r="AD472" s="85">
        <v>770.22799999999995</v>
      </c>
      <c r="AE472" s="87">
        <v>5330</v>
      </c>
      <c r="AF472" s="85">
        <v>771.65700000000004</v>
      </c>
      <c r="AG472" s="87">
        <v>5310</v>
      </c>
      <c r="AH472" s="85">
        <v>208.642</v>
      </c>
      <c r="AI472" s="87">
        <v>5310</v>
      </c>
      <c r="AJ472" s="85">
        <v>218.624</v>
      </c>
    </row>
    <row r="473" spans="1:36" ht="14.25" customHeight="1">
      <c r="A473" s="88">
        <v>5340</v>
      </c>
      <c r="B473" s="84">
        <v>443.99900000000002</v>
      </c>
      <c r="C473" s="88">
        <v>5350</v>
      </c>
      <c r="D473" s="85">
        <v>440.738</v>
      </c>
      <c r="E473" s="86">
        <v>5340</v>
      </c>
      <c r="F473" s="85">
        <v>973.39700000000005</v>
      </c>
      <c r="G473" s="87">
        <v>5340</v>
      </c>
      <c r="H473" s="85">
        <v>972.97400000000005</v>
      </c>
      <c r="I473" s="87">
        <v>5340</v>
      </c>
      <c r="J473" s="85">
        <v>846.78700000000003</v>
      </c>
      <c r="K473" s="87">
        <v>5340</v>
      </c>
      <c r="L473" s="85">
        <v>846.43399999999997</v>
      </c>
      <c r="M473" s="87">
        <v>5340</v>
      </c>
      <c r="N473" s="85">
        <v>846.61</v>
      </c>
      <c r="O473" s="87">
        <v>5320</v>
      </c>
      <c r="P473" s="85">
        <v>847.75900000000001</v>
      </c>
      <c r="Q473" s="87">
        <v>5340</v>
      </c>
      <c r="R473" s="85">
        <v>847.35199999999998</v>
      </c>
      <c r="S473" s="87">
        <v>5340</v>
      </c>
      <c r="T473" s="85">
        <v>847.952</v>
      </c>
      <c r="U473" s="87">
        <v>5330</v>
      </c>
      <c r="V473" s="84">
        <v>846.97</v>
      </c>
      <c r="W473" s="87">
        <v>5340</v>
      </c>
      <c r="X473" s="85">
        <v>846.65099999999995</v>
      </c>
      <c r="Y473" s="87">
        <v>5340</v>
      </c>
      <c r="Z473" s="85">
        <v>845.10900000000004</v>
      </c>
      <c r="AA473" s="87">
        <v>5340</v>
      </c>
      <c r="AB473" s="85">
        <v>845.08</v>
      </c>
      <c r="AC473" s="87">
        <v>5330</v>
      </c>
      <c r="AD473" s="85">
        <v>769.01700000000005</v>
      </c>
      <c r="AE473" s="87">
        <v>5340</v>
      </c>
      <c r="AF473" s="85">
        <v>770.447</v>
      </c>
      <c r="AG473" s="87">
        <v>5320</v>
      </c>
      <c r="AH473" s="85">
        <v>208.24799999999999</v>
      </c>
      <c r="AI473" s="87">
        <v>5320</v>
      </c>
      <c r="AJ473" s="85">
        <v>218.21700000000001</v>
      </c>
    </row>
    <row r="474" spans="1:36" ht="14.25" customHeight="1">
      <c r="A474" s="88">
        <v>5350</v>
      </c>
      <c r="B474" s="84">
        <v>443.21800000000002</v>
      </c>
      <c r="C474" s="88">
        <v>5360</v>
      </c>
      <c r="D474" s="85">
        <v>439.96300000000002</v>
      </c>
      <c r="E474" s="86">
        <v>5350</v>
      </c>
      <c r="F474" s="85">
        <v>971.904</v>
      </c>
      <c r="G474" s="87">
        <v>5350</v>
      </c>
      <c r="H474" s="85">
        <v>971.48500000000001</v>
      </c>
      <c r="I474" s="87">
        <v>5350</v>
      </c>
      <c r="J474" s="85">
        <v>845.57500000000005</v>
      </c>
      <c r="K474" s="87">
        <v>5350</v>
      </c>
      <c r="L474" s="85">
        <v>845.22</v>
      </c>
      <c r="M474" s="87">
        <v>5350</v>
      </c>
      <c r="N474" s="85">
        <v>845.39700000000005</v>
      </c>
      <c r="O474" s="87">
        <v>5330</v>
      </c>
      <c r="P474" s="85">
        <v>846.54600000000005</v>
      </c>
      <c r="Q474" s="87">
        <v>5350</v>
      </c>
      <c r="R474" s="85">
        <v>846.13900000000001</v>
      </c>
      <c r="S474" s="87">
        <v>5350</v>
      </c>
      <c r="T474" s="85">
        <v>846.74</v>
      </c>
      <c r="U474" s="87">
        <v>5340</v>
      </c>
      <c r="V474" s="84">
        <v>845.76</v>
      </c>
      <c r="W474" s="87">
        <v>5350</v>
      </c>
      <c r="X474" s="85">
        <v>845.44</v>
      </c>
      <c r="Y474" s="87">
        <v>5350</v>
      </c>
      <c r="Z474" s="85">
        <v>843.89700000000005</v>
      </c>
      <c r="AA474" s="87">
        <v>5350</v>
      </c>
      <c r="AB474" s="85">
        <v>843.87</v>
      </c>
      <c r="AC474" s="87">
        <v>5340</v>
      </c>
      <c r="AD474" s="85">
        <v>767.80600000000004</v>
      </c>
      <c r="AE474" s="87">
        <v>5350</v>
      </c>
      <c r="AF474" s="85">
        <v>769.23800000000006</v>
      </c>
      <c r="AG474" s="87">
        <v>5330</v>
      </c>
      <c r="AH474" s="85">
        <v>207.85499999999999</v>
      </c>
      <c r="AI474" s="87">
        <v>5330</v>
      </c>
      <c r="AJ474" s="85">
        <v>217.81</v>
      </c>
    </row>
    <row r="475" spans="1:36" ht="14.25" customHeight="1">
      <c r="A475" s="88">
        <v>5360</v>
      </c>
      <c r="B475" s="84">
        <v>442.43799999999999</v>
      </c>
      <c r="C475" s="88">
        <v>5370</v>
      </c>
      <c r="D475" s="85">
        <v>439.18799999999999</v>
      </c>
      <c r="E475" s="86">
        <v>5360</v>
      </c>
      <c r="F475" s="85">
        <v>970.41099999999994</v>
      </c>
      <c r="G475" s="87">
        <v>5360</v>
      </c>
      <c r="H475" s="85">
        <v>969.99599999999998</v>
      </c>
      <c r="I475" s="87">
        <v>5360</v>
      </c>
      <c r="J475" s="85">
        <v>844.36199999999997</v>
      </c>
      <c r="K475" s="87">
        <v>5360</v>
      </c>
      <c r="L475" s="85">
        <v>844.00699999999995</v>
      </c>
      <c r="M475" s="87">
        <v>5360</v>
      </c>
      <c r="N475" s="85">
        <v>844.18499999999995</v>
      </c>
      <c r="O475" s="87">
        <v>5340</v>
      </c>
      <c r="P475" s="85">
        <v>845.33299999999997</v>
      </c>
      <c r="Q475" s="87">
        <v>5360</v>
      </c>
      <c r="R475" s="85">
        <v>844.92600000000004</v>
      </c>
      <c r="S475" s="87">
        <v>5360</v>
      </c>
      <c r="T475" s="85">
        <v>845.52800000000002</v>
      </c>
      <c r="U475" s="87">
        <v>5350</v>
      </c>
      <c r="V475" s="84">
        <v>844.55</v>
      </c>
      <c r="W475" s="87">
        <v>5360</v>
      </c>
      <c r="X475" s="85">
        <v>844.22900000000004</v>
      </c>
      <c r="Y475" s="87">
        <v>5360</v>
      </c>
      <c r="Z475" s="85">
        <v>842.68600000000004</v>
      </c>
      <c r="AA475" s="87">
        <v>5360</v>
      </c>
      <c r="AB475" s="85">
        <v>842.66</v>
      </c>
      <c r="AC475" s="87">
        <v>5350</v>
      </c>
      <c r="AD475" s="85">
        <v>766.596</v>
      </c>
      <c r="AE475" s="87">
        <v>5360</v>
      </c>
      <c r="AF475" s="85">
        <v>768.02800000000002</v>
      </c>
      <c r="AG475" s="87">
        <v>5340</v>
      </c>
      <c r="AH475" s="85">
        <v>207.46199999999999</v>
      </c>
      <c r="AI475" s="87">
        <v>5340</v>
      </c>
      <c r="AJ475" s="85">
        <v>217.40299999999999</v>
      </c>
    </row>
    <row r="476" spans="1:36" ht="14.25" customHeight="1">
      <c r="A476" s="88">
        <v>5370</v>
      </c>
      <c r="B476" s="84">
        <v>441.65800000000002</v>
      </c>
      <c r="C476" s="88">
        <v>5380</v>
      </c>
      <c r="D476" s="85">
        <v>438.41300000000001</v>
      </c>
      <c r="E476" s="86">
        <v>5370</v>
      </c>
      <c r="F476" s="85">
        <v>968.91899999999998</v>
      </c>
      <c r="G476" s="87">
        <v>5370</v>
      </c>
      <c r="H476" s="85">
        <v>968.50699999999995</v>
      </c>
      <c r="I476" s="87">
        <v>5370</v>
      </c>
      <c r="J476" s="85">
        <v>843.149</v>
      </c>
      <c r="K476" s="87">
        <v>5370</v>
      </c>
      <c r="L476" s="85">
        <v>842.79300000000001</v>
      </c>
      <c r="M476" s="87">
        <v>5370</v>
      </c>
      <c r="N476" s="85">
        <v>842.97199999999998</v>
      </c>
      <c r="O476" s="87">
        <v>5350</v>
      </c>
      <c r="P476" s="85">
        <v>844.12</v>
      </c>
      <c r="Q476" s="87">
        <v>5370</v>
      </c>
      <c r="R476" s="85">
        <v>843.71299999999997</v>
      </c>
      <c r="S476" s="87">
        <v>5370</v>
      </c>
      <c r="T476" s="85">
        <v>844.31500000000005</v>
      </c>
      <c r="U476" s="87">
        <v>5360</v>
      </c>
      <c r="V476" s="84">
        <v>843.34100000000001</v>
      </c>
      <c r="W476" s="87">
        <v>5370</v>
      </c>
      <c r="X476" s="85">
        <v>843.01800000000003</v>
      </c>
      <c r="Y476" s="87">
        <v>5370</v>
      </c>
      <c r="Z476" s="85">
        <v>841.47400000000005</v>
      </c>
      <c r="AA476" s="87">
        <v>5370</v>
      </c>
      <c r="AB476" s="85">
        <v>841.45</v>
      </c>
      <c r="AC476" s="87">
        <v>5360</v>
      </c>
      <c r="AD476" s="85">
        <v>765.38499999999999</v>
      </c>
      <c r="AE476" s="87">
        <v>5370</v>
      </c>
      <c r="AF476" s="85">
        <v>766.81799999999998</v>
      </c>
      <c r="AG476" s="87">
        <v>5350</v>
      </c>
      <c r="AH476" s="85">
        <v>207.06899999999999</v>
      </c>
      <c r="AI476" s="87">
        <v>5350</v>
      </c>
      <c r="AJ476" s="85">
        <v>216.99600000000001</v>
      </c>
    </row>
    <row r="477" spans="1:36" ht="14.25" customHeight="1">
      <c r="A477" s="88">
        <v>5380</v>
      </c>
      <c r="B477" s="84">
        <v>440.87799999999999</v>
      </c>
      <c r="C477" s="88">
        <v>5390</v>
      </c>
      <c r="D477" s="85">
        <v>437.63900000000001</v>
      </c>
      <c r="E477" s="86">
        <v>5380</v>
      </c>
      <c r="F477" s="85">
        <v>967.42600000000004</v>
      </c>
      <c r="G477" s="87">
        <v>5380</v>
      </c>
      <c r="H477" s="85">
        <v>967.01800000000003</v>
      </c>
      <c r="I477" s="87">
        <v>5380</v>
      </c>
      <c r="J477" s="85">
        <v>841.93600000000004</v>
      </c>
      <c r="K477" s="87">
        <v>5380</v>
      </c>
      <c r="L477" s="85">
        <v>841.58</v>
      </c>
      <c r="M477" s="87">
        <v>5380</v>
      </c>
      <c r="N477" s="85">
        <v>841.75900000000001</v>
      </c>
      <c r="O477" s="87">
        <v>5360</v>
      </c>
      <c r="P477" s="85">
        <v>842.90700000000004</v>
      </c>
      <c r="Q477" s="87">
        <v>5380</v>
      </c>
      <c r="R477" s="85">
        <v>842.5</v>
      </c>
      <c r="S477" s="87">
        <v>5380</v>
      </c>
      <c r="T477" s="85">
        <v>843.10299999999995</v>
      </c>
      <c r="U477" s="87">
        <v>5370</v>
      </c>
      <c r="V477" s="84">
        <v>842.13099999999997</v>
      </c>
      <c r="W477" s="87">
        <v>5380</v>
      </c>
      <c r="X477" s="85">
        <v>841.80799999999999</v>
      </c>
      <c r="Y477" s="87">
        <v>5380</v>
      </c>
      <c r="Z477" s="85">
        <v>840.26300000000003</v>
      </c>
      <c r="AA477" s="87">
        <v>5380</v>
      </c>
      <c r="AB477" s="85">
        <v>840.24</v>
      </c>
      <c r="AC477" s="87">
        <v>5370</v>
      </c>
      <c r="AD477" s="85">
        <v>764.17399999999998</v>
      </c>
      <c r="AE477" s="87">
        <v>5380</v>
      </c>
      <c r="AF477" s="85">
        <v>765.60900000000004</v>
      </c>
      <c r="AG477" s="87">
        <v>5360</v>
      </c>
      <c r="AH477" s="85">
        <v>206.67699999999999</v>
      </c>
      <c r="AI477" s="87">
        <v>5360</v>
      </c>
      <c r="AJ477" s="85">
        <v>216.589</v>
      </c>
    </row>
    <row r="478" spans="1:36" ht="14.25" customHeight="1">
      <c r="A478" s="88">
        <v>5390</v>
      </c>
      <c r="B478" s="84">
        <v>440.09899999999999</v>
      </c>
      <c r="C478" s="88">
        <v>5400</v>
      </c>
      <c r="D478" s="85">
        <v>436.86500000000001</v>
      </c>
      <c r="E478" s="86">
        <v>5390</v>
      </c>
      <c r="F478" s="85">
        <v>965.93399999999997</v>
      </c>
      <c r="G478" s="87">
        <v>5390</v>
      </c>
      <c r="H478" s="85">
        <v>965.529</v>
      </c>
      <c r="I478" s="87">
        <v>5390</v>
      </c>
      <c r="J478" s="85">
        <v>840.72299999999996</v>
      </c>
      <c r="K478" s="87">
        <v>5390</v>
      </c>
      <c r="L478" s="85">
        <v>840.36599999999999</v>
      </c>
      <c r="M478" s="87">
        <v>5390</v>
      </c>
      <c r="N478" s="85">
        <v>840.54600000000005</v>
      </c>
      <c r="O478" s="87">
        <v>5370</v>
      </c>
      <c r="P478" s="85">
        <v>841.69399999999996</v>
      </c>
      <c r="Q478" s="87">
        <v>5390</v>
      </c>
      <c r="R478" s="85">
        <v>841.28800000000001</v>
      </c>
      <c r="S478" s="87">
        <v>5390</v>
      </c>
      <c r="T478" s="85">
        <v>841.89099999999996</v>
      </c>
      <c r="U478" s="87">
        <v>5380</v>
      </c>
      <c r="V478" s="84">
        <v>840.92100000000005</v>
      </c>
      <c r="W478" s="87">
        <v>5390</v>
      </c>
      <c r="X478" s="85">
        <v>840.59699999999998</v>
      </c>
      <c r="Y478" s="87">
        <v>5390</v>
      </c>
      <c r="Z478" s="85">
        <v>839.05200000000002</v>
      </c>
      <c r="AA478" s="87">
        <v>5390</v>
      </c>
      <c r="AB478" s="85">
        <v>839.03</v>
      </c>
      <c r="AC478" s="87">
        <v>5380</v>
      </c>
      <c r="AD478" s="85">
        <v>762.96400000000006</v>
      </c>
      <c r="AE478" s="87">
        <v>5390</v>
      </c>
      <c r="AF478" s="85">
        <v>764.399</v>
      </c>
      <c r="AG478" s="87">
        <v>5370</v>
      </c>
      <c r="AH478" s="85">
        <v>206.28399999999999</v>
      </c>
      <c r="AI478" s="87">
        <v>5370</v>
      </c>
      <c r="AJ478" s="85">
        <v>216.18199999999999</v>
      </c>
    </row>
    <row r="479" spans="1:36" ht="14.25" customHeight="1">
      <c r="A479" s="88">
        <v>5400</v>
      </c>
      <c r="B479" s="84">
        <v>439.31900000000002</v>
      </c>
      <c r="C479" s="88">
        <v>5410</v>
      </c>
      <c r="D479" s="85">
        <v>436.09100000000001</v>
      </c>
      <c r="E479" s="86">
        <v>5400</v>
      </c>
      <c r="F479" s="85">
        <v>964.44200000000001</v>
      </c>
      <c r="G479" s="87">
        <v>5400</v>
      </c>
      <c r="H479" s="85">
        <v>964.04</v>
      </c>
      <c r="I479" s="87">
        <v>5400</v>
      </c>
      <c r="J479" s="85">
        <v>839.51</v>
      </c>
      <c r="K479" s="87">
        <v>5400</v>
      </c>
      <c r="L479" s="85">
        <v>839.15200000000004</v>
      </c>
      <c r="M479" s="87">
        <v>5400</v>
      </c>
      <c r="N479" s="85">
        <v>839.33399999999995</v>
      </c>
      <c r="O479" s="87">
        <v>5380</v>
      </c>
      <c r="P479" s="85">
        <v>840.48099999999999</v>
      </c>
      <c r="Q479" s="87">
        <v>5400</v>
      </c>
      <c r="R479" s="85">
        <v>840.07500000000005</v>
      </c>
      <c r="S479" s="87">
        <v>5400</v>
      </c>
      <c r="T479" s="85">
        <v>840.67899999999997</v>
      </c>
      <c r="U479" s="87">
        <v>5390</v>
      </c>
      <c r="V479" s="84">
        <v>839.71100000000001</v>
      </c>
      <c r="W479" s="87">
        <v>5400</v>
      </c>
      <c r="X479" s="85">
        <v>839.38599999999997</v>
      </c>
      <c r="Y479" s="87">
        <v>5400</v>
      </c>
      <c r="Z479" s="85">
        <v>837.84</v>
      </c>
      <c r="AA479" s="87">
        <v>5400</v>
      </c>
      <c r="AB479" s="85">
        <v>837.82</v>
      </c>
      <c r="AC479" s="87">
        <v>5390</v>
      </c>
      <c r="AD479" s="85">
        <v>761.75300000000004</v>
      </c>
      <c r="AE479" s="87">
        <v>5400</v>
      </c>
      <c r="AF479" s="85">
        <v>763.18899999999996</v>
      </c>
      <c r="AG479" s="87">
        <v>5380</v>
      </c>
      <c r="AH479" s="85">
        <v>205.89099999999999</v>
      </c>
      <c r="AI479" s="87">
        <v>5380</v>
      </c>
      <c r="AJ479" s="85">
        <v>215.77500000000001</v>
      </c>
    </row>
    <row r="480" spans="1:36" ht="14.25" customHeight="1">
      <c r="A480" s="88">
        <v>5410</v>
      </c>
      <c r="B480" s="84">
        <v>438.54</v>
      </c>
      <c r="C480" s="88">
        <v>5420</v>
      </c>
      <c r="D480" s="85">
        <v>435.31700000000001</v>
      </c>
      <c r="E480" s="86">
        <v>5410</v>
      </c>
      <c r="F480" s="85">
        <v>962.95</v>
      </c>
      <c r="G480" s="87">
        <v>5410</v>
      </c>
      <c r="H480" s="85">
        <v>962.55200000000002</v>
      </c>
      <c r="I480" s="87">
        <v>5410</v>
      </c>
      <c r="J480" s="85">
        <v>838.29700000000003</v>
      </c>
      <c r="K480" s="87">
        <v>5410</v>
      </c>
      <c r="L480" s="85">
        <v>837.93899999999996</v>
      </c>
      <c r="M480" s="87">
        <v>5410</v>
      </c>
      <c r="N480" s="85">
        <v>838.12099999999998</v>
      </c>
      <c r="O480" s="87">
        <v>5390</v>
      </c>
      <c r="P480" s="85">
        <v>839.26800000000003</v>
      </c>
      <c r="Q480" s="87">
        <v>5410</v>
      </c>
      <c r="R480" s="85">
        <v>838.86199999999997</v>
      </c>
      <c r="S480" s="87">
        <v>5410</v>
      </c>
      <c r="T480" s="85">
        <v>839.46600000000001</v>
      </c>
      <c r="U480" s="87">
        <v>5400</v>
      </c>
      <c r="V480" s="84">
        <v>838.50099999999998</v>
      </c>
      <c r="W480" s="87">
        <v>5410</v>
      </c>
      <c r="X480" s="85">
        <v>838.17499999999995</v>
      </c>
      <c r="Y480" s="87">
        <v>5410</v>
      </c>
      <c r="Z480" s="85">
        <v>836.62900000000002</v>
      </c>
      <c r="AA480" s="87">
        <v>5410</v>
      </c>
      <c r="AB480" s="85">
        <v>836.61</v>
      </c>
      <c r="AC480" s="87">
        <v>5400</v>
      </c>
      <c r="AD480" s="85">
        <v>760.54200000000003</v>
      </c>
      <c r="AE480" s="87">
        <v>5410</v>
      </c>
      <c r="AF480" s="85">
        <v>761.97900000000004</v>
      </c>
      <c r="AG480" s="87">
        <v>5390</v>
      </c>
      <c r="AH480" s="85">
        <v>205.49799999999999</v>
      </c>
      <c r="AI480" s="87">
        <v>5390</v>
      </c>
      <c r="AJ480" s="85">
        <v>215.36799999999999</v>
      </c>
    </row>
    <row r="481" spans="1:36" ht="14.25" customHeight="1">
      <c r="A481" s="88">
        <v>5420</v>
      </c>
      <c r="B481" s="84">
        <v>437.76100000000002</v>
      </c>
      <c r="C481" s="88">
        <v>5430</v>
      </c>
      <c r="D481" s="85">
        <v>434.54399999999998</v>
      </c>
      <c r="E481" s="86">
        <v>5420</v>
      </c>
      <c r="F481" s="85">
        <v>961.45799999999997</v>
      </c>
      <c r="G481" s="87">
        <v>5420</v>
      </c>
      <c r="H481" s="85">
        <v>961.06299999999999</v>
      </c>
      <c r="I481" s="87">
        <v>5420</v>
      </c>
      <c r="J481" s="85">
        <v>837.08399999999995</v>
      </c>
      <c r="K481" s="87">
        <v>5420</v>
      </c>
      <c r="L481" s="85">
        <v>836.72500000000002</v>
      </c>
      <c r="M481" s="87">
        <v>5420</v>
      </c>
      <c r="N481" s="85">
        <v>836.90800000000002</v>
      </c>
      <c r="O481" s="87">
        <v>5400</v>
      </c>
      <c r="P481" s="85">
        <v>838.05499999999995</v>
      </c>
      <c r="Q481" s="87">
        <v>5420</v>
      </c>
      <c r="R481" s="85">
        <v>837.649</v>
      </c>
      <c r="S481" s="87">
        <v>5420</v>
      </c>
      <c r="T481" s="85">
        <v>838.25400000000002</v>
      </c>
      <c r="U481" s="87">
        <v>5410</v>
      </c>
      <c r="V481" s="84">
        <v>837.29100000000005</v>
      </c>
      <c r="W481" s="87">
        <v>5420</v>
      </c>
      <c r="X481" s="85">
        <v>836.96400000000006</v>
      </c>
      <c r="Y481" s="87">
        <v>5420</v>
      </c>
      <c r="Z481" s="85">
        <v>835.41700000000003</v>
      </c>
      <c r="AA481" s="87">
        <v>5420</v>
      </c>
      <c r="AB481" s="85">
        <v>835.4</v>
      </c>
      <c r="AC481" s="87">
        <v>5410</v>
      </c>
      <c r="AD481" s="85">
        <v>759.33100000000002</v>
      </c>
      <c r="AE481" s="87">
        <v>5420</v>
      </c>
      <c r="AF481" s="85">
        <v>760.77</v>
      </c>
      <c r="AG481" s="87">
        <v>5400</v>
      </c>
      <c r="AH481" s="85">
        <v>205.10599999999999</v>
      </c>
      <c r="AI481" s="87">
        <v>5400</v>
      </c>
      <c r="AJ481" s="85">
        <v>214.96199999999999</v>
      </c>
    </row>
    <row r="482" spans="1:36" ht="14.25" customHeight="1">
      <c r="A482" s="88">
        <v>5430</v>
      </c>
      <c r="B482" s="84">
        <v>436.98200000000003</v>
      </c>
      <c r="C482" s="88">
        <v>5440</v>
      </c>
      <c r="D482" s="85">
        <v>433.77</v>
      </c>
      <c r="E482" s="86">
        <v>5430</v>
      </c>
      <c r="F482" s="85">
        <v>959.96600000000001</v>
      </c>
      <c r="G482" s="87">
        <v>5430</v>
      </c>
      <c r="H482" s="85">
        <v>959.57500000000005</v>
      </c>
      <c r="I482" s="87">
        <v>5430</v>
      </c>
      <c r="J482" s="85">
        <v>835.87099999999998</v>
      </c>
      <c r="K482" s="87">
        <v>5430</v>
      </c>
      <c r="L482" s="85">
        <v>835.51099999999997</v>
      </c>
      <c r="M482" s="87">
        <v>5430</v>
      </c>
      <c r="N482" s="85">
        <v>835.69600000000003</v>
      </c>
      <c r="O482" s="87">
        <v>5410</v>
      </c>
      <c r="P482" s="85">
        <v>836.84199999999998</v>
      </c>
      <c r="Q482" s="87">
        <v>5430</v>
      </c>
      <c r="R482" s="85">
        <v>836.43700000000001</v>
      </c>
      <c r="S482" s="87">
        <v>5430</v>
      </c>
      <c r="T482" s="85">
        <v>837.04200000000003</v>
      </c>
      <c r="U482" s="87">
        <v>5420</v>
      </c>
      <c r="V482" s="84">
        <v>836.08100000000002</v>
      </c>
      <c r="W482" s="87">
        <v>5430</v>
      </c>
      <c r="X482" s="85">
        <v>835.75400000000002</v>
      </c>
      <c r="Y482" s="87">
        <v>5430</v>
      </c>
      <c r="Z482" s="85">
        <v>834.20600000000002</v>
      </c>
      <c r="AA482" s="87">
        <v>5430</v>
      </c>
      <c r="AB482" s="85">
        <v>834.19</v>
      </c>
      <c r="AC482" s="87">
        <v>5420</v>
      </c>
      <c r="AD482" s="85">
        <v>758.12099999999998</v>
      </c>
      <c r="AE482" s="87">
        <v>5430</v>
      </c>
      <c r="AF482" s="85">
        <v>759.56</v>
      </c>
      <c r="AG482" s="87">
        <v>5410</v>
      </c>
      <c r="AH482" s="85">
        <v>204.71299999999999</v>
      </c>
      <c r="AI482" s="87">
        <v>5410</v>
      </c>
      <c r="AJ482" s="85">
        <v>214.55500000000001</v>
      </c>
    </row>
    <row r="483" spans="1:36" ht="14.25" customHeight="1">
      <c r="A483" s="88">
        <v>5440</v>
      </c>
      <c r="B483" s="84">
        <v>436.20299999999997</v>
      </c>
      <c r="C483" s="88">
        <v>5450</v>
      </c>
      <c r="D483" s="85">
        <v>432.99700000000001</v>
      </c>
      <c r="E483" s="86">
        <v>5440</v>
      </c>
      <c r="F483" s="85">
        <v>958.47400000000005</v>
      </c>
      <c r="G483" s="87">
        <v>5440</v>
      </c>
      <c r="H483" s="85">
        <v>958.08600000000001</v>
      </c>
      <c r="I483" s="87">
        <v>5440</v>
      </c>
      <c r="J483" s="85">
        <v>834.65800000000002</v>
      </c>
      <c r="K483" s="87">
        <v>5440</v>
      </c>
      <c r="L483" s="85">
        <v>834.298</v>
      </c>
      <c r="M483" s="87">
        <v>5440</v>
      </c>
      <c r="N483" s="85">
        <v>834.48299999999995</v>
      </c>
      <c r="O483" s="87">
        <v>5420</v>
      </c>
      <c r="P483" s="85">
        <v>835.62900000000002</v>
      </c>
      <c r="Q483" s="87">
        <v>5440</v>
      </c>
      <c r="R483" s="85">
        <v>835.22400000000005</v>
      </c>
      <c r="S483" s="87">
        <v>5440</v>
      </c>
      <c r="T483" s="85">
        <v>835.83</v>
      </c>
      <c r="U483" s="87">
        <v>5430</v>
      </c>
      <c r="V483" s="84">
        <v>834.87199999999996</v>
      </c>
      <c r="W483" s="87">
        <v>5440</v>
      </c>
      <c r="X483" s="85">
        <v>834.54300000000001</v>
      </c>
      <c r="Y483" s="87">
        <v>5440</v>
      </c>
      <c r="Z483" s="85">
        <v>832.995</v>
      </c>
      <c r="AA483" s="87">
        <v>5440</v>
      </c>
      <c r="AB483" s="85">
        <v>832.98</v>
      </c>
      <c r="AC483" s="87">
        <v>5430</v>
      </c>
      <c r="AD483" s="85">
        <v>756.91</v>
      </c>
      <c r="AE483" s="87">
        <v>5440</v>
      </c>
      <c r="AF483" s="85">
        <v>758.35</v>
      </c>
      <c r="AG483" s="87">
        <v>5420</v>
      </c>
      <c r="AH483" s="85">
        <v>204.32</v>
      </c>
      <c r="AI483" s="87">
        <v>5420</v>
      </c>
      <c r="AJ483" s="85">
        <v>214.148</v>
      </c>
    </row>
    <row r="484" spans="1:36" ht="14.25" customHeight="1">
      <c r="A484" s="88">
        <v>5450</v>
      </c>
      <c r="B484" s="84">
        <v>435.42500000000001</v>
      </c>
      <c r="C484" s="88">
        <v>5460</v>
      </c>
      <c r="D484" s="85">
        <v>432.22399999999999</v>
      </c>
      <c r="E484" s="86">
        <v>5450</v>
      </c>
      <c r="F484" s="85">
        <v>956.98299999999995</v>
      </c>
      <c r="G484" s="87">
        <v>5450</v>
      </c>
      <c r="H484" s="85">
        <v>956.59799999999996</v>
      </c>
      <c r="I484" s="87">
        <v>5450</v>
      </c>
      <c r="J484" s="85">
        <v>833.44500000000005</v>
      </c>
      <c r="K484" s="87">
        <v>5450</v>
      </c>
      <c r="L484" s="85">
        <v>833.08399999999995</v>
      </c>
      <c r="M484" s="87">
        <v>5450</v>
      </c>
      <c r="N484" s="85">
        <v>833.27</v>
      </c>
      <c r="O484" s="87">
        <v>5430</v>
      </c>
      <c r="P484" s="85">
        <v>834.41600000000005</v>
      </c>
      <c r="Q484" s="87">
        <v>5450</v>
      </c>
      <c r="R484" s="85">
        <v>834.01099999999997</v>
      </c>
      <c r="S484" s="87">
        <v>5450</v>
      </c>
      <c r="T484" s="85">
        <v>834.61699999999996</v>
      </c>
      <c r="U484" s="87">
        <v>5440</v>
      </c>
      <c r="V484" s="84">
        <v>833.66200000000003</v>
      </c>
      <c r="W484" s="87">
        <v>5450</v>
      </c>
      <c r="X484" s="85">
        <v>833.33199999999999</v>
      </c>
      <c r="Y484" s="87">
        <v>5450</v>
      </c>
      <c r="Z484" s="85">
        <v>831.78300000000002</v>
      </c>
      <c r="AA484" s="87">
        <v>5450</v>
      </c>
      <c r="AB484" s="85">
        <v>831.77</v>
      </c>
      <c r="AC484" s="87">
        <v>5440</v>
      </c>
      <c r="AD484" s="85">
        <v>755.69899999999996</v>
      </c>
      <c r="AE484" s="87">
        <v>5450</v>
      </c>
      <c r="AF484" s="85">
        <v>757.14099999999996</v>
      </c>
      <c r="AG484" s="87">
        <v>5430</v>
      </c>
      <c r="AH484" s="85">
        <v>203.928</v>
      </c>
      <c r="AI484" s="87">
        <v>5430</v>
      </c>
      <c r="AJ484" s="85">
        <v>213.74199999999999</v>
      </c>
    </row>
    <row r="485" spans="1:36" ht="14.25" customHeight="1">
      <c r="A485" s="88">
        <v>5460</v>
      </c>
      <c r="B485" s="84">
        <v>434.64600000000002</v>
      </c>
      <c r="C485" s="88">
        <v>5470</v>
      </c>
      <c r="D485" s="85">
        <v>431.45100000000002</v>
      </c>
      <c r="E485" s="86">
        <v>5460</v>
      </c>
      <c r="F485" s="85">
        <v>955.49099999999999</v>
      </c>
      <c r="G485" s="87">
        <v>5460</v>
      </c>
      <c r="H485" s="85">
        <v>955.11</v>
      </c>
      <c r="I485" s="87">
        <v>5460</v>
      </c>
      <c r="J485" s="85">
        <v>832.23299999999995</v>
      </c>
      <c r="K485" s="87">
        <v>5460</v>
      </c>
      <c r="L485" s="85">
        <v>831.87</v>
      </c>
      <c r="M485" s="87">
        <v>5460</v>
      </c>
      <c r="N485" s="85">
        <v>832.05700000000002</v>
      </c>
      <c r="O485" s="87">
        <v>5440</v>
      </c>
      <c r="P485" s="85">
        <v>833.20299999999997</v>
      </c>
      <c r="Q485" s="87">
        <v>5460</v>
      </c>
      <c r="R485" s="85">
        <v>832.798</v>
      </c>
      <c r="S485" s="87">
        <v>5460</v>
      </c>
      <c r="T485" s="85">
        <v>833.40499999999997</v>
      </c>
      <c r="U485" s="87">
        <v>5450</v>
      </c>
      <c r="V485" s="84">
        <v>832.452</v>
      </c>
      <c r="W485" s="87">
        <v>5460</v>
      </c>
      <c r="X485" s="85">
        <v>832.12099999999998</v>
      </c>
      <c r="Y485" s="87">
        <v>5460</v>
      </c>
      <c r="Z485" s="85">
        <v>830.572</v>
      </c>
      <c r="AA485" s="87">
        <v>5460</v>
      </c>
      <c r="AB485" s="85">
        <v>830.56</v>
      </c>
      <c r="AC485" s="87">
        <v>5450</v>
      </c>
      <c r="AD485" s="85">
        <v>754.48800000000006</v>
      </c>
      <c r="AE485" s="87">
        <v>5460</v>
      </c>
      <c r="AF485" s="85">
        <v>755.93100000000004</v>
      </c>
      <c r="AG485" s="87">
        <v>5440</v>
      </c>
      <c r="AH485" s="85">
        <v>203.535</v>
      </c>
      <c r="AI485" s="87">
        <v>5440</v>
      </c>
      <c r="AJ485" s="85">
        <v>213.33500000000001</v>
      </c>
    </row>
    <row r="486" spans="1:36" ht="14.25" customHeight="1">
      <c r="A486" s="88">
        <v>5470</v>
      </c>
      <c r="B486" s="84">
        <v>433.86799999999999</v>
      </c>
      <c r="C486" s="88">
        <v>5480</v>
      </c>
      <c r="D486" s="85">
        <v>430.678</v>
      </c>
      <c r="E486" s="86">
        <v>5470</v>
      </c>
      <c r="F486" s="85">
        <v>954</v>
      </c>
      <c r="G486" s="87">
        <v>5470</v>
      </c>
      <c r="H486" s="85">
        <v>953.62199999999996</v>
      </c>
      <c r="I486" s="87">
        <v>5470</v>
      </c>
      <c r="J486" s="85">
        <v>831.02</v>
      </c>
      <c r="K486" s="87">
        <v>5470</v>
      </c>
      <c r="L486" s="85">
        <v>830.65700000000004</v>
      </c>
      <c r="M486" s="87">
        <v>5470</v>
      </c>
      <c r="N486" s="85">
        <v>830.84500000000003</v>
      </c>
      <c r="O486" s="87">
        <v>5450</v>
      </c>
      <c r="P486" s="85">
        <v>831.99</v>
      </c>
      <c r="Q486" s="87">
        <v>5470</v>
      </c>
      <c r="R486" s="85">
        <v>831.58500000000004</v>
      </c>
      <c r="S486" s="87">
        <v>5470</v>
      </c>
      <c r="T486" s="85">
        <v>832.19299999999998</v>
      </c>
      <c r="U486" s="87">
        <v>5460</v>
      </c>
      <c r="V486" s="84">
        <v>831.24199999999996</v>
      </c>
      <c r="W486" s="87">
        <v>5470</v>
      </c>
      <c r="X486" s="85">
        <v>830.91</v>
      </c>
      <c r="Y486" s="87">
        <v>5470</v>
      </c>
      <c r="Z486" s="85">
        <v>829.36099999999999</v>
      </c>
      <c r="AA486" s="87">
        <v>5470</v>
      </c>
      <c r="AB486" s="85">
        <v>829.35</v>
      </c>
      <c r="AC486" s="87">
        <v>5460</v>
      </c>
      <c r="AD486" s="85">
        <v>753.27800000000002</v>
      </c>
      <c r="AE486" s="87">
        <v>5470</v>
      </c>
      <c r="AF486" s="85">
        <v>754.721</v>
      </c>
      <c r="AG486" s="87">
        <v>5450</v>
      </c>
      <c r="AH486" s="85">
        <v>203.143</v>
      </c>
      <c r="AI486" s="87">
        <v>5450</v>
      </c>
      <c r="AJ486" s="85">
        <v>212.929</v>
      </c>
    </row>
    <row r="487" spans="1:36" ht="14.25" customHeight="1">
      <c r="A487" s="88">
        <v>5480</v>
      </c>
      <c r="B487" s="84">
        <v>433.09</v>
      </c>
      <c r="C487" s="88">
        <v>5490</v>
      </c>
      <c r="D487" s="85">
        <v>429.90499999999997</v>
      </c>
      <c r="E487" s="86">
        <v>5480</v>
      </c>
      <c r="F487" s="85">
        <v>952.50900000000001</v>
      </c>
      <c r="G487" s="87">
        <v>5480</v>
      </c>
      <c r="H487" s="85">
        <v>952.13400000000001</v>
      </c>
      <c r="I487" s="87">
        <v>5480</v>
      </c>
      <c r="J487" s="85">
        <v>829.80700000000002</v>
      </c>
      <c r="K487" s="87">
        <v>5480</v>
      </c>
      <c r="L487" s="85">
        <v>829.44299999999998</v>
      </c>
      <c r="M487" s="87">
        <v>5480</v>
      </c>
      <c r="N487" s="85">
        <v>829.63199999999995</v>
      </c>
      <c r="O487" s="87">
        <v>5460</v>
      </c>
      <c r="P487" s="85">
        <v>830.77700000000004</v>
      </c>
      <c r="Q487" s="87">
        <v>5480</v>
      </c>
      <c r="R487" s="85">
        <v>830.37300000000005</v>
      </c>
      <c r="S487" s="87">
        <v>5480</v>
      </c>
      <c r="T487" s="85">
        <v>830.98099999999999</v>
      </c>
      <c r="U487" s="87">
        <v>5470</v>
      </c>
      <c r="V487" s="84">
        <v>830.03200000000004</v>
      </c>
      <c r="W487" s="87">
        <v>5480</v>
      </c>
      <c r="X487" s="85">
        <v>829.7</v>
      </c>
      <c r="Y487" s="87">
        <v>5480</v>
      </c>
      <c r="Z487" s="85">
        <v>828.149</v>
      </c>
      <c r="AA487" s="87">
        <v>5480</v>
      </c>
      <c r="AB487" s="85">
        <v>828.14</v>
      </c>
      <c r="AC487" s="87">
        <v>5470</v>
      </c>
      <c r="AD487" s="85">
        <v>752.06700000000001</v>
      </c>
      <c r="AE487" s="87">
        <v>5480</v>
      </c>
      <c r="AF487" s="85">
        <v>753.51099999999997</v>
      </c>
      <c r="AG487" s="87">
        <v>5460</v>
      </c>
      <c r="AH487" s="85">
        <v>202.751</v>
      </c>
      <c r="AI487" s="87">
        <v>5460</v>
      </c>
      <c r="AJ487" s="85">
        <v>212.52199999999999</v>
      </c>
    </row>
    <row r="488" spans="1:36" ht="14.25" customHeight="1">
      <c r="A488" s="88">
        <v>5490</v>
      </c>
      <c r="B488" s="84">
        <v>432.31200000000001</v>
      </c>
      <c r="C488" s="88">
        <v>5500</v>
      </c>
      <c r="D488" s="85">
        <v>429.13299999999998</v>
      </c>
      <c r="E488" s="86">
        <v>5490</v>
      </c>
      <c r="F488" s="85">
        <v>951.01800000000003</v>
      </c>
      <c r="G488" s="87">
        <v>5490</v>
      </c>
      <c r="H488" s="85">
        <v>950.64700000000005</v>
      </c>
      <c r="I488" s="87">
        <v>5490</v>
      </c>
      <c r="J488" s="85">
        <v>828.59400000000005</v>
      </c>
      <c r="K488" s="87">
        <v>5490</v>
      </c>
      <c r="L488" s="85">
        <v>828.22900000000004</v>
      </c>
      <c r="M488" s="87">
        <v>5490</v>
      </c>
      <c r="N488" s="85">
        <v>828.41899999999998</v>
      </c>
      <c r="O488" s="87">
        <v>5470</v>
      </c>
      <c r="P488" s="85">
        <v>829.56399999999996</v>
      </c>
      <c r="Q488" s="87">
        <v>5490</v>
      </c>
      <c r="R488" s="85">
        <v>829.16</v>
      </c>
      <c r="S488" s="87">
        <v>5490</v>
      </c>
      <c r="T488" s="85">
        <v>829.76800000000003</v>
      </c>
      <c r="U488" s="87">
        <v>5480</v>
      </c>
      <c r="V488" s="84">
        <v>828.822</v>
      </c>
      <c r="W488" s="87">
        <v>5490</v>
      </c>
      <c r="X488" s="85">
        <v>828.48900000000003</v>
      </c>
      <c r="Y488" s="87">
        <v>5490</v>
      </c>
      <c r="Z488" s="85">
        <v>826.93799999999999</v>
      </c>
      <c r="AA488" s="87">
        <v>5490</v>
      </c>
      <c r="AB488" s="85">
        <v>826.93</v>
      </c>
      <c r="AC488" s="87">
        <v>5480</v>
      </c>
      <c r="AD488" s="85">
        <v>750.85599999999999</v>
      </c>
      <c r="AE488" s="87">
        <v>5490</v>
      </c>
      <c r="AF488" s="85">
        <v>752.30200000000002</v>
      </c>
      <c r="AG488" s="87">
        <v>5470</v>
      </c>
      <c r="AH488" s="85">
        <v>202.358</v>
      </c>
      <c r="AI488" s="87">
        <v>5470</v>
      </c>
      <c r="AJ488" s="85">
        <v>212.11600000000001</v>
      </c>
    </row>
    <row r="489" spans="1:36" ht="14.25" customHeight="1">
      <c r="A489" s="88">
        <v>5500</v>
      </c>
      <c r="B489" s="84">
        <v>431.53500000000003</v>
      </c>
      <c r="C489" s="88">
        <v>5510</v>
      </c>
      <c r="D489" s="85">
        <v>428.36099999999999</v>
      </c>
      <c r="E489" s="86">
        <v>5500</v>
      </c>
      <c r="F489" s="85">
        <v>949.52700000000004</v>
      </c>
      <c r="G489" s="87">
        <v>5500</v>
      </c>
      <c r="H489" s="85">
        <v>949.15899999999999</v>
      </c>
      <c r="I489" s="87">
        <v>5500</v>
      </c>
      <c r="J489" s="85">
        <v>827.38099999999997</v>
      </c>
      <c r="K489" s="87">
        <v>5500</v>
      </c>
      <c r="L489" s="85">
        <v>827.01599999999996</v>
      </c>
      <c r="M489" s="87">
        <v>5500</v>
      </c>
      <c r="N489" s="85">
        <v>827.20699999999999</v>
      </c>
      <c r="O489" s="87">
        <v>5480</v>
      </c>
      <c r="P489" s="85">
        <v>828.351</v>
      </c>
      <c r="Q489" s="87">
        <v>5500</v>
      </c>
      <c r="R489" s="85">
        <v>827.947</v>
      </c>
      <c r="S489" s="87">
        <v>5500</v>
      </c>
      <c r="T489" s="85">
        <v>828.55600000000004</v>
      </c>
      <c r="U489" s="87">
        <v>5490</v>
      </c>
      <c r="V489" s="84">
        <v>827.61199999999997</v>
      </c>
      <c r="W489" s="87">
        <v>5500</v>
      </c>
      <c r="X489" s="85">
        <v>827.27800000000002</v>
      </c>
      <c r="Y489" s="87">
        <v>5500</v>
      </c>
      <c r="Z489" s="85">
        <v>825.72699999999998</v>
      </c>
      <c r="AA489" s="87">
        <v>5500</v>
      </c>
      <c r="AB489" s="85">
        <v>825.72</v>
      </c>
      <c r="AC489" s="87">
        <v>5490</v>
      </c>
      <c r="AD489" s="85">
        <v>749.64599999999996</v>
      </c>
      <c r="AE489" s="87">
        <v>5500</v>
      </c>
      <c r="AF489" s="85">
        <v>751.09199999999998</v>
      </c>
      <c r="AG489" s="87">
        <v>5480</v>
      </c>
      <c r="AH489" s="85">
        <v>201.96600000000001</v>
      </c>
      <c r="AI489" s="87">
        <v>5480</v>
      </c>
      <c r="AJ489" s="85">
        <v>211.71</v>
      </c>
    </row>
    <row r="490" spans="1:36" ht="14.25" customHeight="1">
      <c r="A490" s="88">
        <v>5510</v>
      </c>
      <c r="B490" s="84">
        <v>430.75700000000001</v>
      </c>
      <c r="C490" s="88">
        <v>5520</v>
      </c>
      <c r="D490" s="85">
        <v>427.589</v>
      </c>
      <c r="E490" s="86">
        <v>5510</v>
      </c>
      <c r="F490" s="85">
        <v>948.03599999999994</v>
      </c>
      <c r="G490" s="87">
        <v>5510</v>
      </c>
      <c r="H490" s="85">
        <v>947.67100000000005</v>
      </c>
      <c r="I490" s="87">
        <v>5510</v>
      </c>
      <c r="J490" s="85">
        <v>826.16800000000001</v>
      </c>
      <c r="K490" s="87">
        <v>5510</v>
      </c>
      <c r="L490" s="85">
        <v>825.80200000000002</v>
      </c>
      <c r="M490" s="87">
        <v>5510</v>
      </c>
      <c r="N490" s="85">
        <v>825.99400000000003</v>
      </c>
      <c r="O490" s="87">
        <v>5490</v>
      </c>
      <c r="P490" s="85">
        <v>827.13800000000003</v>
      </c>
      <c r="Q490" s="87">
        <v>5510</v>
      </c>
      <c r="R490" s="85">
        <v>826.73400000000004</v>
      </c>
      <c r="S490" s="87">
        <v>5510</v>
      </c>
      <c r="T490" s="85">
        <v>827.34400000000005</v>
      </c>
      <c r="U490" s="87">
        <v>5500</v>
      </c>
      <c r="V490" s="84">
        <v>826.40200000000004</v>
      </c>
      <c r="W490" s="87">
        <v>5510</v>
      </c>
      <c r="X490" s="85">
        <v>826.06700000000001</v>
      </c>
      <c r="Y490" s="87">
        <v>5510</v>
      </c>
      <c r="Z490" s="85">
        <v>824.51499999999999</v>
      </c>
      <c r="AA490" s="87">
        <v>5510</v>
      </c>
      <c r="AB490" s="85">
        <v>824.51</v>
      </c>
      <c r="AC490" s="87">
        <v>5500</v>
      </c>
      <c r="AD490" s="85">
        <v>748.43499999999995</v>
      </c>
      <c r="AE490" s="87">
        <v>5510</v>
      </c>
      <c r="AF490" s="85">
        <v>749.88199999999995</v>
      </c>
      <c r="AG490" s="87">
        <v>5490</v>
      </c>
      <c r="AH490" s="85">
        <v>201.57400000000001</v>
      </c>
      <c r="AI490" s="87">
        <v>5490</v>
      </c>
      <c r="AJ490" s="85">
        <v>211.304</v>
      </c>
    </row>
    <row r="491" spans="1:36" ht="14.25" customHeight="1">
      <c r="A491" s="88">
        <v>5520</v>
      </c>
      <c r="B491" s="84">
        <v>429.98</v>
      </c>
      <c r="C491" s="88">
        <v>5530</v>
      </c>
      <c r="D491" s="85">
        <v>426.81700000000001</v>
      </c>
      <c r="E491" s="86">
        <v>5520</v>
      </c>
      <c r="F491" s="85">
        <v>946.54600000000005</v>
      </c>
      <c r="G491" s="87">
        <v>5520</v>
      </c>
      <c r="H491" s="85">
        <v>946.18399999999997</v>
      </c>
      <c r="I491" s="87">
        <v>5520</v>
      </c>
      <c r="J491" s="85">
        <v>824.95500000000004</v>
      </c>
      <c r="K491" s="87">
        <v>5520</v>
      </c>
      <c r="L491" s="85">
        <v>824.58799999999997</v>
      </c>
      <c r="M491" s="87">
        <v>5520</v>
      </c>
      <c r="N491" s="85">
        <v>824.78099999999995</v>
      </c>
      <c r="O491" s="87">
        <v>5500</v>
      </c>
      <c r="P491" s="85">
        <v>825.92499999999995</v>
      </c>
      <c r="Q491" s="87">
        <v>5520</v>
      </c>
      <c r="R491" s="85">
        <v>825.52099999999996</v>
      </c>
      <c r="S491" s="87">
        <v>5520</v>
      </c>
      <c r="T491" s="85">
        <v>826.13199999999995</v>
      </c>
      <c r="U491" s="87">
        <v>5510</v>
      </c>
      <c r="V491" s="84">
        <v>825.19299999999998</v>
      </c>
      <c r="W491" s="87">
        <v>5520</v>
      </c>
      <c r="X491" s="85">
        <v>824.85599999999999</v>
      </c>
      <c r="Y491" s="87">
        <v>5520</v>
      </c>
      <c r="Z491" s="85">
        <v>823.30399999999997</v>
      </c>
      <c r="AA491" s="87">
        <v>5520</v>
      </c>
      <c r="AB491" s="85">
        <v>823.3</v>
      </c>
      <c r="AC491" s="87">
        <v>5510</v>
      </c>
      <c r="AD491" s="85">
        <v>747.22400000000005</v>
      </c>
      <c r="AE491" s="87">
        <v>5520</v>
      </c>
      <c r="AF491" s="85">
        <v>748.673</v>
      </c>
      <c r="AG491" s="87">
        <v>5500</v>
      </c>
      <c r="AH491" s="85">
        <v>201.18199999999999</v>
      </c>
      <c r="AI491" s="87">
        <v>5500</v>
      </c>
      <c r="AJ491" s="85">
        <v>210.89699999999999</v>
      </c>
    </row>
    <row r="492" spans="1:36" ht="14.25" customHeight="1">
      <c r="A492" s="88">
        <v>5530</v>
      </c>
      <c r="B492" s="84">
        <v>429.20299999999997</v>
      </c>
      <c r="C492" s="88">
        <v>5540</v>
      </c>
      <c r="D492" s="85">
        <v>426.04500000000002</v>
      </c>
      <c r="E492" s="86">
        <v>5530</v>
      </c>
      <c r="F492" s="85">
        <v>945.05499999999995</v>
      </c>
      <c r="G492" s="87">
        <v>5530</v>
      </c>
      <c r="H492" s="89">
        <v>944.697</v>
      </c>
      <c r="I492" s="87">
        <v>5530</v>
      </c>
      <c r="J492" s="85">
        <v>823.74199999999996</v>
      </c>
      <c r="K492" s="87">
        <v>5530</v>
      </c>
      <c r="L492" s="85">
        <v>823.375</v>
      </c>
      <c r="M492" s="87">
        <v>5530</v>
      </c>
      <c r="N492" s="85">
        <v>823.56899999999996</v>
      </c>
      <c r="O492" s="87">
        <v>5510</v>
      </c>
      <c r="P492" s="85">
        <v>824.71199999999999</v>
      </c>
      <c r="Q492" s="87">
        <v>5530</v>
      </c>
      <c r="R492" s="85">
        <v>824.30899999999997</v>
      </c>
      <c r="S492" s="87">
        <v>5530</v>
      </c>
      <c r="T492" s="85">
        <v>824.91899999999998</v>
      </c>
      <c r="U492" s="87">
        <v>5520</v>
      </c>
      <c r="V492" s="84">
        <v>823.98299999999995</v>
      </c>
      <c r="W492" s="87">
        <v>5530</v>
      </c>
      <c r="X492" s="85">
        <v>823.64599999999996</v>
      </c>
      <c r="Y492" s="87">
        <v>5530</v>
      </c>
      <c r="Z492" s="85">
        <v>822.09299999999996</v>
      </c>
      <c r="AA492" s="87">
        <v>5530</v>
      </c>
      <c r="AB492" s="85">
        <v>822.09</v>
      </c>
      <c r="AC492" s="87">
        <v>5520</v>
      </c>
      <c r="AD492" s="85">
        <v>746.01300000000003</v>
      </c>
      <c r="AE492" s="87">
        <v>5530</v>
      </c>
      <c r="AF492" s="85">
        <v>747.46299999999997</v>
      </c>
      <c r="AG492" s="87">
        <v>5510</v>
      </c>
      <c r="AH492" s="85">
        <v>200.79</v>
      </c>
      <c r="AI492" s="87">
        <v>5510</v>
      </c>
      <c r="AJ492" s="85">
        <v>210.49100000000001</v>
      </c>
    </row>
    <row r="493" spans="1:36" ht="14.25" customHeight="1">
      <c r="A493" s="88">
        <v>5540</v>
      </c>
      <c r="B493" s="84">
        <v>428.42599999999999</v>
      </c>
      <c r="C493" s="88">
        <v>5550</v>
      </c>
      <c r="D493" s="85">
        <v>425.274</v>
      </c>
      <c r="E493" s="86">
        <v>5540</v>
      </c>
      <c r="F493" s="85">
        <v>943.56500000000005</v>
      </c>
      <c r="G493" s="87">
        <v>5540</v>
      </c>
      <c r="H493" s="89">
        <v>943.21</v>
      </c>
      <c r="I493" s="87">
        <v>5540</v>
      </c>
      <c r="J493" s="85">
        <v>822.53</v>
      </c>
      <c r="K493" s="87">
        <v>5540</v>
      </c>
      <c r="L493" s="85">
        <v>822.16099999999994</v>
      </c>
      <c r="M493" s="87">
        <v>5540</v>
      </c>
      <c r="N493" s="85">
        <v>822.35599999999999</v>
      </c>
      <c r="O493" s="87">
        <v>5520</v>
      </c>
      <c r="P493" s="85">
        <v>823.49900000000002</v>
      </c>
      <c r="Q493" s="87">
        <v>5540</v>
      </c>
      <c r="R493" s="85">
        <v>823.096</v>
      </c>
      <c r="S493" s="87">
        <v>5540</v>
      </c>
      <c r="T493" s="85">
        <v>823.70699999999999</v>
      </c>
      <c r="U493" s="87">
        <v>5530</v>
      </c>
      <c r="V493" s="84">
        <v>822.77300000000002</v>
      </c>
      <c r="W493" s="87">
        <v>5540</v>
      </c>
      <c r="X493" s="85">
        <v>822.43499999999995</v>
      </c>
      <c r="Y493" s="87">
        <v>5540</v>
      </c>
      <c r="Z493" s="85">
        <v>820.88099999999997</v>
      </c>
      <c r="AA493" s="87">
        <v>5540</v>
      </c>
      <c r="AB493" s="85">
        <v>820.88</v>
      </c>
      <c r="AC493" s="87">
        <v>5530</v>
      </c>
      <c r="AD493" s="85">
        <v>744.803</v>
      </c>
      <c r="AE493" s="87">
        <v>5540</v>
      </c>
      <c r="AF493" s="85">
        <v>746.25300000000004</v>
      </c>
      <c r="AG493" s="87">
        <v>5520</v>
      </c>
      <c r="AH493" s="85">
        <v>200.398</v>
      </c>
      <c r="AI493" s="87">
        <v>5520</v>
      </c>
      <c r="AJ493" s="85">
        <v>210.08500000000001</v>
      </c>
    </row>
    <row r="494" spans="1:36" ht="14.25" customHeight="1">
      <c r="A494" s="88">
        <v>5550</v>
      </c>
      <c r="B494" s="84">
        <v>427.649</v>
      </c>
      <c r="C494" s="88">
        <v>5560</v>
      </c>
      <c r="D494" s="85">
        <v>424.50200000000001</v>
      </c>
      <c r="E494" s="86">
        <v>5550</v>
      </c>
      <c r="F494" s="85">
        <v>942.07399999999996</v>
      </c>
      <c r="G494" s="87">
        <v>5550</v>
      </c>
      <c r="H494" s="85">
        <v>941.72299999999996</v>
      </c>
      <c r="I494" s="87">
        <v>5550</v>
      </c>
      <c r="J494" s="85">
        <v>821.31700000000001</v>
      </c>
      <c r="K494" s="87">
        <v>5550</v>
      </c>
      <c r="L494" s="85">
        <v>820.947</v>
      </c>
      <c r="M494" s="87">
        <v>5550</v>
      </c>
      <c r="N494" s="85">
        <v>821.14300000000003</v>
      </c>
      <c r="O494" s="87">
        <v>5530</v>
      </c>
      <c r="P494" s="85">
        <v>822.28599999999994</v>
      </c>
      <c r="Q494" s="87">
        <v>5550</v>
      </c>
      <c r="R494" s="85">
        <v>821.88300000000004</v>
      </c>
      <c r="S494" s="87">
        <v>5550</v>
      </c>
      <c r="T494" s="85">
        <v>822.495</v>
      </c>
      <c r="U494" s="87">
        <v>5540</v>
      </c>
      <c r="V494" s="84">
        <v>821.56299999999999</v>
      </c>
      <c r="W494" s="87">
        <v>5550</v>
      </c>
      <c r="X494" s="85">
        <v>821.22400000000005</v>
      </c>
      <c r="Y494" s="87">
        <v>5550</v>
      </c>
      <c r="Z494" s="85">
        <v>819.67</v>
      </c>
      <c r="AA494" s="87">
        <v>5550</v>
      </c>
      <c r="AB494" s="85">
        <v>819.67</v>
      </c>
      <c r="AC494" s="87">
        <v>5540</v>
      </c>
      <c r="AD494" s="85">
        <v>743.59199999999998</v>
      </c>
      <c r="AE494" s="87">
        <v>5550</v>
      </c>
      <c r="AF494" s="85">
        <v>745.04300000000001</v>
      </c>
      <c r="AG494" s="87">
        <v>5530</v>
      </c>
      <c r="AH494" s="85">
        <v>200.006</v>
      </c>
      <c r="AI494" s="87">
        <v>5530</v>
      </c>
      <c r="AJ494" s="85">
        <v>209.679</v>
      </c>
    </row>
    <row r="495" spans="1:36" ht="14.25" customHeight="1">
      <c r="A495" s="88">
        <v>5560</v>
      </c>
      <c r="B495" s="84">
        <v>426.87299999999999</v>
      </c>
      <c r="C495" s="88">
        <v>5570</v>
      </c>
      <c r="D495" s="85">
        <v>423.73099999999999</v>
      </c>
      <c r="E495" s="86">
        <v>5560</v>
      </c>
      <c r="F495" s="85">
        <v>940.58399999999995</v>
      </c>
      <c r="G495" s="87">
        <v>5560</v>
      </c>
      <c r="H495" s="85">
        <v>940.23599999999999</v>
      </c>
      <c r="I495" s="87">
        <v>5560</v>
      </c>
      <c r="J495" s="85">
        <v>820.10400000000004</v>
      </c>
      <c r="K495" s="87">
        <v>5560</v>
      </c>
      <c r="L495" s="85">
        <v>819.73400000000004</v>
      </c>
      <c r="M495" s="87">
        <v>5560</v>
      </c>
      <c r="N495" s="85">
        <v>819.93100000000004</v>
      </c>
      <c r="O495" s="87">
        <v>5540</v>
      </c>
      <c r="P495" s="85">
        <v>821.07299999999998</v>
      </c>
      <c r="Q495" s="87">
        <v>5560</v>
      </c>
      <c r="R495" s="85">
        <v>820.67</v>
      </c>
      <c r="S495" s="87">
        <v>5560</v>
      </c>
      <c r="T495" s="85">
        <v>821.28200000000004</v>
      </c>
      <c r="U495" s="87">
        <v>5550</v>
      </c>
      <c r="V495" s="84">
        <v>820.35299999999995</v>
      </c>
      <c r="W495" s="87">
        <v>5560</v>
      </c>
      <c r="X495" s="85">
        <v>820.01300000000003</v>
      </c>
      <c r="Y495" s="87">
        <v>5560</v>
      </c>
      <c r="Z495" s="85">
        <v>818.45799999999997</v>
      </c>
      <c r="AA495" s="87">
        <v>5560</v>
      </c>
      <c r="AB495" s="85">
        <v>818.46</v>
      </c>
      <c r="AC495" s="87">
        <v>5550</v>
      </c>
      <c r="AD495" s="85">
        <v>742.38099999999997</v>
      </c>
      <c r="AE495" s="87">
        <v>5560</v>
      </c>
      <c r="AF495" s="85">
        <v>743.83399999999995</v>
      </c>
      <c r="AG495" s="87">
        <v>5540</v>
      </c>
      <c r="AH495" s="85">
        <v>199.614</v>
      </c>
      <c r="AI495" s="87">
        <v>5540</v>
      </c>
      <c r="AJ495" s="85">
        <v>209.273</v>
      </c>
    </row>
    <row r="496" spans="1:36" ht="14.25" customHeight="1">
      <c r="A496" s="88">
        <v>5570</v>
      </c>
      <c r="B496" s="84">
        <v>426.096</v>
      </c>
      <c r="C496" s="88">
        <v>5580</v>
      </c>
      <c r="D496" s="85">
        <v>422.96</v>
      </c>
      <c r="E496" s="86">
        <v>5570</v>
      </c>
      <c r="F496" s="85">
        <v>939.09400000000005</v>
      </c>
      <c r="G496" s="87">
        <v>5570</v>
      </c>
      <c r="H496" s="85">
        <v>938.74900000000002</v>
      </c>
      <c r="I496" s="87">
        <v>5570</v>
      </c>
      <c r="J496" s="85">
        <v>818.89099999999996</v>
      </c>
      <c r="K496" s="87">
        <v>5570</v>
      </c>
      <c r="L496" s="85">
        <v>818.52</v>
      </c>
      <c r="M496" s="87">
        <v>5570</v>
      </c>
      <c r="N496" s="85">
        <v>818.71799999999996</v>
      </c>
      <c r="O496" s="87">
        <v>5550</v>
      </c>
      <c r="P496" s="85">
        <v>819.86</v>
      </c>
      <c r="Q496" s="87">
        <v>5570</v>
      </c>
      <c r="R496" s="85">
        <v>819.45799999999997</v>
      </c>
      <c r="S496" s="87">
        <v>5570</v>
      </c>
      <c r="T496" s="85">
        <v>820.07</v>
      </c>
      <c r="U496" s="87">
        <v>5560</v>
      </c>
      <c r="V496" s="84">
        <v>819.14300000000003</v>
      </c>
      <c r="W496" s="87">
        <v>5570</v>
      </c>
      <c r="X496" s="85">
        <v>818.80200000000002</v>
      </c>
      <c r="Y496" s="87">
        <v>5570</v>
      </c>
      <c r="Z496" s="85">
        <v>817.24699999999996</v>
      </c>
      <c r="AA496" s="87">
        <v>5570</v>
      </c>
      <c r="AB496" s="85">
        <v>817.25</v>
      </c>
      <c r="AC496" s="87">
        <v>5560</v>
      </c>
      <c r="AD496" s="85">
        <v>741.17100000000005</v>
      </c>
      <c r="AE496" s="87">
        <v>5570</v>
      </c>
      <c r="AF496" s="85">
        <v>742.62400000000002</v>
      </c>
      <c r="AG496" s="87">
        <v>5550</v>
      </c>
      <c r="AH496" s="85">
        <v>199.22300000000001</v>
      </c>
      <c r="AI496" s="87">
        <v>5550</v>
      </c>
      <c r="AJ496" s="85">
        <v>208.86699999999999</v>
      </c>
    </row>
    <row r="497" spans="1:36" ht="14.25" customHeight="1">
      <c r="A497" s="88">
        <v>5580</v>
      </c>
      <c r="B497" s="84">
        <v>425.32</v>
      </c>
      <c r="C497" s="88">
        <v>5590</v>
      </c>
      <c r="D497" s="85">
        <v>422.19</v>
      </c>
      <c r="E497" s="86">
        <v>5580</v>
      </c>
      <c r="F497" s="85">
        <v>937.60400000000004</v>
      </c>
      <c r="G497" s="87">
        <v>5580</v>
      </c>
      <c r="H497" s="85">
        <v>937.26199999999994</v>
      </c>
      <c r="I497" s="87">
        <v>5580</v>
      </c>
      <c r="J497" s="85">
        <v>817.678</v>
      </c>
      <c r="K497" s="87">
        <v>5580</v>
      </c>
      <c r="L497" s="85">
        <v>817.30700000000002</v>
      </c>
      <c r="M497" s="87">
        <v>5580</v>
      </c>
      <c r="N497" s="85">
        <v>817.505</v>
      </c>
      <c r="O497" s="87">
        <v>5560</v>
      </c>
      <c r="P497" s="85">
        <v>818.64700000000005</v>
      </c>
      <c r="Q497" s="87">
        <v>5580</v>
      </c>
      <c r="R497" s="85">
        <v>818.245</v>
      </c>
      <c r="S497" s="87">
        <v>5580</v>
      </c>
      <c r="T497" s="85">
        <v>818.85799999999995</v>
      </c>
      <c r="U497" s="87">
        <v>5570</v>
      </c>
      <c r="V497" s="84">
        <v>817.93299999999999</v>
      </c>
      <c r="W497" s="87">
        <v>5580</v>
      </c>
      <c r="X497" s="85">
        <v>817.59199999999998</v>
      </c>
      <c r="Y497" s="87">
        <v>5580</v>
      </c>
      <c r="Z497" s="85">
        <v>816.03599999999994</v>
      </c>
      <c r="AA497" s="87">
        <v>5580</v>
      </c>
      <c r="AB497" s="85">
        <v>816.04</v>
      </c>
      <c r="AC497" s="87">
        <v>5570</v>
      </c>
      <c r="AD497" s="85">
        <v>739.96</v>
      </c>
      <c r="AE497" s="87">
        <v>5580</v>
      </c>
      <c r="AF497" s="85">
        <v>741.41399999999999</v>
      </c>
      <c r="AG497" s="87">
        <v>5560</v>
      </c>
      <c r="AH497" s="85">
        <v>198.83099999999999</v>
      </c>
      <c r="AI497" s="87">
        <v>5560</v>
      </c>
      <c r="AJ497" s="85">
        <v>208.46199999999999</v>
      </c>
    </row>
    <row r="498" spans="1:36" ht="14.25" customHeight="1">
      <c r="A498" s="88">
        <v>5590</v>
      </c>
      <c r="B498" s="84">
        <v>424.54399999999998</v>
      </c>
      <c r="C498" s="88">
        <v>5600</v>
      </c>
      <c r="D498" s="85">
        <v>421.41899999999998</v>
      </c>
      <c r="E498" s="86">
        <v>5590</v>
      </c>
      <c r="F498" s="85">
        <v>936.11500000000001</v>
      </c>
      <c r="G498" s="87">
        <v>5590</v>
      </c>
      <c r="H498" s="85">
        <v>935.77499999999998</v>
      </c>
      <c r="I498" s="87">
        <v>5590</v>
      </c>
      <c r="J498" s="85">
        <v>816.46500000000003</v>
      </c>
      <c r="K498" s="87">
        <v>5590</v>
      </c>
      <c r="L498" s="85">
        <v>816.09299999999996</v>
      </c>
      <c r="M498" s="87">
        <v>5590</v>
      </c>
      <c r="N498" s="85">
        <v>816.29300000000001</v>
      </c>
      <c r="O498" s="87">
        <v>5570</v>
      </c>
      <c r="P498" s="85">
        <v>817.43399999999997</v>
      </c>
      <c r="Q498" s="87">
        <v>5590</v>
      </c>
      <c r="R498" s="85">
        <v>817.03200000000004</v>
      </c>
      <c r="S498" s="87">
        <v>5590</v>
      </c>
      <c r="T498" s="85">
        <v>817.64599999999996</v>
      </c>
      <c r="U498" s="87">
        <v>5580</v>
      </c>
      <c r="V498" s="84">
        <v>816.72400000000005</v>
      </c>
      <c r="W498" s="87">
        <v>5590</v>
      </c>
      <c r="X498" s="85">
        <v>816.38099999999997</v>
      </c>
      <c r="Y498" s="87">
        <v>5590</v>
      </c>
      <c r="Z498" s="85">
        <v>814.82399999999996</v>
      </c>
      <c r="AA498" s="87">
        <v>5590</v>
      </c>
      <c r="AB498" s="85">
        <v>814.83</v>
      </c>
      <c r="AC498" s="87">
        <v>5580</v>
      </c>
      <c r="AD498" s="85">
        <v>738.74900000000002</v>
      </c>
      <c r="AE498" s="87">
        <v>5590</v>
      </c>
      <c r="AF498" s="85">
        <v>740.20399999999995</v>
      </c>
      <c r="AG498" s="87">
        <v>5570</v>
      </c>
      <c r="AH498" s="85">
        <v>198.43899999999999</v>
      </c>
      <c r="AI498" s="87">
        <v>5570</v>
      </c>
      <c r="AJ498" s="85">
        <v>208.05600000000001</v>
      </c>
    </row>
    <row r="499" spans="1:36" ht="14.25" customHeight="1">
      <c r="A499" s="88">
        <v>5600</v>
      </c>
      <c r="B499" s="84">
        <v>423.76900000000001</v>
      </c>
      <c r="C499" s="88">
        <v>5610</v>
      </c>
      <c r="D499" s="85">
        <v>420.649</v>
      </c>
      <c r="E499" s="86">
        <v>5600</v>
      </c>
      <c r="F499" s="85">
        <v>934.625</v>
      </c>
      <c r="G499" s="87">
        <v>5600</v>
      </c>
      <c r="H499" s="85">
        <v>934.28899999999999</v>
      </c>
      <c r="I499" s="87">
        <v>5600</v>
      </c>
      <c r="J499" s="85">
        <v>815.25199999999995</v>
      </c>
      <c r="K499" s="87">
        <v>5600</v>
      </c>
      <c r="L499" s="85">
        <v>814.87900000000002</v>
      </c>
      <c r="M499" s="87">
        <v>5600</v>
      </c>
      <c r="N499" s="85">
        <v>815.08</v>
      </c>
      <c r="O499" s="87">
        <v>5580</v>
      </c>
      <c r="P499" s="85">
        <v>816.221</v>
      </c>
      <c r="Q499" s="87">
        <v>5600</v>
      </c>
      <c r="R499" s="85">
        <v>815.81899999999996</v>
      </c>
      <c r="S499" s="87">
        <v>5600</v>
      </c>
      <c r="T499" s="85">
        <v>816.43299999999999</v>
      </c>
      <c r="U499" s="87">
        <v>5590</v>
      </c>
      <c r="V499" s="84">
        <v>815.51400000000001</v>
      </c>
      <c r="W499" s="87">
        <v>5600</v>
      </c>
      <c r="X499" s="85">
        <v>815.17</v>
      </c>
      <c r="Y499" s="87">
        <v>5600</v>
      </c>
      <c r="Z499" s="85">
        <v>813.61300000000006</v>
      </c>
      <c r="AA499" s="87">
        <v>5600</v>
      </c>
      <c r="AB499" s="85">
        <v>813.62</v>
      </c>
      <c r="AC499" s="87">
        <v>5590</v>
      </c>
      <c r="AD499" s="85">
        <v>737.53800000000001</v>
      </c>
      <c r="AE499" s="87">
        <v>5600</v>
      </c>
      <c r="AF499" s="85">
        <v>738.995</v>
      </c>
      <c r="AG499" s="87">
        <v>5580</v>
      </c>
      <c r="AH499" s="85">
        <v>198.048</v>
      </c>
      <c r="AI499" s="87">
        <v>5580</v>
      </c>
      <c r="AJ499" s="85">
        <v>207.65</v>
      </c>
    </row>
    <row r="500" spans="1:36" ht="14.25" customHeight="1">
      <c r="A500" s="88">
        <v>5610</v>
      </c>
      <c r="B500" s="84">
        <v>422.99299999999999</v>
      </c>
      <c r="C500" s="88">
        <v>5620</v>
      </c>
      <c r="D500" s="85">
        <v>419.87799999999999</v>
      </c>
      <c r="E500" s="86">
        <v>5610</v>
      </c>
      <c r="F500" s="85">
        <v>933.13499999999999</v>
      </c>
      <c r="G500" s="87">
        <v>5610</v>
      </c>
      <c r="H500" s="85">
        <v>932.803</v>
      </c>
      <c r="I500" s="87">
        <v>5610</v>
      </c>
      <c r="J500" s="85">
        <v>814.04</v>
      </c>
      <c r="K500" s="87">
        <v>5610</v>
      </c>
      <c r="L500" s="85">
        <v>813.66600000000005</v>
      </c>
      <c r="M500" s="87">
        <v>5610</v>
      </c>
      <c r="N500" s="85">
        <v>813.86699999999996</v>
      </c>
      <c r="O500" s="87">
        <v>5590</v>
      </c>
      <c r="P500" s="85">
        <v>815.00900000000001</v>
      </c>
      <c r="Q500" s="87">
        <v>5610</v>
      </c>
      <c r="R500" s="85">
        <v>814.60699999999997</v>
      </c>
      <c r="S500" s="87">
        <v>5610</v>
      </c>
      <c r="T500" s="85">
        <v>815.221</v>
      </c>
      <c r="U500" s="87">
        <v>5600</v>
      </c>
      <c r="V500" s="84">
        <v>814.30399999999997</v>
      </c>
      <c r="W500" s="87">
        <v>5610</v>
      </c>
      <c r="X500" s="85">
        <v>813.95899999999995</v>
      </c>
      <c r="Y500" s="87">
        <v>5610</v>
      </c>
      <c r="Z500" s="85">
        <v>812.40200000000004</v>
      </c>
      <c r="AA500" s="87">
        <v>5610</v>
      </c>
      <c r="AB500" s="85">
        <v>812.41</v>
      </c>
      <c r="AC500" s="87">
        <v>5600</v>
      </c>
      <c r="AD500" s="85">
        <v>736.32799999999997</v>
      </c>
      <c r="AE500" s="87">
        <v>5610</v>
      </c>
      <c r="AF500" s="85">
        <v>737.78499999999997</v>
      </c>
      <c r="AG500" s="87">
        <v>5590</v>
      </c>
      <c r="AH500" s="85">
        <v>197.65600000000001</v>
      </c>
      <c r="AI500" s="87">
        <v>5590</v>
      </c>
      <c r="AJ500" s="85">
        <v>207.245</v>
      </c>
    </row>
    <row r="501" spans="1:36" ht="14.25" customHeight="1">
      <c r="A501" s="88">
        <v>5620</v>
      </c>
      <c r="B501" s="84">
        <v>422.21800000000002</v>
      </c>
      <c r="C501" s="88">
        <v>5630</v>
      </c>
      <c r="D501" s="85">
        <v>419.108</v>
      </c>
      <c r="E501" s="86">
        <v>5620</v>
      </c>
      <c r="F501" s="85">
        <v>931.64599999999996</v>
      </c>
      <c r="G501" s="87">
        <v>5620</v>
      </c>
      <c r="H501" s="85">
        <v>931.31600000000003</v>
      </c>
      <c r="I501" s="87">
        <v>5620</v>
      </c>
      <c r="J501" s="85">
        <v>812.827</v>
      </c>
      <c r="K501" s="87">
        <v>5620</v>
      </c>
      <c r="L501" s="85">
        <v>812.452</v>
      </c>
      <c r="M501" s="87">
        <v>5620</v>
      </c>
      <c r="N501" s="85">
        <v>812.65499999999997</v>
      </c>
      <c r="O501" s="87">
        <v>5600</v>
      </c>
      <c r="P501" s="85">
        <v>813.79600000000005</v>
      </c>
      <c r="Q501" s="87">
        <v>5620</v>
      </c>
      <c r="R501" s="85">
        <v>813.39400000000001</v>
      </c>
      <c r="S501" s="87">
        <v>5620</v>
      </c>
      <c r="T501" s="85">
        <v>814.00900000000001</v>
      </c>
      <c r="U501" s="87">
        <v>5610</v>
      </c>
      <c r="V501" s="84">
        <v>813.09400000000005</v>
      </c>
      <c r="W501" s="87">
        <v>5620</v>
      </c>
      <c r="X501" s="85">
        <v>812.74800000000005</v>
      </c>
      <c r="Y501" s="87">
        <v>5620</v>
      </c>
      <c r="Z501" s="85">
        <v>811.19</v>
      </c>
      <c r="AA501" s="87">
        <v>5620</v>
      </c>
      <c r="AB501" s="85">
        <v>811.2</v>
      </c>
      <c r="AC501" s="87">
        <v>5610</v>
      </c>
      <c r="AD501" s="85">
        <v>735.11699999999996</v>
      </c>
      <c r="AE501" s="87">
        <v>5620</v>
      </c>
      <c r="AF501" s="85">
        <v>736.57500000000005</v>
      </c>
      <c r="AG501" s="87">
        <v>5600</v>
      </c>
      <c r="AH501" s="85">
        <v>197.26499999999999</v>
      </c>
      <c r="AI501" s="87">
        <v>5600</v>
      </c>
      <c r="AJ501" s="85">
        <v>206.839</v>
      </c>
    </row>
    <row r="502" spans="1:36" ht="14.25" customHeight="1">
      <c r="A502" s="88">
        <v>5630</v>
      </c>
      <c r="B502" s="84">
        <v>421.44200000000001</v>
      </c>
      <c r="C502" s="88">
        <v>5640</v>
      </c>
      <c r="D502" s="85">
        <v>418.33800000000002</v>
      </c>
      <c r="E502" s="86">
        <v>5630</v>
      </c>
      <c r="F502" s="85">
        <v>930.15700000000004</v>
      </c>
      <c r="G502" s="87">
        <v>5630</v>
      </c>
      <c r="H502" s="85">
        <v>929.83</v>
      </c>
      <c r="I502" s="87">
        <v>5630</v>
      </c>
      <c r="J502" s="85">
        <v>811.61400000000003</v>
      </c>
      <c r="K502" s="87">
        <v>5630</v>
      </c>
      <c r="L502" s="85">
        <v>811.23800000000006</v>
      </c>
      <c r="M502" s="87">
        <v>5630</v>
      </c>
      <c r="N502" s="85">
        <v>811.44200000000001</v>
      </c>
      <c r="O502" s="87">
        <v>5610</v>
      </c>
      <c r="P502" s="85">
        <v>812.58299999999997</v>
      </c>
      <c r="Q502" s="87">
        <v>5630</v>
      </c>
      <c r="R502" s="85">
        <v>812.18100000000004</v>
      </c>
      <c r="S502" s="87">
        <v>5630</v>
      </c>
      <c r="T502" s="85">
        <v>812.79700000000003</v>
      </c>
      <c r="U502" s="87">
        <v>5620</v>
      </c>
      <c r="V502" s="84">
        <v>811.88400000000001</v>
      </c>
      <c r="W502" s="87">
        <v>5630</v>
      </c>
      <c r="X502" s="85">
        <v>811.53700000000003</v>
      </c>
      <c r="Y502" s="87">
        <v>5630</v>
      </c>
      <c r="Z502" s="85">
        <v>809.97900000000004</v>
      </c>
      <c r="AA502" s="87">
        <v>5630</v>
      </c>
      <c r="AB502" s="85">
        <v>809.99</v>
      </c>
      <c r="AC502" s="87">
        <v>5620</v>
      </c>
      <c r="AD502" s="85">
        <v>733.90599999999995</v>
      </c>
      <c r="AE502" s="87">
        <v>5630</v>
      </c>
      <c r="AF502" s="85">
        <v>735.36599999999999</v>
      </c>
      <c r="AG502" s="87">
        <v>5610</v>
      </c>
      <c r="AH502" s="85">
        <v>196.87299999999999</v>
      </c>
      <c r="AI502" s="87">
        <v>5610</v>
      </c>
      <c r="AJ502" s="85">
        <v>206.434</v>
      </c>
    </row>
    <row r="503" spans="1:36" ht="14.25" customHeight="1">
      <c r="A503" s="88">
        <v>5640</v>
      </c>
      <c r="B503" s="84">
        <v>420.66699999999997</v>
      </c>
      <c r="C503" s="88">
        <v>5650</v>
      </c>
      <c r="D503" s="85">
        <v>417.56900000000002</v>
      </c>
      <c r="E503" s="86">
        <v>5640</v>
      </c>
      <c r="F503" s="85">
        <v>928.66800000000001</v>
      </c>
      <c r="G503" s="87">
        <v>5640</v>
      </c>
      <c r="H503" s="85">
        <v>928.34400000000005</v>
      </c>
      <c r="I503" s="87">
        <v>5640</v>
      </c>
      <c r="J503" s="85">
        <v>810.40099999999995</v>
      </c>
      <c r="K503" s="87">
        <v>5640</v>
      </c>
      <c r="L503" s="85">
        <v>810.02499999999998</v>
      </c>
      <c r="M503" s="87">
        <v>5640</v>
      </c>
      <c r="N503" s="85">
        <v>810.22900000000004</v>
      </c>
      <c r="O503" s="87">
        <v>5620</v>
      </c>
      <c r="P503" s="85">
        <v>811.37</v>
      </c>
      <c r="Q503" s="87">
        <v>5640</v>
      </c>
      <c r="R503" s="85">
        <v>810.96799999999996</v>
      </c>
      <c r="S503" s="87">
        <v>5640</v>
      </c>
      <c r="T503" s="85">
        <v>811.58399999999995</v>
      </c>
      <c r="U503" s="87">
        <v>5630</v>
      </c>
      <c r="V503" s="84">
        <v>810.67399999999998</v>
      </c>
      <c r="W503" s="87">
        <v>5640</v>
      </c>
      <c r="X503" s="85">
        <v>810.327</v>
      </c>
      <c r="Y503" s="87">
        <v>5640</v>
      </c>
      <c r="Z503" s="85">
        <v>808.76800000000003</v>
      </c>
      <c r="AA503" s="87">
        <v>5640</v>
      </c>
      <c r="AB503" s="85">
        <v>808.78</v>
      </c>
      <c r="AC503" s="87">
        <v>5630</v>
      </c>
      <c r="AD503" s="85">
        <v>732.69500000000005</v>
      </c>
      <c r="AE503" s="87">
        <v>5640</v>
      </c>
      <c r="AF503" s="85">
        <v>734.15599999999995</v>
      </c>
      <c r="AG503" s="87">
        <v>5620</v>
      </c>
      <c r="AH503" s="85">
        <v>196.482</v>
      </c>
      <c r="AI503" s="87">
        <v>5620</v>
      </c>
      <c r="AJ503" s="85">
        <v>206.02799999999999</v>
      </c>
    </row>
    <row r="504" spans="1:36" ht="14.25" customHeight="1">
      <c r="A504" s="88">
        <v>5650</v>
      </c>
      <c r="B504" s="84">
        <v>419.892</v>
      </c>
      <c r="C504" s="88">
        <v>5660</v>
      </c>
      <c r="D504" s="85">
        <v>416.79899999999998</v>
      </c>
      <c r="E504" s="86">
        <v>5650</v>
      </c>
      <c r="F504" s="85">
        <v>927.17899999999997</v>
      </c>
      <c r="G504" s="87">
        <v>5650</v>
      </c>
      <c r="H504" s="85">
        <v>926.85799999999995</v>
      </c>
      <c r="I504" s="87">
        <v>5650</v>
      </c>
      <c r="J504" s="85">
        <v>809.18799999999999</v>
      </c>
      <c r="K504" s="87">
        <v>5650</v>
      </c>
      <c r="L504" s="85">
        <v>808.81100000000004</v>
      </c>
      <c r="M504" s="87">
        <v>5650</v>
      </c>
      <c r="N504" s="85">
        <v>809.01700000000005</v>
      </c>
      <c r="O504" s="87">
        <v>5630</v>
      </c>
      <c r="P504" s="85">
        <v>810.15700000000004</v>
      </c>
      <c r="Q504" s="87">
        <v>5650</v>
      </c>
      <c r="R504" s="85">
        <v>809.75599999999997</v>
      </c>
      <c r="S504" s="87">
        <v>5650</v>
      </c>
      <c r="T504" s="85">
        <v>810.37199999999996</v>
      </c>
      <c r="U504" s="87">
        <v>5640</v>
      </c>
      <c r="V504" s="84">
        <v>809.46400000000006</v>
      </c>
      <c r="W504" s="87">
        <v>5650</v>
      </c>
      <c r="X504" s="85">
        <v>809.11599999999999</v>
      </c>
      <c r="Y504" s="87">
        <v>5650</v>
      </c>
      <c r="Z504" s="85">
        <v>807.55600000000004</v>
      </c>
      <c r="AA504" s="87">
        <v>5650</v>
      </c>
      <c r="AB504" s="85">
        <v>807.57100000000003</v>
      </c>
      <c r="AC504" s="87">
        <v>5640</v>
      </c>
      <c r="AD504" s="85">
        <v>731.48500000000001</v>
      </c>
      <c r="AE504" s="87">
        <v>5650</v>
      </c>
      <c r="AF504" s="85">
        <v>732.94600000000003</v>
      </c>
      <c r="AG504" s="87">
        <v>5630</v>
      </c>
      <c r="AH504" s="85">
        <v>196.09100000000001</v>
      </c>
      <c r="AI504" s="87">
        <v>5630</v>
      </c>
      <c r="AJ504" s="85">
        <v>205.62299999999999</v>
      </c>
    </row>
    <row r="505" spans="1:36" ht="14.25" customHeight="1">
      <c r="A505" s="88">
        <v>5660</v>
      </c>
      <c r="B505" s="84">
        <v>419.11799999999999</v>
      </c>
      <c r="C505" s="88">
        <v>5670</v>
      </c>
      <c r="D505" s="85">
        <v>416.03</v>
      </c>
      <c r="E505" s="86">
        <v>5660</v>
      </c>
      <c r="F505" s="85">
        <v>925.69</v>
      </c>
      <c r="G505" s="87">
        <v>5660</v>
      </c>
      <c r="H505" s="85">
        <v>925.37199999999996</v>
      </c>
      <c r="I505" s="87">
        <v>5660</v>
      </c>
      <c r="J505" s="85">
        <v>807.97500000000002</v>
      </c>
      <c r="K505" s="87">
        <v>5660</v>
      </c>
      <c r="L505" s="85">
        <v>807.59699999999998</v>
      </c>
      <c r="M505" s="87">
        <v>5660</v>
      </c>
      <c r="N505" s="85">
        <v>807.80399999999997</v>
      </c>
      <c r="O505" s="87">
        <v>5640</v>
      </c>
      <c r="P505" s="85">
        <v>808.94399999999996</v>
      </c>
      <c r="Q505" s="87">
        <v>5660</v>
      </c>
      <c r="R505" s="85">
        <v>808.54300000000001</v>
      </c>
      <c r="S505" s="87">
        <v>5660</v>
      </c>
      <c r="T505" s="85">
        <v>809.16</v>
      </c>
      <c r="U505" s="87">
        <v>5650</v>
      </c>
      <c r="V505" s="84">
        <v>808.25400000000002</v>
      </c>
      <c r="W505" s="87">
        <v>5660</v>
      </c>
      <c r="X505" s="85">
        <v>807.90499999999997</v>
      </c>
      <c r="Y505" s="87">
        <v>5660</v>
      </c>
      <c r="Z505" s="85">
        <v>806.34500000000003</v>
      </c>
      <c r="AA505" s="87">
        <v>5660</v>
      </c>
      <c r="AB505" s="93">
        <v>806.36099999999999</v>
      </c>
      <c r="AC505" s="87">
        <v>5650</v>
      </c>
      <c r="AD505" s="85">
        <v>730.274</v>
      </c>
      <c r="AE505" s="87">
        <v>5660</v>
      </c>
      <c r="AF505" s="85">
        <v>731.73599999999999</v>
      </c>
      <c r="AG505" s="87">
        <v>5640</v>
      </c>
      <c r="AH505" s="85">
        <v>195.7</v>
      </c>
      <c r="AI505" s="87">
        <v>5640</v>
      </c>
      <c r="AJ505" s="85">
        <v>205.21799999999999</v>
      </c>
    </row>
    <row r="506" spans="1:36" ht="14.25" customHeight="1">
      <c r="A506" s="88">
        <v>5670</v>
      </c>
      <c r="B506" s="84">
        <v>418.34300000000002</v>
      </c>
      <c r="C506" s="88">
        <v>5680</v>
      </c>
      <c r="D506" s="85">
        <v>415.26100000000002</v>
      </c>
      <c r="E506" s="86">
        <v>5670</v>
      </c>
      <c r="F506" s="85">
        <v>924.20100000000002</v>
      </c>
      <c r="G506" s="87">
        <v>5670</v>
      </c>
      <c r="H506" s="85">
        <v>923.88699999999994</v>
      </c>
      <c r="I506" s="87">
        <v>5670</v>
      </c>
      <c r="J506" s="85">
        <v>806.76300000000003</v>
      </c>
      <c r="K506" s="87">
        <v>5670</v>
      </c>
      <c r="L506" s="85">
        <v>806.38400000000001</v>
      </c>
      <c r="M506" s="87">
        <v>5670</v>
      </c>
      <c r="N506" s="85">
        <v>806.59100000000001</v>
      </c>
      <c r="O506" s="87">
        <v>5650</v>
      </c>
      <c r="P506" s="85">
        <v>807.73099999999999</v>
      </c>
      <c r="Q506" s="87">
        <v>5670</v>
      </c>
      <c r="R506" s="85">
        <v>807.33</v>
      </c>
      <c r="S506" s="87">
        <v>5670</v>
      </c>
      <c r="T506" s="85">
        <v>807.94799999999998</v>
      </c>
      <c r="U506" s="87">
        <v>5660</v>
      </c>
      <c r="V506" s="84">
        <v>807.04399999999998</v>
      </c>
      <c r="W506" s="87">
        <v>5670</v>
      </c>
      <c r="X506" s="85">
        <v>806.69399999999996</v>
      </c>
      <c r="Y506" s="87">
        <v>5670</v>
      </c>
      <c r="Z506" s="85">
        <v>805.13400000000001</v>
      </c>
      <c r="AA506" s="87">
        <v>5670</v>
      </c>
      <c r="AB506" s="85">
        <v>805.15099999999995</v>
      </c>
      <c r="AC506" s="87">
        <v>5660</v>
      </c>
      <c r="AD506" s="85">
        <v>729.06299999999999</v>
      </c>
      <c r="AE506" s="87">
        <v>5670</v>
      </c>
      <c r="AF506" s="85">
        <v>730.52700000000004</v>
      </c>
      <c r="AG506" s="87">
        <v>5650</v>
      </c>
      <c r="AH506" s="85">
        <v>195.30799999999999</v>
      </c>
      <c r="AI506" s="87">
        <v>5650</v>
      </c>
      <c r="AJ506" s="85">
        <v>204.81200000000001</v>
      </c>
    </row>
    <row r="507" spans="1:36" ht="14.25" customHeight="1">
      <c r="A507" s="88">
        <v>5680</v>
      </c>
      <c r="B507" s="84">
        <v>417.56900000000002</v>
      </c>
      <c r="C507" s="88">
        <v>5690</v>
      </c>
      <c r="D507" s="85">
        <v>414.49200000000002</v>
      </c>
      <c r="E507" s="86">
        <v>5680</v>
      </c>
      <c r="F507" s="85">
        <v>922.71199999999999</v>
      </c>
      <c r="G507" s="87">
        <v>5680</v>
      </c>
      <c r="H507" s="85">
        <v>922.40099999999995</v>
      </c>
      <c r="I507" s="87">
        <v>5680</v>
      </c>
      <c r="J507" s="85">
        <v>805.55</v>
      </c>
      <c r="K507" s="87">
        <v>5680</v>
      </c>
      <c r="L507" s="85">
        <v>805.17</v>
      </c>
      <c r="M507" s="87">
        <v>5680</v>
      </c>
      <c r="N507" s="85">
        <v>805.37900000000002</v>
      </c>
      <c r="O507" s="87">
        <v>5660</v>
      </c>
      <c r="P507" s="85">
        <v>806.51800000000003</v>
      </c>
      <c r="Q507" s="87">
        <v>5680</v>
      </c>
      <c r="R507" s="85">
        <v>806.11699999999996</v>
      </c>
      <c r="S507" s="87">
        <v>5680</v>
      </c>
      <c r="T507" s="85">
        <v>806.73500000000001</v>
      </c>
      <c r="U507" s="87">
        <v>5670</v>
      </c>
      <c r="V507" s="84">
        <v>805.83500000000004</v>
      </c>
      <c r="W507" s="87">
        <v>5680</v>
      </c>
      <c r="X507" s="85">
        <v>805.48299999999995</v>
      </c>
      <c r="Y507" s="87">
        <v>5680</v>
      </c>
      <c r="Z507" s="85">
        <v>803.92200000000003</v>
      </c>
      <c r="AA507" s="87">
        <v>5680</v>
      </c>
      <c r="AB507" s="85">
        <v>803.94100000000003</v>
      </c>
      <c r="AC507" s="87">
        <v>5670</v>
      </c>
      <c r="AD507" s="85">
        <v>727.85299999999995</v>
      </c>
      <c r="AE507" s="87">
        <v>5680</v>
      </c>
      <c r="AF507" s="85">
        <v>729.31700000000001</v>
      </c>
      <c r="AG507" s="87">
        <v>5660</v>
      </c>
      <c r="AH507" s="85">
        <v>194.917</v>
      </c>
      <c r="AI507" s="87">
        <v>5660</v>
      </c>
      <c r="AJ507" s="85">
        <v>204.40700000000001</v>
      </c>
    </row>
    <row r="508" spans="1:36" ht="14.25" customHeight="1">
      <c r="A508" s="88">
        <v>5690</v>
      </c>
      <c r="B508" s="84">
        <v>416.79500000000002</v>
      </c>
      <c r="C508" s="88">
        <v>5700</v>
      </c>
      <c r="D508" s="85">
        <v>413.72300000000001</v>
      </c>
      <c r="E508" s="86">
        <v>5690</v>
      </c>
      <c r="F508" s="85">
        <v>921.22400000000005</v>
      </c>
      <c r="G508" s="87">
        <v>5690</v>
      </c>
      <c r="H508" s="85">
        <v>920.91600000000005</v>
      </c>
      <c r="I508" s="87">
        <v>5690</v>
      </c>
      <c r="J508" s="85">
        <v>804.33699999999999</v>
      </c>
      <c r="K508" s="87">
        <v>5690</v>
      </c>
      <c r="L508" s="85">
        <v>803.95600000000002</v>
      </c>
      <c r="M508" s="87">
        <v>5690</v>
      </c>
      <c r="N508" s="85">
        <v>804.16600000000005</v>
      </c>
      <c r="O508" s="87">
        <v>5670</v>
      </c>
      <c r="P508" s="85">
        <v>805.30499999999995</v>
      </c>
      <c r="Q508" s="87">
        <v>5690</v>
      </c>
      <c r="R508" s="85">
        <v>804.90499999999997</v>
      </c>
      <c r="S508" s="87">
        <v>5690</v>
      </c>
      <c r="T508" s="85">
        <v>805.52300000000002</v>
      </c>
      <c r="U508" s="87">
        <v>5680</v>
      </c>
      <c r="V508" s="84">
        <v>804.625</v>
      </c>
      <c r="W508" s="87">
        <v>5690</v>
      </c>
      <c r="X508" s="85">
        <v>804.27200000000005</v>
      </c>
      <c r="Y508" s="87">
        <v>5690</v>
      </c>
      <c r="Z508" s="85">
        <v>802.71100000000001</v>
      </c>
      <c r="AA508" s="87">
        <v>5690</v>
      </c>
      <c r="AB508" s="85">
        <v>802.73099999999999</v>
      </c>
      <c r="AC508" s="87">
        <v>5680</v>
      </c>
      <c r="AD508" s="85">
        <v>726.64200000000005</v>
      </c>
      <c r="AE508" s="87">
        <v>5690</v>
      </c>
      <c r="AF508" s="85">
        <v>728.10699999999997</v>
      </c>
      <c r="AG508" s="87">
        <v>5670</v>
      </c>
      <c r="AH508" s="85">
        <v>194.52600000000001</v>
      </c>
      <c r="AI508" s="87">
        <v>5670</v>
      </c>
      <c r="AJ508" s="85">
        <v>204.00200000000001</v>
      </c>
    </row>
    <row r="509" spans="1:36" ht="14.25" customHeight="1">
      <c r="A509" s="88">
        <v>5700</v>
      </c>
      <c r="B509" s="84">
        <v>416.02100000000002</v>
      </c>
      <c r="C509" s="88">
        <v>5710</v>
      </c>
      <c r="D509" s="85">
        <v>412.95400000000001</v>
      </c>
      <c r="E509" s="86">
        <v>5700</v>
      </c>
      <c r="F509" s="85">
        <v>919.73500000000001</v>
      </c>
      <c r="G509" s="87">
        <v>5700</v>
      </c>
      <c r="H509" s="85">
        <v>919.43</v>
      </c>
      <c r="I509" s="87">
        <v>5700</v>
      </c>
      <c r="J509" s="85">
        <v>803.12400000000002</v>
      </c>
      <c r="K509" s="87">
        <v>5700</v>
      </c>
      <c r="L509" s="85">
        <v>802.74300000000005</v>
      </c>
      <c r="M509" s="87">
        <v>5700</v>
      </c>
      <c r="N509" s="85">
        <v>802.95399999999995</v>
      </c>
      <c r="O509" s="87">
        <v>5680</v>
      </c>
      <c r="P509" s="85">
        <v>804.09199999999998</v>
      </c>
      <c r="Q509" s="87">
        <v>5700</v>
      </c>
      <c r="R509" s="85">
        <v>803.69200000000001</v>
      </c>
      <c r="S509" s="87">
        <v>5700</v>
      </c>
      <c r="T509" s="85">
        <v>804.31100000000004</v>
      </c>
      <c r="U509" s="87">
        <v>5690</v>
      </c>
      <c r="V509" s="84">
        <v>803.41499999999996</v>
      </c>
      <c r="W509" s="87">
        <v>5700</v>
      </c>
      <c r="X509" s="85">
        <v>803.06200000000001</v>
      </c>
      <c r="Y509" s="87">
        <v>5700</v>
      </c>
      <c r="Z509" s="85">
        <v>801.5</v>
      </c>
      <c r="AA509" s="87">
        <v>5700</v>
      </c>
      <c r="AB509" s="85">
        <v>801.52099999999996</v>
      </c>
      <c r="AC509" s="87">
        <v>5690</v>
      </c>
      <c r="AD509" s="85">
        <v>725.43100000000004</v>
      </c>
      <c r="AE509" s="87">
        <v>5700</v>
      </c>
      <c r="AF509" s="85">
        <v>726.89700000000005</v>
      </c>
      <c r="AG509" s="87">
        <v>5680</v>
      </c>
      <c r="AH509" s="85">
        <v>194.136</v>
      </c>
      <c r="AI509" s="87">
        <v>5680</v>
      </c>
      <c r="AJ509" s="85">
        <v>203.59700000000001</v>
      </c>
    </row>
    <row r="510" spans="1:36" ht="14.25" customHeight="1">
      <c r="A510" s="88">
        <v>5710</v>
      </c>
      <c r="B510" s="84">
        <v>415.24700000000001</v>
      </c>
      <c r="C510" s="88">
        <v>5720</v>
      </c>
      <c r="D510" s="85">
        <v>412.18599999999998</v>
      </c>
      <c r="E510" s="86">
        <v>5710</v>
      </c>
      <c r="F510" s="85">
        <v>918.24699999999996</v>
      </c>
      <c r="G510" s="87">
        <v>5710</v>
      </c>
      <c r="H510" s="85">
        <v>917.94500000000005</v>
      </c>
      <c r="I510" s="87">
        <v>5710</v>
      </c>
      <c r="J510" s="85">
        <v>801.91099999999994</v>
      </c>
      <c r="K510" s="87">
        <v>5710</v>
      </c>
      <c r="L510" s="85">
        <v>801.529</v>
      </c>
      <c r="M510" s="87">
        <v>5710</v>
      </c>
      <c r="N510" s="85">
        <v>801.74099999999999</v>
      </c>
      <c r="O510" s="87">
        <v>5690</v>
      </c>
      <c r="P510" s="85">
        <v>802.87900000000002</v>
      </c>
      <c r="Q510" s="87">
        <v>5710</v>
      </c>
      <c r="R510" s="85">
        <v>802.47900000000004</v>
      </c>
      <c r="S510" s="87">
        <v>5710</v>
      </c>
      <c r="T510" s="85">
        <v>803.09900000000005</v>
      </c>
      <c r="U510" s="87">
        <v>5700</v>
      </c>
      <c r="V510" s="84">
        <v>802.20500000000004</v>
      </c>
      <c r="W510" s="87">
        <v>5710</v>
      </c>
      <c r="X510" s="85">
        <v>801.851</v>
      </c>
      <c r="Y510" s="87">
        <v>5710</v>
      </c>
      <c r="Z510" s="85">
        <v>800.28800000000001</v>
      </c>
      <c r="AA510" s="87">
        <v>5710</v>
      </c>
      <c r="AB510" s="85">
        <v>800.31100000000004</v>
      </c>
      <c r="AC510" s="87">
        <v>5700</v>
      </c>
      <c r="AD510" s="85">
        <v>724.221</v>
      </c>
      <c r="AE510" s="87">
        <v>5710</v>
      </c>
      <c r="AF510" s="85">
        <v>725.68799999999999</v>
      </c>
      <c r="AG510" s="87">
        <v>5690</v>
      </c>
      <c r="AH510" s="85">
        <v>193.745</v>
      </c>
      <c r="AI510" s="87">
        <v>5690</v>
      </c>
      <c r="AJ510" s="85">
        <v>203.19200000000001</v>
      </c>
    </row>
    <row r="511" spans="1:36" ht="14.25" customHeight="1">
      <c r="A511" s="88">
        <v>5720</v>
      </c>
      <c r="B511" s="84">
        <v>414.47399999999999</v>
      </c>
      <c r="C511" s="88">
        <v>5730</v>
      </c>
      <c r="D511" s="85">
        <v>411.41800000000001</v>
      </c>
      <c r="E511" s="86">
        <v>5720</v>
      </c>
      <c r="F511" s="85">
        <v>916.75900000000001</v>
      </c>
      <c r="G511" s="87">
        <v>5720</v>
      </c>
      <c r="H511" s="85">
        <v>916.46</v>
      </c>
      <c r="I511" s="87">
        <v>5720</v>
      </c>
      <c r="J511" s="85">
        <v>800.69899999999996</v>
      </c>
      <c r="K511" s="87">
        <v>5720</v>
      </c>
      <c r="L511" s="85">
        <v>800.31600000000003</v>
      </c>
      <c r="M511" s="87">
        <v>5720</v>
      </c>
      <c r="N511" s="85">
        <v>800.52800000000002</v>
      </c>
      <c r="O511" s="87">
        <v>5700</v>
      </c>
      <c r="P511" s="85">
        <v>801.66600000000005</v>
      </c>
      <c r="Q511" s="87">
        <v>5720</v>
      </c>
      <c r="R511" s="85">
        <v>801.26599999999996</v>
      </c>
      <c r="S511" s="87">
        <v>5720</v>
      </c>
      <c r="T511" s="85">
        <v>801.88599999999997</v>
      </c>
      <c r="U511" s="87">
        <v>5710</v>
      </c>
      <c r="V511" s="84">
        <v>800.995</v>
      </c>
      <c r="W511" s="87">
        <v>5720</v>
      </c>
      <c r="X511" s="85">
        <v>800.64</v>
      </c>
      <c r="Y511" s="87">
        <v>5720</v>
      </c>
      <c r="Z511" s="85">
        <v>799.077</v>
      </c>
      <c r="AA511" s="87">
        <v>5720</v>
      </c>
      <c r="AB511" s="85">
        <v>799.101</v>
      </c>
      <c r="AC511" s="87">
        <v>5710</v>
      </c>
      <c r="AD511" s="85">
        <v>723.01</v>
      </c>
      <c r="AE511" s="87">
        <v>5720</v>
      </c>
      <c r="AF511" s="85">
        <v>724.47799999999995</v>
      </c>
      <c r="AG511" s="87">
        <v>5700</v>
      </c>
      <c r="AH511" s="85">
        <v>193.35400000000001</v>
      </c>
      <c r="AI511" s="87">
        <v>5700</v>
      </c>
      <c r="AJ511" s="85">
        <v>202.78700000000001</v>
      </c>
    </row>
    <row r="512" spans="1:36" ht="14.25" customHeight="1">
      <c r="A512" s="88">
        <v>5730</v>
      </c>
      <c r="B512" s="84">
        <v>413.7</v>
      </c>
      <c r="C512" s="88">
        <v>5740</v>
      </c>
      <c r="D512" s="85">
        <v>410.65</v>
      </c>
      <c r="E512" s="86">
        <v>5730</v>
      </c>
      <c r="F512" s="85">
        <v>915.27099999999996</v>
      </c>
      <c r="G512" s="87">
        <v>5730</v>
      </c>
      <c r="H512" s="85">
        <v>914.97500000000002</v>
      </c>
      <c r="I512" s="87">
        <v>5730</v>
      </c>
      <c r="J512" s="85">
        <v>799.48599999999999</v>
      </c>
      <c r="K512" s="87">
        <v>5730</v>
      </c>
      <c r="L512" s="85">
        <v>799.10199999999998</v>
      </c>
      <c r="M512" s="87">
        <v>5730</v>
      </c>
      <c r="N512" s="85">
        <v>799.31600000000003</v>
      </c>
      <c r="O512" s="87">
        <v>5710</v>
      </c>
      <c r="P512" s="85">
        <v>800.45299999999997</v>
      </c>
      <c r="Q512" s="87">
        <v>5730</v>
      </c>
      <c r="R512" s="85">
        <v>800.05399999999997</v>
      </c>
      <c r="S512" s="87">
        <v>5730</v>
      </c>
      <c r="T512" s="85">
        <v>800.67399999999998</v>
      </c>
      <c r="U512" s="87">
        <v>5720</v>
      </c>
      <c r="V512" s="84">
        <v>799.78499999999997</v>
      </c>
      <c r="W512" s="87">
        <v>5730</v>
      </c>
      <c r="X512" s="85">
        <v>799.42899999999997</v>
      </c>
      <c r="Y512" s="87">
        <v>5730</v>
      </c>
      <c r="Z512" s="85">
        <v>797.86599999999999</v>
      </c>
      <c r="AA512" s="87">
        <v>5730</v>
      </c>
      <c r="AB512" s="85">
        <v>797.89099999999996</v>
      </c>
      <c r="AC512" s="87">
        <v>5720</v>
      </c>
      <c r="AD512" s="85">
        <v>721.79899999999998</v>
      </c>
      <c r="AE512" s="87">
        <v>5730</v>
      </c>
      <c r="AF512" s="85">
        <v>723.26800000000003</v>
      </c>
      <c r="AG512" s="87">
        <v>5710</v>
      </c>
      <c r="AH512" s="85">
        <v>192.96299999999999</v>
      </c>
      <c r="AI512" s="87">
        <v>5710</v>
      </c>
      <c r="AJ512" s="85">
        <v>202.38200000000001</v>
      </c>
    </row>
    <row r="513" spans="1:36" ht="14.25" customHeight="1">
      <c r="A513" s="88">
        <v>5740</v>
      </c>
      <c r="B513" s="84">
        <v>412.92700000000002</v>
      </c>
      <c r="C513" s="88">
        <v>5750</v>
      </c>
      <c r="D513" s="85">
        <v>409.88200000000001</v>
      </c>
      <c r="E513" s="86">
        <v>5740</v>
      </c>
      <c r="F513" s="85">
        <v>913.78300000000002</v>
      </c>
      <c r="G513" s="87">
        <v>5740</v>
      </c>
      <c r="H513" s="85">
        <v>913.49</v>
      </c>
      <c r="I513" s="87">
        <v>5740</v>
      </c>
      <c r="J513" s="85">
        <v>798.27300000000002</v>
      </c>
      <c r="K513" s="87">
        <v>5740</v>
      </c>
      <c r="L513" s="85">
        <v>797.88800000000003</v>
      </c>
      <c r="M513" s="87">
        <v>5740</v>
      </c>
      <c r="N513" s="85">
        <v>798.10299999999995</v>
      </c>
      <c r="O513" s="87">
        <v>5720</v>
      </c>
      <c r="P513" s="85">
        <v>799.24099999999999</v>
      </c>
      <c r="Q513" s="87">
        <v>5740</v>
      </c>
      <c r="R513" s="85">
        <v>798.84100000000001</v>
      </c>
      <c r="S513" s="87">
        <v>5740</v>
      </c>
      <c r="T513" s="85">
        <v>799.46199999999999</v>
      </c>
      <c r="U513" s="87">
        <v>5730</v>
      </c>
      <c r="V513" s="84">
        <v>798.57500000000005</v>
      </c>
      <c r="W513" s="87">
        <v>5740</v>
      </c>
      <c r="X513" s="85">
        <v>798.21799999999996</v>
      </c>
      <c r="Y513" s="87">
        <v>5740</v>
      </c>
      <c r="Z513" s="85">
        <v>796.654</v>
      </c>
      <c r="AA513" s="87">
        <v>5740</v>
      </c>
      <c r="AB513" s="85">
        <v>796.68100000000004</v>
      </c>
      <c r="AC513" s="87">
        <v>5730</v>
      </c>
      <c r="AD513" s="85">
        <v>720.58799999999997</v>
      </c>
      <c r="AE513" s="87">
        <v>5740</v>
      </c>
      <c r="AF513" s="85">
        <v>722.05799999999999</v>
      </c>
      <c r="AG513" s="87">
        <v>5720</v>
      </c>
      <c r="AH513" s="85">
        <v>192.57300000000001</v>
      </c>
      <c r="AI513" s="87">
        <v>5720</v>
      </c>
      <c r="AJ513" s="85">
        <v>201.97800000000001</v>
      </c>
    </row>
    <row r="514" spans="1:36" ht="14.25" customHeight="1">
      <c r="A514" s="88">
        <v>5750</v>
      </c>
      <c r="B514" s="84">
        <v>412.154</v>
      </c>
      <c r="C514" s="88">
        <v>5760</v>
      </c>
      <c r="D514" s="85">
        <v>409.11399999999998</v>
      </c>
      <c r="E514" s="86">
        <v>5750</v>
      </c>
      <c r="F514" s="85">
        <v>912.29499999999996</v>
      </c>
      <c r="G514" s="87">
        <v>5750</v>
      </c>
      <c r="H514" s="85">
        <v>912.005</v>
      </c>
      <c r="I514" s="87">
        <v>5750</v>
      </c>
      <c r="J514" s="85">
        <v>797.06</v>
      </c>
      <c r="K514" s="87">
        <v>5750</v>
      </c>
      <c r="L514" s="85">
        <v>796.67499999999995</v>
      </c>
      <c r="M514" s="87">
        <v>5750</v>
      </c>
      <c r="N514" s="85">
        <v>796.89</v>
      </c>
      <c r="O514" s="87">
        <v>5730</v>
      </c>
      <c r="P514" s="85">
        <v>798.02800000000002</v>
      </c>
      <c r="Q514" s="87">
        <v>5750</v>
      </c>
      <c r="R514" s="85">
        <v>797.62800000000004</v>
      </c>
      <c r="S514" s="87">
        <v>5750</v>
      </c>
      <c r="T514" s="85">
        <v>798.25</v>
      </c>
      <c r="U514" s="87">
        <v>5740</v>
      </c>
      <c r="V514" s="84">
        <v>797.36500000000001</v>
      </c>
      <c r="W514" s="87">
        <v>5750</v>
      </c>
      <c r="X514" s="85">
        <v>797.00699999999995</v>
      </c>
      <c r="Y514" s="87">
        <v>5750</v>
      </c>
      <c r="Z514" s="85">
        <v>795.44299999999998</v>
      </c>
      <c r="AA514" s="87">
        <v>5750</v>
      </c>
      <c r="AB514" s="85">
        <v>795.471</v>
      </c>
      <c r="AC514" s="87">
        <v>5740</v>
      </c>
      <c r="AD514" s="85">
        <v>719.37800000000004</v>
      </c>
      <c r="AE514" s="87">
        <v>5750</v>
      </c>
      <c r="AF514" s="85">
        <v>720.84900000000005</v>
      </c>
      <c r="AG514" s="87">
        <v>5730</v>
      </c>
      <c r="AH514" s="85">
        <v>192.18199999999999</v>
      </c>
      <c r="AI514" s="87">
        <v>5730</v>
      </c>
      <c r="AJ514" s="85">
        <v>201.57300000000001</v>
      </c>
    </row>
    <row r="515" spans="1:36" ht="14.25" customHeight="1">
      <c r="A515" s="88">
        <v>5760</v>
      </c>
      <c r="B515" s="84">
        <v>411.38099999999997</v>
      </c>
      <c r="C515" s="88">
        <v>5770</v>
      </c>
      <c r="D515" s="85">
        <v>408.34699999999998</v>
      </c>
      <c r="E515" s="86">
        <v>5760</v>
      </c>
      <c r="F515" s="85">
        <v>910.80799999999999</v>
      </c>
      <c r="G515" s="87">
        <v>5760</v>
      </c>
      <c r="H515" s="85">
        <v>910.52</v>
      </c>
      <c r="I515" s="87">
        <v>5760</v>
      </c>
      <c r="J515" s="85">
        <v>795.84699999999998</v>
      </c>
      <c r="K515" s="87">
        <v>5760</v>
      </c>
      <c r="L515" s="85">
        <v>795.46100000000001</v>
      </c>
      <c r="M515" s="87">
        <v>5760</v>
      </c>
      <c r="N515" s="85">
        <v>795.678</v>
      </c>
      <c r="O515" s="87">
        <v>5740</v>
      </c>
      <c r="P515" s="85">
        <v>796.81500000000005</v>
      </c>
      <c r="Q515" s="87">
        <v>5760</v>
      </c>
      <c r="R515" s="85">
        <v>796.41499999999996</v>
      </c>
      <c r="S515" s="87">
        <v>5760</v>
      </c>
      <c r="T515" s="85">
        <v>797.03800000000001</v>
      </c>
      <c r="U515" s="87">
        <v>5750</v>
      </c>
      <c r="V515" s="84">
        <v>796.15499999999997</v>
      </c>
      <c r="W515" s="87">
        <v>5760</v>
      </c>
      <c r="X515" s="85">
        <v>795.79700000000003</v>
      </c>
      <c r="Y515" s="87">
        <v>5760</v>
      </c>
      <c r="Z515" s="85">
        <v>794.23199999999997</v>
      </c>
      <c r="AA515" s="87">
        <v>5760</v>
      </c>
      <c r="AB515" s="85">
        <v>794.26099999999997</v>
      </c>
      <c r="AC515" s="87">
        <v>5750</v>
      </c>
      <c r="AD515" s="85">
        <v>718.16700000000003</v>
      </c>
      <c r="AE515" s="87">
        <v>5760</v>
      </c>
      <c r="AF515" s="85">
        <v>719.63900000000001</v>
      </c>
      <c r="AG515" s="87">
        <v>5740</v>
      </c>
      <c r="AH515" s="85">
        <v>191.791</v>
      </c>
      <c r="AI515" s="87">
        <v>5740</v>
      </c>
      <c r="AJ515" s="85">
        <v>201.16800000000001</v>
      </c>
    </row>
    <row r="516" spans="1:36" ht="14.25" customHeight="1">
      <c r="A516" s="88">
        <v>5770</v>
      </c>
      <c r="B516" s="84">
        <v>410.60899999999998</v>
      </c>
      <c r="C516" s="88">
        <v>5780</v>
      </c>
      <c r="D516" s="85">
        <v>407.57900000000001</v>
      </c>
      <c r="E516" s="86">
        <v>5770</v>
      </c>
      <c r="F516" s="85">
        <v>909.32</v>
      </c>
      <c r="G516" s="87">
        <v>5770</v>
      </c>
      <c r="H516" s="85">
        <v>909.03599999999994</v>
      </c>
      <c r="I516" s="87">
        <v>5770</v>
      </c>
      <c r="J516" s="85">
        <v>794.63499999999999</v>
      </c>
      <c r="K516" s="87">
        <v>5770</v>
      </c>
      <c r="L516" s="85">
        <v>794.24699999999996</v>
      </c>
      <c r="M516" s="87">
        <v>5770</v>
      </c>
      <c r="N516" s="85">
        <v>794.46500000000003</v>
      </c>
      <c r="O516" s="87">
        <v>5750</v>
      </c>
      <c r="P516" s="85">
        <v>795.60199999999998</v>
      </c>
      <c r="Q516" s="87">
        <v>5770</v>
      </c>
      <c r="R516" s="85">
        <v>795.20299999999997</v>
      </c>
      <c r="S516" s="87">
        <v>5770</v>
      </c>
      <c r="T516" s="85">
        <v>795.82500000000005</v>
      </c>
      <c r="U516" s="87">
        <v>5760</v>
      </c>
      <c r="V516" s="84">
        <v>794.94500000000005</v>
      </c>
      <c r="W516" s="87">
        <v>5770</v>
      </c>
      <c r="X516" s="85">
        <v>794.58600000000001</v>
      </c>
      <c r="Y516" s="87">
        <v>5770</v>
      </c>
      <c r="Z516" s="85">
        <v>793.02</v>
      </c>
      <c r="AA516" s="87">
        <v>5770</v>
      </c>
      <c r="AB516" s="85">
        <v>793.05100000000004</v>
      </c>
      <c r="AC516" s="87">
        <v>5760</v>
      </c>
      <c r="AD516" s="85">
        <v>716.95600000000002</v>
      </c>
      <c r="AE516" s="87">
        <v>5770</v>
      </c>
      <c r="AF516" s="85">
        <v>718.42899999999997</v>
      </c>
      <c r="AG516" s="87">
        <v>5750</v>
      </c>
      <c r="AH516" s="85">
        <v>191.40100000000001</v>
      </c>
      <c r="AI516" s="87">
        <v>5750</v>
      </c>
      <c r="AJ516" s="85">
        <v>200.76400000000001</v>
      </c>
    </row>
    <row r="517" spans="1:36" ht="14.25" customHeight="1">
      <c r="A517" s="88">
        <v>5780</v>
      </c>
      <c r="B517" s="84">
        <v>409.83600000000001</v>
      </c>
      <c r="C517" s="88">
        <v>5790</v>
      </c>
      <c r="D517" s="85">
        <v>406.81200000000001</v>
      </c>
      <c r="E517" s="86">
        <v>5780</v>
      </c>
      <c r="F517" s="85">
        <v>907.83299999999997</v>
      </c>
      <c r="G517" s="87">
        <v>5780</v>
      </c>
      <c r="H517" s="85">
        <v>907.55100000000004</v>
      </c>
      <c r="I517" s="87">
        <v>5780</v>
      </c>
      <c r="J517" s="85">
        <v>793.42200000000003</v>
      </c>
      <c r="K517" s="87">
        <v>5780</v>
      </c>
      <c r="L517" s="85">
        <v>793.03399999999999</v>
      </c>
      <c r="M517" s="87">
        <v>5780</v>
      </c>
      <c r="N517" s="85">
        <v>793.25300000000004</v>
      </c>
      <c r="O517" s="87">
        <v>5760</v>
      </c>
      <c r="P517" s="85">
        <v>794.38900000000001</v>
      </c>
      <c r="Q517" s="87">
        <v>5780</v>
      </c>
      <c r="R517" s="85">
        <v>793.99</v>
      </c>
      <c r="S517" s="87">
        <v>5780</v>
      </c>
      <c r="T517" s="85">
        <v>794.61300000000006</v>
      </c>
      <c r="U517" s="87">
        <v>5770</v>
      </c>
      <c r="V517" s="84">
        <v>793.73500000000001</v>
      </c>
      <c r="W517" s="87">
        <v>5780</v>
      </c>
      <c r="X517" s="85">
        <v>793.375</v>
      </c>
      <c r="Y517" s="87">
        <v>5780</v>
      </c>
      <c r="Z517" s="85">
        <v>791.80899999999997</v>
      </c>
      <c r="AA517" s="87">
        <v>5780</v>
      </c>
      <c r="AB517" s="85">
        <v>791.84100000000001</v>
      </c>
      <c r="AC517" s="87">
        <v>5770</v>
      </c>
      <c r="AD517" s="85">
        <v>715.74599999999998</v>
      </c>
      <c r="AE517" s="87">
        <v>5780</v>
      </c>
      <c r="AF517" s="85">
        <v>717.21900000000005</v>
      </c>
      <c r="AG517" s="87">
        <v>5760</v>
      </c>
      <c r="AH517" s="85">
        <v>191.011</v>
      </c>
      <c r="AI517" s="87">
        <v>5760</v>
      </c>
      <c r="AJ517" s="85">
        <v>200.35900000000001</v>
      </c>
    </row>
    <row r="518" spans="1:36" ht="14.25" customHeight="1">
      <c r="A518" s="88">
        <v>5790</v>
      </c>
      <c r="B518" s="84">
        <v>409.06400000000002</v>
      </c>
      <c r="C518" s="88">
        <v>5800</v>
      </c>
      <c r="D518" s="85">
        <v>406.04500000000002</v>
      </c>
      <c r="E518" s="86">
        <v>5790</v>
      </c>
      <c r="F518" s="85">
        <v>906.346</v>
      </c>
      <c r="G518" s="87">
        <v>5790</v>
      </c>
      <c r="H518" s="85">
        <v>906.06700000000001</v>
      </c>
      <c r="I518" s="87">
        <v>5790</v>
      </c>
      <c r="J518" s="85">
        <v>792.20899999999995</v>
      </c>
      <c r="K518" s="87">
        <v>5790</v>
      </c>
      <c r="L518" s="85">
        <v>791.82</v>
      </c>
      <c r="M518" s="87">
        <v>5790</v>
      </c>
      <c r="N518" s="85">
        <v>792.04</v>
      </c>
      <c r="O518" s="87">
        <v>5770</v>
      </c>
      <c r="P518" s="85">
        <v>793.17600000000004</v>
      </c>
      <c r="Q518" s="87">
        <v>5790</v>
      </c>
      <c r="R518" s="85">
        <v>792.77700000000004</v>
      </c>
      <c r="S518" s="87">
        <v>5790</v>
      </c>
      <c r="T518" s="85">
        <v>793.40099999999995</v>
      </c>
      <c r="U518" s="87">
        <v>5780</v>
      </c>
      <c r="V518" s="84">
        <v>792.52599999999995</v>
      </c>
      <c r="W518" s="87">
        <v>5790</v>
      </c>
      <c r="X518" s="85">
        <v>792.16399999999999</v>
      </c>
      <c r="Y518" s="87">
        <v>5790</v>
      </c>
      <c r="Z518" s="85">
        <v>790.59799999999996</v>
      </c>
      <c r="AA518" s="87">
        <v>5790</v>
      </c>
      <c r="AB518" s="85">
        <v>790.63099999999997</v>
      </c>
      <c r="AC518" s="87">
        <v>5780</v>
      </c>
      <c r="AD518" s="85">
        <v>714.53499999999997</v>
      </c>
      <c r="AE518" s="87">
        <v>5790</v>
      </c>
      <c r="AF518" s="85">
        <v>716.00900000000001</v>
      </c>
      <c r="AG518" s="87">
        <v>5770</v>
      </c>
      <c r="AH518" s="85">
        <v>190.62</v>
      </c>
      <c r="AI518" s="87">
        <v>5770</v>
      </c>
      <c r="AJ518" s="85">
        <v>199.95500000000001</v>
      </c>
    </row>
    <row r="519" spans="1:36" ht="14.25" customHeight="1">
      <c r="A519" s="88">
        <v>5800</v>
      </c>
      <c r="B519" s="84">
        <v>408.29199999999997</v>
      </c>
      <c r="C519" s="88">
        <v>5810</v>
      </c>
      <c r="D519" s="85">
        <v>405.279</v>
      </c>
      <c r="E519" s="86">
        <v>5800</v>
      </c>
      <c r="F519" s="85">
        <v>904.85799999999995</v>
      </c>
      <c r="G519" s="87">
        <v>5800</v>
      </c>
      <c r="H519" s="85">
        <v>904.58299999999997</v>
      </c>
      <c r="I519" s="87">
        <v>5800</v>
      </c>
      <c r="J519" s="85">
        <v>790.99599999999998</v>
      </c>
      <c r="K519" s="87">
        <v>5800</v>
      </c>
      <c r="L519" s="85">
        <v>790.60599999999999</v>
      </c>
      <c r="M519" s="87">
        <v>5800</v>
      </c>
      <c r="N519" s="85">
        <v>790.827</v>
      </c>
      <c r="O519" s="87">
        <v>5780</v>
      </c>
      <c r="P519" s="85">
        <v>791.96299999999997</v>
      </c>
      <c r="Q519" s="87">
        <v>5800</v>
      </c>
      <c r="R519" s="85">
        <v>791.56500000000005</v>
      </c>
      <c r="S519" s="87">
        <v>5800</v>
      </c>
      <c r="T519" s="85">
        <v>792.18899999999996</v>
      </c>
      <c r="U519" s="87">
        <v>5790</v>
      </c>
      <c r="V519" s="84">
        <v>791.31600000000003</v>
      </c>
      <c r="W519" s="87">
        <v>5800</v>
      </c>
      <c r="X519" s="85">
        <v>790.95299999999997</v>
      </c>
      <c r="Y519" s="87">
        <v>5800</v>
      </c>
      <c r="Z519" s="85">
        <v>789.38599999999997</v>
      </c>
      <c r="AA519" s="87">
        <v>5800</v>
      </c>
      <c r="AB519" s="85">
        <v>789.42100000000005</v>
      </c>
      <c r="AC519" s="87">
        <v>5790</v>
      </c>
      <c r="AD519" s="85">
        <v>713.32399999999996</v>
      </c>
      <c r="AE519" s="87">
        <v>5800</v>
      </c>
      <c r="AF519" s="85">
        <v>714.8</v>
      </c>
      <c r="AG519" s="87">
        <v>5780</v>
      </c>
      <c r="AH519" s="85">
        <v>190.23</v>
      </c>
      <c r="AI519" s="87">
        <v>5780</v>
      </c>
      <c r="AJ519" s="85">
        <v>199.55099999999999</v>
      </c>
    </row>
    <row r="520" spans="1:36" ht="14.25" customHeight="1">
      <c r="A520" s="88">
        <v>5810</v>
      </c>
      <c r="B520" s="84">
        <v>407.52</v>
      </c>
      <c r="C520" s="88">
        <v>5820</v>
      </c>
      <c r="D520" s="85">
        <v>404.512</v>
      </c>
      <c r="E520" s="86">
        <v>5810</v>
      </c>
      <c r="F520" s="85">
        <v>903.37099999999998</v>
      </c>
      <c r="G520" s="87">
        <v>5810</v>
      </c>
      <c r="H520" s="85">
        <v>903.09900000000005</v>
      </c>
      <c r="I520" s="87">
        <v>5810</v>
      </c>
      <c r="J520" s="85">
        <v>789.78300000000002</v>
      </c>
      <c r="K520" s="87">
        <v>5810</v>
      </c>
      <c r="L520" s="85">
        <v>789.39300000000003</v>
      </c>
      <c r="M520" s="87">
        <v>5810</v>
      </c>
      <c r="N520" s="85">
        <v>789.61500000000001</v>
      </c>
      <c r="O520" s="87">
        <v>5790</v>
      </c>
      <c r="P520" s="85">
        <v>790.75</v>
      </c>
      <c r="Q520" s="87">
        <v>5810</v>
      </c>
      <c r="R520" s="85">
        <v>790.35199999999998</v>
      </c>
      <c r="S520" s="87">
        <v>5810</v>
      </c>
      <c r="T520" s="85">
        <v>790.976</v>
      </c>
      <c r="U520" s="87">
        <v>5800</v>
      </c>
      <c r="V520" s="84">
        <v>790.10599999999999</v>
      </c>
      <c r="W520" s="87">
        <v>5810</v>
      </c>
      <c r="X520" s="85">
        <v>789.74199999999996</v>
      </c>
      <c r="Y520" s="87">
        <v>5810</v>
      </c>
      <c r="Z520" s="85">
        <v>788.17499999999995</v>
      </c>
      <c r="AA520" s="87">
        <v>5810</v>
      </c>
      <c r="AB520" s="85">
        <v>788.21100000000001</v>
      </c>
      <c r="AC520" s="87">
        <v>5800</v>
      </c>
      <c r="AD520" s="85">
        <v>712.11300000000006</v>
      </c>
      <c r="AE520" s="87">
        <v>5810</v>
      </c>
      <c r="AF520" s="85">
        <v>713.59</v>
      </c>
      <c r="AG520" s="87">
        <v>5790</v>
      </c>
      <c r="AH520" s="85">
        <v>189.84</v>
      </c>
      <c r="AI520" s="87">
        <v>5790</v>
      </c>
      <c r="AJ520" s="85">
        <v>199.14599999999999</v>
      </c>
    </row>
    <row r="521" spans="1:36" ht="14.25" customHeight="1">
      <c r="A521" s="88">
        <v>5820</v>
      </c>
      <c r="B521" s="84">
        <v>406.74900000000002</v>
      </c>
      <c r="C521" s="88">
        <v>5830</v>
      </c>
      <c r="D521" s="85">
        <v>403.74599999999998</v>
      </c>
      <c r="E521" s="86">
        <v>5820</v>
      </c>
      <c r="F521" s="85">
        <v>901.88400000000001</v>
      </c>
      <c r="G521" s="87">
        <v>5820</v>
      </c>
      <c r="H521" s="85">
        <v>901.61500000000001</v>
      </c>
      <c r="I521" s="87">
        <v>5820</v>
      </c>
      <c r="J521" s="85">
        <v>788.57100000000003</v>
      </c>
      <c r="K521" s="87">
        <v>5820</v>
      </c>
      <c r="L521" s="85">
        <v>788.17899999999997</v>
      </c>
      <c r="M521" s="87">
        <v>5820</v>
      </c>
      <c r="N521" s="85">
        <v>788.40200000000004</v>
      </c>
      <c r="O521" s="87">
        <v>5800</v>
      </c>
      <c r="P521" s="85">
        <v>789.53700000000003</v>
      </c>
      <c r="Q521" s="87">
        <v>5820</v>
      </c>
      <c r="R521" s="85">
        <v>789.13900000000001</v>
      </c>
      <c r="S521" s="87">
        <v>5820</v>
      </c>
      <c r="T521" s="85">
        <v>789.76400000000001</v>
      </c>
      <c r="U521" s="87">
        <v>5810</v>
      </c>
      <c r="V521" s="84">
        <v>788.89599999999996</v>
      </c>
      <c r="W521" s="87">
        <v>5820</v>
      </c>
      <c r="X521" s="85">
        <v>788.53200000000004</v>
      </c>
      <c r="Y521" s="87">
        <v>5820</v>
      </c>
      <c r="Z521" s="85">
        <v>786.96400000000006</v>
      </c>
      <c r="AA521" s="87">
        <v>5820</v>
      </c>
      <c r="AB521" s="85">
        <v>787.00099999999998</v>
      </c>
      <c r="AC521" s="87">
        <v>5810</v>
      </c>
      <c r="AD521" s="85">
        <v>710.90300000000002</v>
      </c>
      <c r="AE521" s="87">
        <v>5820</v>
      </c>
      <c r="AF521" s="85">
        <v>712.38</v>
      </c>
      <c r="AG521" s="87">
        <v>5800</v>
      </c>
      <c r="AH521" s="85">
        <v>189.45</v>
      </c>
      <c r="AI521" s="87">
        <v>5800</v>
      </c>
      <c r="AJ521" s="85">
        <v>198.74199999999999</v>
      </c>
    </row>
    <row r="522" spans="1:36" ht="14.25" customHeight="1">
      <c r="A522" s="88">
        <v>5830</v>
      </c>
      <c r="B522" s="84">
        <v>405.97699999999998</v>
      </c>
      <c r="C522" s="88">
        <v>5840</v>
      </c>
      <c r="D522" s="85">
        <v>402.97899999999998</v>
      </c>
      <c r="E522" s="86">
        <v>5830</v>
      </c>
      <c r="F522" s="85">
        <v>900.39800000000002</v>
      </c>
      <c r="G522" s="87">
        <v>5830</v>
      </c>
      <c r="H522" s="85">
        <v>900.13099999999997</v>
      </c>
      <c r="I522" s="87">
        <v>5830</v>
      </c>
      <c r="J522" s="85">
        <v>787.35799999999995</v>
      </c>
      <c r="K522" s="87">
        <v>5830</v>
      </c>
      <c r="L522" s="85">
        <v>786.96600000000001</v>
      </c>
      <c r="M522" s="87">
        <v>5830</v>
      </c>
      <c r="N522" s="85">
        <v>787.18899999999996</v>
      </c>
      <c r="O522" s="87">
        <v>5810</v>
      </c>
      <c r="P522" s="85">
        <v>788.32399999999996</v>
      </c>
      <c r="Q522" s="87">
        <v>5830</v>
      </c>
      <c r="R522" s="85">
        <v>787.92700000000002</v>
      </c>
      <c r="S522" s="87">
        <v>5830</v>
      </c>
      <c r="T522" s="85">
        <v>788.55200000000002</v>
      </c>
      <c r="U522" s="87">
        <v>5820</v>
      </c>
      <c r="V522" s="84">
        <v>787.68600000000004</v>
      </c>
      <c r="W522" s="87">
        <v>5830</v>
      </c>
      <c r="X522" s="85">
        <v>787.32100000000003</v>
      </c>
      <c r="Y522" s="87">
        <v>5830</v>
      </c>
      <c r="Z522" s="85">
        <v>785.75199999999995</v>
      </c>
      <c r="AA522" s="87">
        <v>5830</v>
      </c>
      <c r="AB522" s="85">
        <v>785.79100000000005</v>
      </c>
      <c r="AC522" s="87">
        <v>5820</v>
      </c>
      <c r="AD522" s="85">
        <v>709.69200000000001</v>
      </c>
      <c r="AE522" s="87">
        <v>5830</v>
      </c>
      <c r="AF522" s="85">
        <v>711.17</v>
      </c>
      <c r="AG522" s="87">
        <v>5810</v>
      </c>
      <c r="AH522" s="85">
        <v>189.06</v>
      </c>
      <c r="AI522" s="87">
        <v>5810</v>
      </c>
      <c r="AJ522" s="85">
        <v>198.33799999999999</v>
      </c>
    </row>
    <row r="523" spans="1:36" ht="14.25" customHeight="1">
      <c r="A523" s="88">
        <v>5840</v>
      </c>
      <c r="B523" s="84">
        <v>405.20600000000002</v>
      </c>
      <c r="C523" s="88">
        <v>5850</v>
      </c>
      <c r="D523" s="85">
        <v>402.21300000000002</v>
      </c>
      <c r="E523" s="86">
        <v>5840</v>
      </c>
      <c r="F523" s="85">
        <v>898.91099999999994</v>
      </c>
      <c r="G523" s="87">
        <v>5840</v>
      </c>
      <c r="H523" s="85">
        <v>898.64700000000005</v>
      </c>
      <c r="I523" s="87">
        <v>5840</v>
      </c>
      <c r="J523" s="85">
        <v>786.14499999999998</v>
      </c>
      <c r="K523" s="87">
        <v>5840</v>
      </c>
      <c r="L523" s="85">
        <v>785.75199999999995</v>
      </c>
      <c r="M523" s="87">
        <v>5840</v>
      </c>
      <c r="N523" s="85">
        <v>785.97699999999998</v>
      </c>
      <c r="O523" s="87">
        <v>5820</v>
      </c>
      <c r="P523" s="85">
        <v>787.11199999999997</v>
      </c>
      <c r="Q523" s="87">
        <v>5840</v>
      </c>
      <c r="R523" s="85">
        <v>786.71400000000006</v>
      </c>
      <c r="S523" s="87">
        <v>5840</v>
      </c>
      <c r="T523" s="85">
        <v>787.34</v>
      </c>
      <c r="U523" s="87">
        <v>5830</v>
      </c>
      <c r="V523" s="84">
        <v>786.476</v>
      </c>
      <c r="W523" s="87">
        <v>5840</v>
      </c>
      <c r="X523" s="85">
        <v>786.11</v>
      </c>
      <c r="Y523" s="87">
        <v>5840</v>
      </c>
      <c r="Z523" s="85">
        <v>784.54100000000005</v>
      </c>
      <c r="AA523" s="87">
        <v>5840</v>
      </c>
      <c r="AB523" s="85">
        <v>784.58100000000002</v>
      </c>
      <c r="AC523" s="87">
        <v>5830</v>
      </c>
      <c r="AD523" s="85">
        <v>708.48099999999999</v>
      </c>
      <c r="AE523" s="87">
        <v>5840</v>
      </c>
      <c r="AF523" s="85">
        <v>709.96100000000001</v>
      </c>
      <c r="AG523" s="87">
        <v>5820</v>
      </c>
      <c r="AH523" s="85">
        <v>188.67</v>
      </c>
      <c r="AI523" s="87">
        <v>5820</v>
      </c>
      <c r="AJ523" s="85">
        <v>197.934</v>
      </c>
    </row>
    <row r="524" spans="1:36" ht="14.25" customHeight="1">
      <c r="A524" s="88">
        <v>5850</v>
      </c>
      <c r="B524" s="84">
        <v>404.435</v>
      </c>
      <c r="C524" s="88">
        <v>5860</v>
      </c>
      <c r="D524" s="85">
        <v>401.447</v>
      </c>
      <c r="E524" s="86">
        <v>5850</v>
      </c>
      <c r="F524" s="85">
        <v>897.42499999999995</v>
      </c>
      <c r="G524" s="87">
        <v>5850</v>
      </c>
      <c r="H524" s="85">
        <v>897.16300000000001</v>
      </c>
      <c r="I524" s="87">
        <v>5850</v>
      </c>
      <c r="J524" s="85">
        <v>784.93200000000002</v>
      </c>
      <c r="K524" s="87">
        <v>5850</v>
      </c>
      <c r="L524" s="85">
        <v>784.53800000000001</v>
      </c>
      <c r="M524" s="87">
        <v>5850</v>
      </c>
      <c r="N524" s="85">
        <v>784.76400000000001</v>
      </c>
      <c r="O524" s="87">
        <v>5830</v>
      </c>
      <c r="P524" s="85">
        <v>785.899</v>
      </c>
      <c r="Q524" s="87">
        <v>5850</v>
      </c>
      <c r="R524" s="85">
        <v>785.50099999999998</v>
      </c>
      <c r="S524" s="87">
        <v>5850</v>
      </c>
      <c r="T524" s="85">
        <v>786.12699999999995</v>
      </c>
      <c r="U524" s="87">
        <v>5840</v>
      </c>
      <c r="V524" s="84">
        <v>785.26599999999996</v>
      </c>
      <c r="W524" s="87">
        <v>5850</v>
      </c>
      <c r="X524" s="85">
        <v>784.899</v>
      </c>
      <c r="Y524" s="87">
        <v>5850</v>
      </c>
      <c r="Z524" s="85">
        <v>783.33</v>
      </c>
      <c r="AA524" s="87">
        <v>5850</v>
      </c>
      <c r="AB524" s="85">
        <v>783.37099999999998</v>
      </c>
      <c r="AC524" s="87">
        <v>5840</v>
      </c>
      <c r="AD524" s="85">
        <v>707.27099999999996</v>
      </c>
      <c r="AE524" s="87">
        <v>5850</v>
      </c>
      <c r="AF524" s="85">
        <v>708.75099999999998</v>
      </c>
      <c r="AG524" s="87">
        <v>5830</v>
      </c>
      <c r="AH524" s="85">
        <v>188.28</v>
      </c>
      <c r="AI524" s="87">
        <v>5830</v>
      </c>
      <c r="AJ524" s="85">
        <v>197.53</v>
      </c>
    </row>
    <row r="525" spans="1:36" ht="14.25" customHeight="1">
      <c r="A525" s="88">
        <v>5860</v>
      </c>
      <c r="B525" s="84">
        <v>403.66399999999999</v>
      </c>
      <c r="C525" s="88">
        <v>5870</v>
      </c>
      <c r="D525" s="85">
        <v>400.68200000000002</v>
      </c>
      <c r="E525" s="86">
        <v>5860</v>
      </c>
      <c r="F525" s="85">
        <v>895.93799999999999</v>
      </c>
      <c r="G525" s="87">
        <v>5860</v>
      </c>
      <c r="H525" s="85">
        <v>895.68</v>
      </c>
      <c r="I525" s="87">
        <v>5860</v>
      </c>
      <c r="J525" s="85">
        <v>783.72</v>
      </c>
      <c r="K525" s="87">
        <v>5860</v>
      </c>
      <c r="L525" s="85">
        <v>783.32500000000005</v>
      </c>
      <c r="M525" s="87">
        <v>5860</v>
      </c>
      <c r="N525" s="85">
        <v>783.55200000000002</v>
      </c>
      <c r="O525" s="87">
        <v>5840</v>
      </c>
      <c r="P525" s="85">
        <v>784.68600000000004</v>
      </c>
      <c r="Q525" s="87">
        <v>5860</v>
      </c>
      <c r="R525" s="85">
        <v>784.28800000000001</v>
      </c>
      <c r="S525" s="87">
        <v>5860</v>
      </c>
      <c r="T525" s="85">
        <v>784.91499999999996</v>
      </c>
      <c r="U525" s="87">
        <v>5850</v>
      </c>
      <c r="V525" s="84">
        <v>784.05600000000004</v>
      </c>
      <c r="W525" s="87">
        <v>5860</v>
      </c>
      <c r="X525" s="85">
        <v>783.68799999999999</v>
      </c>
      <c r="Y525" s="87">
        <v>5860</v>
      </c>
      <c r="Z525" s="85">
        <v>782.11800000000005</v>
      </c>
      <c r="AA525" s="87">
        <v>5860</v>
      </c>
      <c r="AB525" s="85">
        <v>782.16099999999994</v>
      </c>
      <c r="AC525" s="87">
        <v>5850</v>
      </c>
      <c r="AD525" s="85">
        <v>706.06</v>
      </c>
      <c r="AE525" s="87">
        <v>5860</v>
      </c>
      <c r="AF525" s="85">
        <v>707.54100000000005</v>
      </c>
      <c r="AG525" s="87">
        <v>5840</v>
      </c>
      <c r="AH525" s="85">
        <v>187.89099999999999</v>
      </c>
      <c r="AI525" s="87">
        <v>5840</v>
      </c>
      <c r="AJ525" s="85">
        <v>197.126</v>
      </c>
    </row>
    <row r="526" spans="1:36" ht="14.25" customHeight="1">
      <c r="A526" s="88">
        <v>5870</v>
      </c>
      <c r="B526" s="84">
        <v>402.89299999999997</v>
      </c>
      <c r="C526" s="88">
        <v>5880</v>
      </c>
      <c r="D526" s="85">
        <v>399.916</v>
      </c>
      <c r="E526" s="86">
        <v>5870</v>
      </c>
      <c r="F526" s="85">
        <v>894.452</v>
      </c>
      <c r="G526" s="87">
        <v>5870</v>
      </c>
      <c r="H526" s="85">
        <v>894.19600000000003</v>
      </c>
      <c r="I526" s="87">
        <v>5870</v>
      </c>
      <c r="J526" s="85">
        <v>782.50699999999995</v>
      </c>
      <c r="K526" s="87">
        <v>5870</v>
      </c>
      <c r="L526" s="85">
        <v>782.11099999999999</v>
      </c>
      <c r="M526" s="87">
        <v>5870</v>
      </c>
      <c r="N526" s="85">
        <v>782.33900000000006</v>
      </c>
      <c r="O526" s="87">
        <v>5850</v>
      </c>
      <c r="P526" s="85">
        <v>783.47299999999996</v>
      </c>
      <c r="Q526" s="87">
        <v>5870</v>
      </c>
      <c r="R526" s="85">
        <v>783.07600000000002</v>
      </c>
      <c r="S526" s="87">
        <v>5870</v>
      </c>
      <c r="T526" s="85">
        <v>783.70299999999997</v>
      </c>
      <c r="U526" s="87">
        <v>5860</v>
      </c>
      <c r="V526" s="84">
        <v>782.846</v>
      </c>
      <c r="W526" s="87">
        <v>5870</v>
      </c>
      <c r="X526" s="85">
        <v>782.47699999999998</v>
      </c>
      <c r="Y526" s="87">
        <v>5870</v>
      </c>
      <c r="Z526" s="85">
        <v>780.90700000000004</v>
      </c>
      <c r="AA526" s="87">
        <v>5870</v>
      </c>
      <c r="AB526" s="85">
        <v>780.95100000000002</v>
      </c>
      <c r="AC526" s="87">
        <v>5860</v>
      </c>
      <c r="AD526" s="85">
        <v>704.84900000000005</v>
      </c>
      <c r="AE526" s="87">
        <v>5870</v>
      </c>
      <c r="AF526" s="85">
        <v>706.33100000000002</v>
      </c>
      <c r="AG526" s="87">
        <v>5850</v>
      </c>
      <c r="AH526" s="85">
        <v>187.501</v>
      </c>
      <c r="AI526" s="87">
        <v>5850</v>
      </c>
      <c r="AJ526" s="85">
        <v>196.72200000000001</v>
      </c>
    </row>
    <row r="527" spans="1:36" ht="14.25" customHeight="1">
      <c r="A527" s="88">
        <v>5880</v>
      </c>
      <c r="B527" s="84">
        <v>402.12200000000001</v>
      </c>
      <c r="C527" s="88">
        <v>5890</v>
      </c>
      <c r="D527" s="85">
        <v>399.15100000000001</v>
      </c>
      <c r="E527" s="86">
        <v>5880</v>
      </c>
      <c r="F527" s="85">
        <v>892.96600000000001</v>
      </c>
      <c r="G527" s="87">
        <v>5880</v>
      </c>
      <c r="H527" s="85">
        <v>892.71299999999997</v>
      </c>
      <c r="I527" s="87">
        <v>5880</v>
      </c>
      <c r="J527" s="85">
        <v>781.29399999999998</v>
      </c>
      <c r="K527" s="87">
        <v>5880</v>
      </c>
      <c r="L527" s="85">
        <v>780.89700000000005</v>
      </c>
      <c r="M527" s="87">
        <v>5880</v>
      </c>
      <c r="N527" s="85">
        <v>781.12599999999998</v>
      </c>
      <c r="O527" s="87">
        <v>5860</v>
      </c>
      <c r="P527" s="85">
        <v>782.26</v>
      </c>
      <c r="Q527" s="87">
        <v>5880</v>
      </c>
      <c r="R527" s="85">
        <v>781.86300000000006</v>
      </c>
      <c r="S527" s="87">
        <v>5880</v>
      </c>
      <c r="T527" s="85">
        <v>782.49099999999999</v>
      </c>
      <c r="U527" s="87">
        <v>5870</v>
      </c>
      <c r="V527" s="84">
        <v>781.63599999999997</v>
      </c>
      <c r="W527" s="87">
        <v>5880</v>
      </c>
      <c r="X527" s="85">
        <v>781.26700000000005</v>
      </c>
      <c r="Y527" s="87">
        <v>5880</v>
      </c>
      <c r="Z527" s="85">
        <v>779.69600000000003</v>
      </c>
      <c r="AA527" s="87">
        <v>5880</v>
      </c>
      <c r="AB527" s="85">
        <v>779.74099999999999</v>
      </c>
      <c r="AC527" s="87">
        <v>5870</v>
      </c>
      <c r="AD527" s="85">
        <v>703.63900000000001</v>
      </c>
      <c r="AE527" s="87">
        <v>5880</v>
      </c>
      <c r="AF527" s="85">
        <v>705.12199999999996</v>
      </c>
      <c r="AG527" s="87">
        <v>5860</v>
      </c>
      <c r="AH527" s="85">
        <v>187.11099999999999</v>
      </c>
      <c r="AI527" s="87">
        <v>5860</v>
      </c>
      <c r="AJ527" s="85">
        <v>196.31899999999999</v>
      </c>
    </row>
    <row r="528" spans="1:36" ht="14.25" customHeight="1">
      <c r="A528" s="88">
        <v>5890</v>
      </c>
      <c r="B528" s="84">
        <v>401.35199999999998</v>
      </c>
      <c r="C528" s="88">
        <v>5900</v>
      </c>
      <c r="D528" s="85">
        <v>398.38600000000002</v>
      </c>
      <c r="E528" s="86">
        <v>5890</v>
      </c>
      <c r="F528" s="85">
        <v>891.48</v>
      </c>
      <c r="G528" s="87">
        <v>5890</v>
      </c>
      <c r="H528" s="85">
        <v>891.23</v>
      </c>
      <c r="I528" s="87">
        <v>5890</v>
      </c>
      <c r="J528" s="85">
        <v>780.08100000000002</v>
      </c>
      <c r="K528" s="87">
        <v>5890</v>
      </c>
      <c r="L528" s="85">
        <v>779.68399999999997</v>
      </c>
      <c r="M528" s="87">
        <v>5890</v>
      </c>
      <c r="N528" s="85">
        <v>779.91399999999999</v>
      </c>
      <c r="O528" s="87">
        <v>5870</v>
      </c>
      <c r="P528" s="85">
        <v>781.04700000000003</v>
      </c>
      <c r="Q528" s="87">
        <v>5890</v>
      </c>
      <c r="R528" s="85">
        <v>780.65</v>
      </c>
      <c r="S528" s="87">
        <v>5890</v>
      </c>
      <c r="T528" s="85">
        <v>781.27800000000002</v>
      </c>
      <c r="U528" s="87">
        <v>5880</v>
      </c>
      <c r="V528" s="84">
        <v>780.42600000000004</v>
      </c>
      <c r="W528" s="87">
        <v>5890</v>
      </c>
      <c r="X528" s="85">
        <v>780.05600000000004</v>
      </c>
      <c r="Y528" s="87">
        <v>5890</v>
      </c>
      <c r="Z528" s="85">
        <v>778.48400000000004</v>
      </c>
      <c r="AA528" s="87">
        <v>5890</v>
      </c>
      <c r="AB528" s="85">
        <v>778.53099999999995</v>
      </c>
      <c r="AC528" s="87">
        <v>5880</v>
      </c>
      <c r="AD528" s="85">
        <v>702.428</v>
      </c>
      <c r="AE528" s="87">
        <v>5890</v>
      </c>
      <c r="AF528" s="85">
        <v>703.91200000000003</v>
      </c>
      <c r="AG528" s="87">
        <v>5870</v>
      </c>
      <c r="AH528" s="85">
        <v>186.72200000000001</v>
      </c>
      <c r="AI528" s="87">
        <v>5870</v>
      </c>
      <c r="AJ528" s="85">
        <v>195.91499999999999</v>
      </c>
    </row>
    <row r="529" spans="1:36" ht="14.25" customHeight="1">
      <c r="A529" s="88">
        <v>5900</v>
      </c>
      <c r="B529" s="84">
        <v>400.58199999999999</v>
      </c>
      <c r="C529" s="88">
        <v>5910</v>
      </c>
      <c r="D529" s="85">
        <v>397.62099999999998</v>
      </c>
      <c r="E529" s="86">
        <v>5900</v>
      </c>
      <c r="F529" s="85">
        <v>889.99400000000003</v>
      </c>
      <c r="G529" s="87">
        <v>5900</v>
      </c>
      <c r="H529" s="85">
        <v>889.74599999999998</v>
      </c>
      <c r="I529" s="87">
        <v>5900</v>
      </c>
      <c r="J529" s="85">
        <v>778.86900000000003</v>
      </c>
      <c r="K529" s="87">
        <v>5900</v>
      </c>
      <c r="L529" s="85">
        <v>778.47</v>
      </c>
      <c r="M529" s="87">
        <v>5900</v>
      </c>
      <c r="N529" s="85">
        <v>778.70100000000002</v>
      </c>
      <c r="O529" s="87">
        <v>5880</v>
      </c>
      <c r="P529" s="85">
        <v>779.83399999999995</v>
      </c>
      <c r="Q529" s="87">
        <v>5900</v>
      </c>
      <c r="R529" s="85">
        <v>779.43799999999999</v>
      </c>
      <c r="S529" s="87">
        <v>5900</v>
      </c>
      <c r="T529" s="85">
        <v>780.06600000000003</v>
      </c>
      <c r="U529" s="87">
        <v>5890</v>
      </c>
      <c r="V529" s="84">
        <v>779.21600000000001</v>
      </c>
      <c r="W529" s="87">
        <v>5900</v>
      </c>
      <c r="X529" s="85">
        <v>778.84500000000003</v>
      </c>
      <c r="Y529" s="87">
        <v>5900</v>
      </c>
      <c r="Z529" s="85">
        <v>777.27300000000002</v>
      </c>
      <c r="AA529" s="87">
        <v>5900</v>
      </c>
      <c r="AB529" s="85">
        <v>777.32100000000003</v>
      </c>
      <c r="AC529" s="87">
        <v>5890</v>
      </c>
      <c r="AD529" s="85">
        <v>701.21699999999998</v>
      </c>
      <c r="AE529" s="87">
        <v>5900</v>
      </c>
      <c r="AF529" s="85">
        <v>702.702</v>
      </c>
      <c r="AG529" s="87">
        <v>5880</v>
      </c>
      <c r="AH529" s="85">
        <v>186.33199999999999</v>
      </c>
      <c r="AI529" s="87">
        <v>5880</v>
      </c>
      <c r="AJ529" s="85">
        <v>195.511</v>
      </c>
    </row>
    <row r="530" spans="1:36" ht="14.25" customHeight="1">
      <c r="A530" s="88">
        <v>5910</v>
      </c>
      <c r="B530" s="84">
        <v>399.81200000000001</v>
      </c>
      <c r="C530" s="88">
        <v>5920</v>
      </c>
      <c r="D530" s="85">
        <v>396.85599999999999</v>
      </c>
      <c r="E530" s="86">
        <v>5910</v>
      </c>
      <c r="F530" s="85">
        <v>888.50800000000004</v>
      </c>
      <c r="G530" s="87">
        <v>5910</v>
      </c>
      <c r="H530" s="85">
        <v>888.26300000000003</v>
      </c>
      <c r="I530" s="87">
        <v>5910</v>
      </c>
      <c r="J530" s="85">
        <v>777.65599999999995</v>
      </c>
      <c r="K530" s="87">
        <v>5910</v>
      </c>
      <c r="L530" s="85">
        <v>777.25599999999997</v>
      </c>
      <c r="M530" s="87">
        <v>5910</v>
      </c>
      <c r="N530" s="85">
        <v>777.48900000000003</v>
      </c>
      <c r="O530" s="87">
        <v>5890</v>
      </c>
      <c r="P530" s="85">
        <v>778.62099999999998</v>
      </c>
      <c r="Q530" s="87">
        <v>5910</v>
      </c>
      <c r="R530" s="85">
        <v>778.22500000000002</v>
      </c>
      <c r="S530" s="87">
        <v>5910</v>
      </c>
      <c r="T530" s="85">
        <v>778.85400000000004</v>
      </c>
      <c r="U530" s="87">
        <v>5900</v>
      </c>
      <c r="V530" s="84">
        <v>778.00599999999997</v>
      </c>
      <c r="W530" s="87">
        <v>5910</v>
      </c>
      <c r="X530" s="85">
        <v>777.63400000000001</v>
      </c>
      <c r="Y530" s="87">
        <v>5910</v>
      </c>
      <c r="Z530" s="85">
        <v>776.06200000000001</v>
      </c>
      <c r="AA530" s="87">
        <v>5910</v>
      </c>
      <c r="AB530" s="85">
        <v>776.11099999999999</v>
      </c>
      <c r="AC530" s="87">
        <v>5900</v>
      </c>
      <c r="AD530" s="85">
        <v>700.00699999999995</v>
      </c>
      <c r="AE530" s="87">
        <v>5910</v>
      </c>
      <c r="AF530" s="85">
        <v>701.49199999999996</v>
      </c>
      <c r="AG530" s="87">
        <v>5890</v>
      </c>
      <c r="AH530" s="85">
        <v>185.94300000000001</v>
      </c>
      <c r="AI530" s="87">
        <v>5890</v>
      </c>
      <c r="AJ530" s="85">
        <v>195.108</v>
      </c>
    </row>
    <row r="531" spans="1:36" ht="14.25" customHeight="1">
      <c r="A531" s="88">
        <v>5920</v>
      </c>
      <c r="B531" s="84">
        <v>399.04199999999997</v>
      </c>
      <c r="C531" s="88">
        <v>5930</v>
      </c>
      <c r="D531" s="85">
        <v>396.09199999999998</v>
      </c>
      <c r="E531" s="86">
        <v>5920</v>
      </c>
      <c r="F531" s="85">
        <v>887.02200000000005</v>
      </c>
      <c r="G531" s="87">
        <v>5920</v>
      </c>
      <c r="H531" s="85">
        <v>886.78099999999995</v>
      </c>
      <c r="I531" s="87">
        <v>5920</v>
      </c>
      <c r="J531" s="85">
        <v>776.44299999999998</v>
      </c>
      <c r="K531" s="87">
        <v>5920</v>
      </c>
      <c r="L531" s="85">
        <v>776.04300000000001</v>
      </c>
      <c r="M531" s="87">
        <v>5920</v>
      </c>
      <c r="N531" s="85">
        <v>776.27599999999995</v>
      </c>
      <c r="O531" s="87">
        <v>5900</v>
      </c>
      <c r="P531" s="85">
        <v>777.40899999999999</v>
      </c>
      <c r="Q531" s="87">
        <v>5920</v>
      </c>
      <c r="R531" s="85">
        <v>777.01199999999994</v>
      </c>
      <c r="S531" s="87">
        <v>5920</v>
      </c>
      <c r="T531" s="85">
        <v>777.64200000000005</v>
      </c>
      <c r="U531" s="87">
        <v>5910</v>
      </c>
      <c r="V531" s="84">
        <v>776.79700000000003</v>
      </c>
      <c r="W531" s="87">
        <v>5920</v>
      </c>
      <c r="X531" s="85">
        <v>776.423</v>
      </c>
      <c r="Y531" s="87">
        <v>5920</v>
      </c>
      <c r="Z531" s="85">
        <v>774.85</v>
      </c>
      <c r="AA531" s="87">
        <v>5920</v>
      </c>
      <c r="AB531" s="85">
        <v>774.90099999999995</v>
      </c>
      <c r="AC531" s="87">
        <v>5910</v>
      </c>
      <c r="AD531" s="85">
        <v>698.79600000000005</v>
      </c>
      <c r="AE531" s="87">
        <v>5920</v>
      </c>
      <c r="AF531" s="85">
        <v>700.28200000000004</v>
      </c>
      <c r="AG531" s="87">
        <v>5900</v>
      </c>
      <c r="AH531" s="85">
        <v>185.554</v>
      </c>
      <c r="AI531" s="87">
        <v>5900</v>
      </c>
      <c r="AJ531" s="85">
        <v>194.70500000000001</v>
      </c>
    </row>
    <row r="532" spans="1:36" ht="14.25" customHeight="1">
      <c r="A532" s="88">
        <v>5930</v>
      </c>
      <c r="B532" s="84">
        <v>398.27300000000002</v>
      </c>
      <c r="C532" s="88">
        <v>5940</v>
      </c>
      <c r="D532" s="85">
        <v>395.327</v>
      </c>
      <c r="E532" s="86">
        <v>5930</v>
      </c>
      <c r="F532" s="85">
        <v>885.53700000000003</v>
      </c>
      <c r="G532" s="87">
        <v>5930</v>
      </c>
      <c r="H532" s="85">
        <v>885.298</v>
      </c>
      <c r="I532" s="87">
        <v>5930</v>
      </c>
      <c r="J532" s="85">
        <v>775.23</v>
      </c>
      <c r="K532" s="87">
        <v>5930</v>
      </c>
      <c r="L532" s="85">
        <v>774.82899999999995</v>
      </c>
      <c r="M532" s="87">
        <v>5930</v>
      </c>
      <c r="N532" s="85">
        <v>775.06299999999999</v>
      </c>
      <c r="O532" s="87">
        <v>5910</v>
      </c>
      <c r="P532" s="85">
        <v>776.19600000000003</v>
      </c>
      <c r="Q532" s="87">
        <v>5930</v>
      </c>
      <c r="R532" s="85">
        <v>775.8</v>
      </c>
      <c r="S532" s="87">
        <v>5930</v>
      </c>
      <c r="T532" s="85">
        <v>776.42899999999997</v>
      </c>
      <c r="U532" s="87">
        <v>5920</v>
      </c>
      <c r="V532" s="84">
        <v>775.58699999999999</v>
      </c>
      <c r="W532" s="87">
        <v>5930</v>
      </c>
      <c r="X532" s="85">
        <v>775.21199999999999</v>
      </c>
      <c r="Y532" s="87">
        <v>5930</v>
      </c>
      <c r="Z532" s="85">
        <v>773.63900000000001</v>
      </c>
      <c r="AA532" s="87">
        <v>5930</v>
      </c>
      <c r="AB532" s="85">
        <v>773.69100000000003</v>
      </c>
      <c r="AC532" s="87">
        <v>5920</v>
      </c>
      <c r="AD532" s="85">
        <v>697.58500000000004</v>
      </c>
      <c r="AE532" s="87">
        <v>5930</v>
      </c>
      <c r="AF532" s="85">
        <v>699.07299999999998</v>
      </c>
      <c r="AG532" s="87">
        <v>5910</v>
      </c>
      <c r="AH532" s="85">
        <v>185.16399999999999</v>
      </c>
      <c r="AI532" s="87">
        <v>5910</v>
      </c>
      <c r="AJ532" s="85">
        <v>194.30099999999999</v>
      </c>
    </row>
    <row r="533" spans="1:36" ht="14.25" customHeight="1">
      <c r="A533" s="88">
        <v>5940</v>
      </c>
      <c r="B533" s="84">
        <v>397.50299999999999</v>
      </c>
      <c r="C533" s="88">
        <v>5950</v>
      </c>
      <c r="D533" s="85">
        <v>394.56299999999999</v>
      </c>
      <c r="E533" s="86">
        <v>5940</v>
      </c>
      <c r="F533" s="85">
        <v>884.05100000000004</v>
      </c>
      <c r="G533" s="87">
        <v>5940</v>
      </c>
      <c r="H533" s="85">
        <v>883.81500000000005</v>
      </c>
      <c r="I533" s="87">
        <v>5940</v>
      </c>
      <c r="J533" s="85">
        <v>774.01800000000003</v>
      </c>
      <c r="K533" s="87">
        <v>5940</v>
      </c>
      <c r="L533" s="85">
        <v>773.61599999999999</v>
      </c>
      <c r="M533" s="87">
        <v>5940</v>
      </c>
      <c r="N533" s="85">
        <v>773.851</v>
      </c>
      <c r="O533" s="87">
        <v>5920</v>
      </c>
      <c r="P533" s="85">
        <v>774.98299999999995</v>
      </c>
      <c r="Q533" s="87">
        <v>5940</v>
      </c>
      <c r="R533" s="85">
        <v>774.58699999999999</v>
      </c>
      <c r="S533" s="87">
        <v>5940</v>
      </c>
      <c r="T533" s="85">
        <v>775.21699999999998</v>
      </c>
      <c r="U533" s="87">
        <v>5930</v>
      </c>
      <c r="V533" s="84">
        <v>774.37699999999995</v>
      </c>
      <c r="W533" s="87">
        <v>5940</v>
      </c>
      <c r="X533" s="85">
        <v>774.00099999999998</v>
      </c>
      <c r="Y533" s="87">
        <v>5940</v>
      </c>
      <c r="Z533" s="85">
        <v>772.428</v>
      </c>
      <c r="AA533" s="87">
        <v>5940</v>
      </c>
      <c r="AB533" s="85">
        <v>772.48099999999999</v>
      </c>
      <c r="AC533" s="87">
        <v>5930</v>
      </c>
      <c r="AD533" s="85">
        <v>696.375</v>
      </c>
      <c r="AE533" s="87">
        <v>5940</v>
      </c>
      <c r="AF533" s="85">
        <v>697.86300000000006</v>
      </c>
      <c r="AG533" s="87">
        <v>5920</v>
      </c>
      <c r="AH533" s="85">
        <v>184.77500000000001</v>
      </c>
      <c r="AI533" s="87">
        <v>5920</v>
      </c>
      <c r="AJ533" s="85">
        <v>193.898</v>
      </c>
    </row>
    <row r="534" spans="1:36" ht="14.25" customHeight="1">
      <c r="A534" s="88">
        <v>5950</v>
      </c>
      <c r="B534" s="84">
        <v>396.73399999999998</v>
      </c>
      <c r="C534" s="88">
        <v>5960</v>
      </c>
      <c r="D534" s="85">
        <v>393.79899999999998</v>
      </c>
      <c r="E534" s="86">
        <v>5950</v>
      </c>
      <c r="F534" s="85">
        <v>882.56600000000003</v>
      </c>
      <c r="G534" s="87">
        <v>5950</v>
      </c>
      <c r="H534" s="85">
        <v>882.33199999999999</v>
      </c>
      <c r="I534" s="87">
        <v>5950</v>
      </c>
      <c r="J534" s="85">
        <v>772.80499999999995</v>
      </c>
      <c r="K534" s="87">
        <v>5950</v>
      </c>
      <c r="L534" s="85">
        <v>772.40200000000004</v>
      </c>
      <c r="M534" s="87">
        <v>5950</v>
      </c>
      <c r="N534" s="85">
        <v>772.63800000000003</v>
      </c>
      <c r="O534" s="87">
        <v>5930</v>
      </c>
      <c r="P534" s="85">
        <v>773.77</v>
      </c>
      <c r="Q534" s="87">
        <v>5950</v>
      </c>
      <c r="R534" s="85">
        <v>773.37400000000002</v>
      </c>
      <c r="S534" s="87">
        <v>5950</v>
      </c>
      <c r="T534" s="85">
        <v>774.005</v>
      </c>
      <c r="U534" s="87">
        <v>5940</v>
      </c>
      <c r="V534" s="84">
        <v>773.16700000000003</v>
      </c>
      <c r="W534" s="87">
        <v>5950</v>
      </c>
      <c r="X534" s="85">
        <v>772.79100000000005</v>
      </c>
      <c r="Y534" s="87">
        <v>5950</v>
      </c>
      <c r="Z534" s="85">
        <v>771.21699999999998</v>
      </c>
      <c r="AA534" s="87">
        <v>5950</v>
      </c>
      <c r="AB534" s="85">
        <v>771.27099999999996</v>
      </c>
      <c r="AC534" s="87">
        <v>5940</v>
      </c>
      <c r="AD534" s="85">
        <v>695.16399999999999</v>
      </c>
      <c r="AE534" s="87">
        <v>5950</v>
      </c>
      <c r="AF534" s="85">
        <v>696.65300000000002</v>
      </c>
      <c r="AG534" s="87">
        <v>5930</v>
      </c>
      <c r="AH534" s="85">
        <v>184.386</v>
      </c>
      <c r="AI534" s="87">
        <v>5930</v>
      </c>
      <c r="AJ534" s="85">
        <v>193.495</v>
      </c>
    </row>
    <row r="535" spans="1:36" ht="14.25" customHeight="1">
      <c r="A535" s="88">
        <v>5960</v>
      </c>
      <c r="B535" s="84">
        <v>395.96499999999997</v>
      </c>
      <c r="C535" s="88">
        <v>5970</v>
      </c>
      <c r="D535" s="85">
        <v>393.03500000000003</v>
      </c>
      <c r="E535" s="86">
        <v>5960</v>
      </c>
      <c r="F535" s="85">
        <v>881.08100000000002</v>
      </c>
      <c r="G535" s="87">
        <v>5960</v>
      </c>
      <c r="H535" s="85">
        <v>880.85</v>
      </c>
      <c r="I535" s="87">
        <v>5960</v>
      </c>
      <c r="J535" s="85">
        <v>771.59199999999998</v>
      </c>
      <c r="K535" s="87">
        <v>5960</v>
      </c>
      <c r="L535" s="85">
        <v>771.18799999999999</v>
      </c>
      <c r="M535" s="87">
        <v>5960</v>
      </c>
      <c r="N535" s="85">
        <v>771.42600000000004</v>
      </c>
      <c r="O535" s="87">
        <v>5940</v>
      </c>
      <c r="P535" s="85">
        <v>772.55700000000002</v>
      </c>
      <c r="Q535" s="87">
        <v>5960</v>
      </c>
      <c r="R535" s="85">
        <v>772.16200000000003</v>
      </c>
      <c r="S535" s="87">
        <v>5960</v>
      </c>
      <c r="T535" s="85">
        <v>772.79300000000001</v>
      </c>
      <c r="U535" s="87">
        <v>5950</v>
      </c>
      <c r="V535" s="84">
        <v>771.95699999999999</v>
      </c>
      <c r="W535" s="87">
        <v>5960</v>
      </c>
      <c r="X535" s="85">
        <v>771.58</v>
      </c>
      <c r="Y535" s="87">
        <v>5960</v>
      </c>
      <c r="Z535" s="85">
        <v>770.005</v>
      </c>
      <c r="AA535" s="87">
        <v>5960</v>
      </c>
      <c r="AB535" s="85">
        <v>770.06100000000004</v>
      </c>
      <c r="AC535" s="87">
        <v>5950</v>
      </c>
      <c r="AD535" s="85">
        <v>693.95299999999997</v>
      </c>
      <c r="AE535" s="87">
        <v>5960</v>
      </c>
      <c r="AF535" s="85">
        <v>695.44299999999998</v>
      </c>
      <c r="AG535" s="87">
        <v>5940</v>
      </c>
      <c r="AH535" s="85">
        <v>183.99700000000001</v>
      </c>
      <c r="AI535" s="87">
        <v>5940</v>
      </c>
      <c r="AJ535" s="85">
        <v>193.09200000000001</v>
      </c>
    </row>
    <row r="536" spans="1:36" ht="14.25" customHeight="1">
      <c r="A536" s="88">
        <v>5970</v>
      </c>
      <c r="B536" s="84">
        <v>395.19600000000003</v>
      </c>
      <c r="C536" s="88">
        <v>5980</v>
      </c>
      <c r="D536" s="85">
        <v>392.27199999999999</v>
      </c>
      <c r="E536" s="86">
        <v>5970</v>
      </c>
      <c r="F536" s="85">
        <v>879.596</v>
      </c>
      <c r="G536" s="87">
        <v>5970</v>
      </c>
      <c r="H536" s="85">
        <v>879.36800000000005</v>
      </c>
      <c r="I536" s="87">
        <v>5970</v>
      </c>
      <c r="J536" s="85">
        <v>770.38</v>
      </c>
      <c r="K536" s="87">
        <v>5970</v>
      </c>
      <c r="L536" s="85">
        <v>769.97500000000002</v>
      </c>
      <c r="M536" s="87">
        <v>5970</v>
      </c>
      <c r="N536" s="85">
        <v>770.21299999999997</v>
      </c>
      <c r="O536" s="87">
        <v>5950</v>
      </c>
      <c r="P536" s="85">
        <v>771.34400000000005</v>
      </c>
      <c r="Q536" s="87">
        <v>5970</v>
      </c>
      <c r="R536" s="85">
        <v>770.94899999999996</v>
      </c>
      <c r="S536" s="87">
        <v>5970</v>
      </c>
      <c r="T536" s="85">
        <v>771.58</v>
      </c>
      <c r="U536" s="87">
        <v>5960</v>
      </c>
      <c r="V536" s="84">
        <v>770.74699999999996</v>
      </c>
      <c r="W536" s="87">
        <v>5970</v>
      </c>
      <c r="X536" s="85">
        <v>770.36900000000003</v>
      </c>
      <c r="Y536" s="87">
        <v>5970</v>
      </c>
      <c r="Z536" s="85">
        <v>768.79399999999998</v>
      </c>
      <c r="AA536" s="87">
        <v>5970</v>
      </c>
      <c r="AB536" s="85">
        <v>768.851</v>
      </c>
      <c r="AC536" s="87">
        <v>5960</v>
      </c>
      <c r="AD536" s="85">
        <v>692.74300000000005</v>
      </c>
      <c r="AE536" s="87">
        <v>5970</v>
      </c>
      <c r="AF536" s="85">
        <v>694.23299999999995</v>
      </c>
      <c r="AG536" s="87">
        <v>5950</v>
      </c>
      <c r="AH536" s="85">
        <v>183.608</v>
      </c>
      <c r="AI536" s="87">
        <v>5950</v>
      </c>
      <c r="AJ536" s="85">
        <v>192.68799999999999</v>
      </c>
    </row>
    <row r="537" spans="1:36" ht="14.25" customHeight="1">
      <c r="A537" s="88">
        <v>5980</v>
      </c>
      <c r="B537" s="84">
        <v>394.428</v>
      </c>
      <c r="C537" s="88">
        <v>5990</v>
      </c>
      <c r="D537" s="85">
        <v>391.50799999999998</v>
      </c>
      <c r="E537" s="86">
        <v>5980</v>
      </c>
      <c r="F537" s="85">
        <v>878.11099999999999</v>
      </c>
      <c r="G537" s="87">
        <v>5980</v>
      </c>
      <c r="H537" s="85">
        <v>877.88499999999999</v>
      </c>
      <c r="I537" s="87">
        <v>5980</v>
      </c>
      <c r="J537" s="85">
        <v>769.16700000000003</v>
      </c>
      <c r="K537" s="87">
        <v>5980</v>
      </c>
      <c r="L537" s="85">
        <v>768.76099999999997</v>
      </c>
      <c r="M537" s="87">
        <v>5980</v>
      </c>
      <c r="N537" s="85">
        <v>769</v>
      </c>
      <c r="O537" s="87">
        <v>5960</v>
      </c>
      <c r="P537" s="85">
        <v>770.13099999999997</v>
      </c>
      <c r="Q537" s="87">
        <v>5980</v>
      </c>
      <c r="R537" s="85">
        <v>769.73599999999999</v>
      </c>
      <c r="S537" s="87">
        <v>5980</v>
      </c>
      <c r="T537" s="85">
        <v>770.36800000000005</v>
      </c>
      <c r="U537" s="87">
        <v>5970</v>
      </c>
      <c r="V537" s="84">
        <v>769.53700000000003</v>
      </c>
      <c r="W537" s="87">
        <v>5980</v>
      </c>
      <c r="X537" s="85">
        <v>769.15800000000002</v>
      </c>
      <c r="Y537" s="87">
        <v>5980</v>
      </c>
      <c r="Z537" s="85">
        <v>767.58299999999997</v>
      </c>
      <c r="AA537" s="87">
        <v>5980</v>
      </c>
      <c r="AB537" s="85">
        <v>767.64099999999996</v>
      </c>
      <c r="AC537" s="87">
        <v>5970</v>
      </c>
      <c r="AD537" s="85">
        <v>691.53200000000004</v>
      </c>
      <c r="AE537" s="87">
        <v>5980</v>
      </c>
      <c r="AF537" s="85">
        <v>693.024</v>
      </c>
      <c r="AG537" s="87">
        <v>5960</v>
      </c>
      <c r="AH537" s="85">
        <v>183.22</v>
      </c>
      <c r="AI537" s="87">
        <v>5960</v>
      </c>
      <c r="AJ537" s="85">
        <v>192.286</v>
      </c>
    </row>
    <row r="538" spans="1:36" ht="14.25" customHeight="1">
      <c r="A538" s="88">
        <v>5990</v>
      </c>
      <c r="B538" s="84">
        <v>393.65899999999999</v>
      </c>
      <c r="C538" s="88">
        <v>6000</v>
      </c>
      <c r="D538" s="85">
        <v>390.745</v>
      </c>
      <c r="E538" s="86">
        <v>5990</v>
      </c>
      <c r="F538" s="85">
        <v>876.62599999999998</v>
      </c>
      <c r="G538" s="87">
        <v>5990</v>
      </c>
      <c r="H538" s="85">
        <v>876.40300000000002</v>
      </c>
      <c r="I538" s="87">
        <v>5990</v>
      </c>
      <c r="J538" s="85">
        <v>767.95399999999995</v>
      </c>
      <c r="K538" s="87">
        <v>5990</v>
      </c>
      <c r="L538" s="85">
        <v>767.54700000000003</v>
      </c>
      <c r="M538" s="87">
        <v>5990</v>
      </c>
      <c r="N538" s="85">
        <v>767.78800000000001</v>
      </c>
      <c r="O538" s="87">
        <v>5970</v>
      </c>
      <c r="P538" s="85">
        <v>768.91899999999998</v>
      </c>
      <c r="Q538" s="87">
        <v>5990</v>
      </c>
      <c r="R538" s="85">
        <v>768.524</v>
      </c>
      <c r="S538" s="87">
        <v>5990</v>
      </c>
      <c r="T538" s="85">
        <v>769.15599999999995</v>
      </c>
      <c r="U538" s="87">
        <v>5980</v>
      </c>
      <c r="V538" s="84">
        <v>768.327</v>
      </c>
      <c r="W538" s="87">
        <v>5990</v>
      </c>
      <c r="X538" s="85">
        <v>767.947</v>
      </c>
      <c r="Y538" s="87">
        <v>5990</v>
      </c>
      <c r="Z538" s="85">
        <v>766.37099999999998</v>
      </c>
      <c r="AA538" s="87">
        <v>5990</v>
      </c>
      <c r="AB538" s="85">
        <v>766.43100000000004</v>
      </c>
      <c r="AC538" s="87">
        <v>5980</v>
      </c>
      <c r="AD538" s="85">
        <v>690.32100000000003</v>
      </c>
      <c r="AE538" s="87">
        <v>5990</v>
      </c>
      <c r="AF538" s="85">
        <v>691.81399999999996</v>
      </c>
      <c r="AG538" s="87">
        <v>5970</v>
      </c>
      <c r="AH538" s="85">
        <v>182.83099999999999</v>
      </c>
      <c r="AI538" s="87">
        <v>5970</v>
      </c>
      <c r="AJ538" s="85">
        <v>191.88300000000001</v>
      </c>
    </row>
    <row r="539" spans="1:36" ht="14.25" customHeight="1">
      <c r="A539" s="88">
        <v>6000</v>
      </c>
      <c r="B539" s="84">
        <v>392.89100000000002</v>
      </c>
      <c r="C539" s="88">
        <v>6010</v>
      </c>
      <c r="D539" s="85">
        <v>389.98200000000003</v>
      </c>
      <c r="E539" s="86">
        <v>6000</v>
      </c>
      <c r="F539" s="85">
        <v>875.14200000000005</v>
      </c>
      <c r="G539" s="87">
        <v>6000</v>
      </c>
      <c r="H539" s="85">
        <v>874.92100000000005</v>
      </c>
      <c r="I539" s="87">
        <v>6000</v>
      </c>
      <c r="J539" s="85">
        <v>766.74099999999999</v>
      </c>
      <c r="K539" s="87">
        <v>6000</v>
      </c>
      <c r="L539" s="85">
        <v>766.33399999999995</v>
      </c>
      <c r="M539" s="87">
        <v>6000</v>
      </c>
      <c r="N539" s="85">
        <v>766.57500000000005</v>
      </c>
      <c r="O539" s="87">
        <v>5980</v>
      </c>
      <c r="P539" s="85">
        <v>767.70600000000002</v>
      </c>
      <c r="Q539" s="87">
        <v>6000</v>
      </c>
      <c r="R539" s="85">
        <v>767.31100000000004</v>
      </c>
      <c r="S539" s="87">
        <v>6000</v>
      </c>
      <c r="T539" s="85">
        <v>767.94399999999996</v>
      </c>
      <c r="U539" s="87">
        <v>5990</v>
      </c>
      <c r="V539" s="84">
        <v>767.11699999999996</v>
      </c>
      <c r="W539" s="87">
        <v>6000</v>
      </c>
      <c r="X539" s="85">
        <v>766.73599999999999</v>
      </c>
      <c r="Y539" s="87">
        <v>6000</v>
      </c>
      <c r="Z539" s="85">
        <v>765.16</v>
      </c>
      <c r="AA539" s="87">
        <v>6000</v>
      </c>
      <c r="AB539" s="85">
        <v>765.221</v>
      </c>
      <c r="AC539" s="87">
        <v>5990</v>
      </c>
      <c r="AD539" s="85">
        <v>689.11</v>
      </c>
      <c r="AE539" s="87">
        <v>6000</v>
      </c>
      <c r="AF539" s="85">
        <v>690.60400000000004</v>
      </c>
      <c r="AG539" s="87">
        <v>5980</v>
      </c>
      <c r="AH539" s="85">
        <v>182.44200000000001</v>
      </c>
      <c r="AI539" s="87">
        <v>5980</v>
      </c>
      <c r="AJ539" s="85">
        <v>191.48</v>
      </c>
    </row>
    <row r="540" spans="1:36" ht="14.25" customHeight="1">
      <c r="A540" s="88">
        <v>6010</v>
      </c>
      <c r="B540" s="84">
        <v>392.12299999999999</v>
      </c>
      <c r="C540" s="88">
        <v>6020</v>
      </c>
      <c r="D540" s="85">
        <v>389.21899999999999</v>
      </c>
      <c r="E540" s="86">
        <v>6010</v>
      </c>
      <c r="F540" s="85">
        <v>873.65700000000004</v>
      </c>
      <c r="G540" s="87">
        <v>6010</v>
      </c>
      <c r="H540" s="85">
        <v>873.43899999999996</v>
      </c>
      <c r="I540" s="87">
        <v>6010</v>
      </c>
      <c r="J540" s="85">
        <v>765.529</v>
      </c>
      <c r="K540" s="87">
        <v>6010</v>
      </c>
      <c r="L540" s="85">
        <v>765.12</v>
      </c>
      <c r="M540" s="87">
        <v>6010</v>
      </c>
      <c r="N540" s="85">
        <v>765.36300000000006</v>
      </c>
      <c r="O540" s="87">
        <v>5990</v>
      </c>
      <c r="P540" s="85">
        <v>766.49300000000005</v>
      </c>
      <c r="Q540" s="87">
        <v>6010</v>
      </c>
      <c r="R540" s="85">
        <v>766.09799999999996</v>
      </c>
      <c r="S540" s="87">
        <v>6010</v>
      </c>
      <c r="T540" s="85">
        <v>766.73199999999997</v>
      </c>
      <c r="U540" s="87">
        <v>6000</v>
      </c>
      <c r="V540" s="84">
        <v>765.90700000000004</v>
      </c>
      <c r="W540" s="87">
        <v>6010</v>
      </c>
      <c r="X540" s="85">
        <v>765.52599999999995</v>
      </c>
      <c r="Y540" s="87">
        <v>6010</v>
      </c>
      <c r="Z540" s="85">
        <v>763.94899999999996</v>
      </c>
      <c r="AA540" s="87">
        <v>6010</v>
      </c>
      <c r="AB540" s="85">
        <v>764.01099999999997</v>
      </c>
      <c r="AC540" s="87">
        <v>6000</v>
      </c>
      <c r="AD540" s="85">
        <v>687.9</v>
      </c>
      <c r="AE540" s="87">
        <v>6010</v>
      </c>
      <c r="AF540" s="85">
        <v>689.39400000000001</v>
      </c>
      <c r="AG540" s="87">
        <v>5990</v>
      </c>
      <c r="AH540" s="85">
        <v>182.054</v>
      </c>
      <c r="AI540" s="87">
        <v>5990</v>
      </c>
      <c r="AJ540" s="85">
        <v>191.077</v>
      </c>
    </row>
    <row r="541" spans="1:36" ht="14.25" customHeight="1">
      <c r="A541" s="88">
        <v>6020</v>
      </c>
      <c r="B541" s="84">
        <v>391.35500000000002</v>
      </c>
      <c r="C541" s="88">
        <v>6030</v>
      </c>
      <c r="D541" s="85">
        <v>388.45600000000002</v>
      </c>
      <c r="E541" s="86">
        <v>6020</v>
      </c>
      <c r="F541" s="85">
        <v>872.173</v>
      </c>
      <c r="G541" s="87">
        <v>6020</v>
      </c>
      <c r="H541" s="85">
        <v>871.95699999999999</v>
      </c>
      <c r="I541" s="87">
        <v>6020</v>
      </c>
      <c r="J541" s="85">
        <v>764.31600000000003</v>
      </c>
      <c r="K541" s="87">
        <v>6020</v>
      </c>
      <c r="L541" s="85">
        <v>763.90700000000004</v>
      </c>
      <c r="M541" s="87">
        <v>6020</v>
      </c>
      <c r="N541" s="85">
        <v>764.15</v>
      </c>
      <c r="O541" s="87">
        <v>6000</v>
      </c>
      <c r="P541" s="85">
        <v>765.28</v>
      </c>
      <c r="Q541" s="87">
        <v>6020</v>
      </c>
      <c r="R541" s="85">
        <v>764.88599999999997</v>
      </c>
      <c r="S541" s="87">
        <v>6020</v>
      </c>
      <c r="T541" s="85">
        <v>765.51900000000001</v>
      </c>
      <c r="U541" s="87">
        <v>6010</v>
      </c>
      <c r="V541" s="84">
        <v>764.697</v>
      </c>
      <c r="W541" s="87">
        <v>6020</v>
      </c>
      <c r="X541" s="85">
        <v>764.31500000000005</v>
      </c>
      <c r="Y541" s="87">
        <v>6020</v>
      </c>
      <c r="Z541" s="85">
        <v>762.73800000000006</v>
      </c>
      <c r="AA541" s="87">
        <v>6020</v>
      </c>
      <c r="AB541" s="85">
        <v>762.80100000000004</v>
      </c>
      <c r="AC541" s="87">
        <v>6010</v>
      </c>
      <c r="AD541" s="85">
        <v>686.68899999999996</v>
      </c>
      <c r="AE541" s="87">
        <v>6020</v>
      </c>
      <c r="AF541" s="85">
        <v>688.18399999999997</v>
      </c>
      <c r="AG541" s="87">
        <v>6000</v>
      </c>
      <c r="AH541" s="85">
        <v>181.66499999999999</v>
      </c>
      <c r="AI541" s="87">
        <v>6000</v>
      </c>
      <c r="AJ541" s="85">
        <v>190.67400000000001</v>
      </c>
    </row>
    <row r="542" spans="1:36" ht="14.25" customHeight="1">
      <c r="A542" s="88">
        <v>6030</v>
      </c>
      <c r="B542" s="84">
        <v>390.58699999999999</v>
      </c>
      <c r="C542" s="88">
        <v>6040</v>
      </c>
      <c r="D542" s="85">
        <v>387.69400000000002</v>
      </c>
      <c r="E542" s="86">
        <v>6030</v>
      </c>
      <c r="F542" s="85">
        <v>870.68799999999999</v>
      </c>
      <c r="G542" s="87">
        <v>6030</v>
      </c>
      <c r="H542" s="89">
        <v>870.476</v>
      </c>
      <c r="I542" s="87">
        <v>6030</v>
      </c>
      <c r="J542" s="85">
        <v>763.10299999999995</v>
      </c>
      <c r="K542" s="87">
        <v>6030</v>
      </c>
      <c r="L542" s="85">
        <v>762.69299999999998</v>
      </c>
      <c r="M542" s="87">
        <v>6030</v>
      </c>
      <c r="N542" s="85">
        <v>762.93799999999999</v>
      </c>
      <c r="O542" s="87">
        <v>6010</v>
      </c>
      <c r="P542" s="85">
        <v>764.06700000000001</v>
      </c>
      <c r="Q542" s="87">
        <v>6030</v>
      </c>
      <c r="R542" s="85">
        <v>763.673</v>
      </c>
      <c r="S542" s="87">
        <v>6030</v>
      </c>
      <c r="T542" s="85">
        <v>764.30700000000002</v>
      </c>
      <c r="U542" s="87">
        <v>6020</v>
      </c>
      <c r="V542" s="84">
        <v>763.48699999999997</v>
      </c>
      <c r="W542" s="87">
        <v>6030</v>
      </c>
      <c r="X542" s="85">
        <v>763.10400000000004</v>
      </c>
      <c r="Y542" s="87">
        <v>6030</v>
      </c>
      <c r="Z542" s="85">
        <v>761.52599999999995</v>
      </c>
      <c r="AA542" s="87">
        <v>6030</v>
      </c>
      <c r="AB542" s="85">
        <v>761.59100000000001</v>
      </c>
      <c r="AC542" s="87">
        <v>6020</v>
      </c>
      <c r="AD542" s="85">
        <v>685.47799999999995</v>
      </c>
      <c r="AE542" s="87">
        <v>6030</v>
      </c>
      <c r="AF542" s="85">
        <v>686.97500000000002</v>
      </c>
      <c r="AG542" s="87">
        <v>6010</v>
      </c>
      <c r="AH542" s="85">
        <v>181.27699999999999</v>
      </c>
      <c r="AI542" s="87">
        <v>6010</v>
      </c>
      <c r="AJ542" s="85">
        <v>190.27199999999999</v>
      </c>
    </row>
    <row r="543" spans="1:36" ht="14.25" customHeight="1">
      <c r="A543" s="88">
        <v>6040</v>
      </c>
      <c r="B543" s="84">
        <v>389.82</v>
      </c>
      <c r="C543" s="88">
        <v>6050</v>
      </c>
      <c r="D543" s="85">
        <v>386.93200000000002</v>
      </c>
      <c r="E543" s="86">
        <v>6040</v>
      </c>
      <c r="F543" s="85">
        <v>869.20399999999995</v>
      </c>
      <c r="G543" s="87">
        <v>6040</v>
      </c>
      <c r="H543" s="89">
        <v>868.99400000000003</v>
      </c>
      <c r="I543" s="87">
        <v>6040</v>
      </c>
      <c r="J543" s="85">
        <v>761.89099999999996</v>
      </c>
      <c r="K543" s="87">
        <v>6040</v>
      </c>
      <c r="L543" s="85">
        <v>761.47900000000004</v>
      </c>
      <c r="M543" s="87">
        <v>6040</v>
      </c>
      <c r="N543" s="85">
        <v>761.72500000000002</v>
      </c>
      <c r="O543" s="87">
        <v>6020</v>
      </c>
      <c r="P543" s="85">
        <v>762.85400000000004</v>
      </c>
      <c r="Q543" s="87">
        <v>6040</v>
      </c>
      <c r="R543" s="85">
        <v>762.46</v>
      </c>
      <c r="S543" s="87">
        <v>6040</v>
      </c>
      <c r="T543" s="85">
        <v>763.09500000000003</v>
      </c>
      <c r="U543" s="87">
        <v>6030</v>
      </c>
      <c r="V543" s="84">
        <v>762.27700000000004</v>
      </c>
      <c r="W543" s="87">
        <v>6040</v>
      </c>
      <c r="X543" s="85">
        <v>761.89300000000003</v>
      </c>
      <c r="Y543" s="87">
        <v>6040</v>
      </c>
      <c r="Z543" s="85">
        <v>760.31500000000005</v>
      </c>
      <c r="AA543" s="87">
        <v>6040</v>
      </c>
      <c r="AB543" s="85">
        <v>760.38099999999997</v>
      </c>
      <c r="AC543" s="87">
        <v>6030</v>
      </c>
      <c r="AD543" s="85">
        <v>684.26800000000003</v>
      </c>
      <c r="AE543" s="87">
        <v>6040</v>
      </c>
      <c r="AF543" s="85">
        <v>685.76499999999999</v>
      </c>
      <c r="AG543" s="87">
        <v>6020</v>
      </c>
      <c r="AH543" s="85">
        <v>180.88800000000001</v>
      </c>
      <c r="AI543" s="87">
        <v>6020</v>
      </c>
      <c r="AJ543" s="85">
        <v>189.869</v>
      </c>
    </row>
    <row r="544" spans="1:36" ht="14.25" customHeight="1">
      <c r="A544" s="88">
        <v>6050</v>
      </c>
      <c r="B544" s="84">
        <v>389.053</v>
      </c>
      <c r="C544" s="88">
        <v>6060</v>
      </c>
      <c r="D544" s="85">
        <v>386.17</v>
      </c>
      <c r="E544" s="86">
        <v>6050</v>
      </c>
      <c r="F544" s="85">
        <v>867.72</v>
      </c>
      <c r="G544" s="87">
        <v>6050</v>
      </c>
      <c r="H544" s="85">
        <v>867.51300000000003</v>
      </c>
      <c r="I544" s="87">
        <v>6050</v>
      </c>
      <c r="J544" s="85">
        <v>760.678</v>
      </c>
      <c r="K544" s="87">
        <v>6050</v>
      </c>
      <c r="L544" s="85">
        <v>760.26599999999996</v>
      </c>
      <c r="M544" s="87">
        <v>6050</v>
      </c>
      <c r="N544" s="85">
        <v>760.51300000000003</v>
      </c>
      <c r="O544" s="87">
        <v>6030</v>
      </c>
      <c r="P544" s="85">
        <v>761.64200000000005</v>
      </c>
      <c r="Q544" s="87">
        <v>6050</v>
      </c>
      <c r="R544" s="85">
        <v>761.24800000000005</v>
      </c>
      <c r="S544" s="87">
        <v>6050</v>
      </c>
      <c r="T544" s="85">
        <v>761.88300000000004</v>
      </c>
      <c r="U544" s="87">
        <v>6040</v>
      </c>
      <c r="V544" s="84">
        <v>761.06700000000001</v>
      </c>
      <c r="W544" s="87">
        <v>6050</v>
      </c>
      <c r="X544" s="85">
        <v>760.68200000000002</v>
      </c>
      <c r="Y544" s="87">
        <v>6050</v>
      </c>
      <c r="Z544" s="85">
        <v>759.10400000000004</v>
      </c>
      <c r="AA544" s="87">
        <v>6050</v>
      </c>
      <c r="AB544" s="85">
        <v>759.17100000000005</v>
      </c>
      <c r="AC544" s="87">
        <v>6040</v>
      </c>
      <c r="AD544" s="85">
        <v>683.05700000000002</v>
      </c>
      <c r="AE544" s="87">
        <v>6050</v>
      </c>
      <c r="AF544" s="85">
        <v>684.55499999999995</v>
      </c>
      <c r="AG544" s="87">
        <v>6030</v>
      </c>
      <c r="AH544" s="85">
        <v>180.5</v>
      </c>
      <c r="AI544" s="87">
        <v>6030</v>
      </c>
      <c r="AJ544" s="85">
        <v>189.46700000000001</v>
      </c>
    </row>
    <row r="545" spans="1:36" ht="14.25" customHeight="1">
      <c r="A545" s="88">
        <v>6060</v>
      </c>
      <c r="B545" s="84">
        <v>388.286</v>
      </c>
      <c r="C545" s="88">
        <v>6070</v>
      </c>
      <c r="D545" s="85">
        <v>385.40800000000002</v>
      </c>
      <c r="E545" s="86">
        <v>6060</v>
      </c>
      <c r="F545" s="85">
        <v>866.23599999999999</v>
      </c>
      <c r="G545" s="87">
        <v>6060</v>
      </c>
      <c r="H545" s="85">
        <v>866.03099999999995</v>
      </c>
      <c r="I545" s="87">
        <v>6060</v>
      </c>
      <c r="J545" s="85">
        <v>759.46500000000003</v>
      </c>
      <c r="K545" s="87">
        <v>6060</v>
      </c>
      <c r="L545" s="85">
        <v>759.05200000000002</v>
      </c>
      <c r="M545" s="87">
        <v>6060</v>
      </c>
      <c r="N545" s="85">
        <v>759.3</v>
      </c>
      <c r="O545" s="87">
        <v>6040</v>
      </c>
      <c r="P545" s="85">
        <v>760.42899999999997</v>
      </c>
      <c r="Q545" s="87">
        <v>6060</v>
      </c>
      <c r="R545" s="85">
        <v>760.03499999999997</v>
      </c>
      <c r="S545" s="87">
        <v>6060</v>
      </c>
      <c r="T545" s="85">
        <v>760.67</v>
      </c>
      <c r="U545" s="87">
        <v>6050</v>
      </c>
      <c r="V545" s="84">
        <v>759.85699999999997</v>
      </c>
      <c r="W545" s="87">
        <v>6060</v>
      </c>
      <c r="X545" s="85">
        <v>759.471</v>
      </c>
      <c r="Y545" s="87">
        <v>6060</v>
      </c>
      <c r="Z545" s="85">
        <v>757.89200000000005</v>
      </c>
      <c r="AA545" s="87">
        <v>6060</v>
      </c>
      <c r="AB545" s="85">
        <v>757.96100000000001</v>
      </c>
      <c r="AC545" s="87">
        <v>6050</v>
      </c>
      <c r="AD545" s="85">
        <v>681.846</v>
      </c>
      <c r="AE545" s="87">
        <v>6060</v>
      </c>
      <c r="AF545" s="85">
        <v>683.34500000000003</v>
      </c>
      <c r="AG545" s="87">
        <v>6040</v>
      </c>
      <c r="AH545" s="85">
        <v>180.11199999999999</v>
      </c>
      <c r="AI545" s="87">
        <v>6040</v>
      </c>
      <c r="AJ545" s="85">
        <v>189.065</v>
      </c>
    </row>
    <row r="546" spans="1:36" ht="14.25" customHeight="1">
      <c r="A546" s="88">
        <v>6070</v>
      </c>
      <c r="B546" s="84">
        <v>387.51900000000001</v>
      </c>
      <c r="C546" s="88">
        <v>6080</v>
      </c>
      <c r="D546" s="85">
        <v>384.64600000000002</v>
      </c>
      <c r="E546" s="86">
        <v>6070</v>
      </c>
      <c r="F546" s="85">
        <v>864.75199999999995</v>
      </c>
      <c r="G546" s="87">
        <v>6070</v>
      </c>
      <c r="H546" s="85">
        <v>864.55</v>
      </c>
      <c r="I546" s="87">
        <v>6070</v>
      </c>
      <c r="J546" s="85">
        <v>758.25199999999995</v>
      </c>
      <c r="K546" s="87">
        <v>6070</v>
      </c>
      <c r="L546" s="85">
        <v>757.83799999999997</v>
      </c>
      <c r="M546" s="87">
        <v>6070</v>
      </c>
      <c r="N546" s="85">
        <v>758.08699999999999</v>
      </c>
      <c r="O546" s="87">
        <v>6050</v>
      </c>
      <c r="P546" s="85">
        <v>759.21600000000001</v>
      </c>
      <c r="Q546" s="87">
        <v>6070</v>
      </c>
      <c r="R546" s="85">
        <v>758.822</v>
      </c>
      <c r="S546" s="87">
        <v>6070</v>
      </c>
      <c r="T546" s="85">
        <v>759.45799999999997</v>
      </c>
      <c r="U546" s="87">
        <v>6060</v>
      </c>
      <c r="V546" s="84">
        <v>758.64700000000005</v>
      </c>
      <c r="W546" s="87">
        <v>6070</v>
      </c>
      <c r="X546" s="85">
        <v>758.26</v>
      </c>
      <c r="Y546" s="87">
        <v>6070</v>
      </c>
      <c r="Z546" s="85">
        <v>756.68100000000004</v>
      </c>
      <c r="AA546" s="87">
        <v>6070</v>
      </c>
      <c r="AB546" s="85">
        <v>756.75099999999998</v>
      </c>
      <c r="AC546" s="87">
        <v>6060</v>
      </c>
      <c r="AD546" s="85">
        <v>680.63599999999997</v>
      </c>
      <c r="AE546" s="87">
        <v>6070</v>
      </c>
      <c r="AF546" s="85">
        <v>682.13499999999999</v>
      </c>
      <c r="AG546" s="87">
        <v>6050</v>
      </c>
      <c r="AH546" s="85">
        <v>179.72399999999999</v>
      </c>
      <c r="AI546" s="87">
        <v>6050</v>
      </c>
      <c r="AJ546" s="85">
        <v>188.66200000000001</v>
      </c>
    </row>
    <row r="547" spans="1:36" ht="14.25" customHeight="1">
      <c r="A547" s="88">
        <v>6080</v>
      </c>
      <c r="B547" s="84">
        <v>386.75200000000001</v>
      </c>
      <c r="C547" s="88">
        <v>6090</v>
      </c>
      <c r="D547" s="85">
        <v>383.88400000000001</v>
      </c>
      <c r="E547" s="86">
        <v>6080</v>
      </c>
      <c r="F547" s="85">
        <v>863.26900000000001</v>
      </c>
      <c r="G547" s="87">
        <v>6080</v>
      </c>
      <c r="H547" s="85">
        <v>863.06899999999996</v>
      </c>
      <c r="I547" s="87">
        <v>6080</v>
      </c>
      <c r="J547" s="85">
        <v>757.04</v>
      </c>
      <c r="K547" s="87">
        <v>6080</v>
      </c>
      <c r="L547" s="85">
        <v>756.625</v>
      </c>
      <c r="M547" s="87">
        <v>6080</v>
      </c>
      <c r="N547" s="85">
        <v>756.875</v>
      </c>
      <c r="O547" s="87">
        <v>6060</v>
      </c>
      <c r="P547" s="85">
        <v>758.00300000000004</v>
      </c>
      <c r="Q547" s="87">
        <v>6080</v>
      </c>
      <c r="R547" s="85">
        <v>757.61</v>
      </c>
      <c r="S547" s="87">
        <v>6080</v>
      </c>
      <c r="T547" s="85">
        <v>758.24599999999998</v>
      </c>
      <c r="U547" s="87">
        <v>6070</v>
      </c>
      <c r="V547" s="84">
        <v>757.43799999999999</v>
      </c>
      <c r="W547" s="87">
        <v>6080</v>
      </c>
      <c r="X547" s="85">
        <v>757.05</v>
      </c>
      <c r="Y547" s="87">
        <v>6080</v>
      </c>
      <c r="Z547" s="85">
        <v>755.47</v>
      </c>
      <c r="AA547" s="87">
        <v>6080</v>
      </c>
      <c r="AB547" s="85">
        <v>755.54100000000005</v>
      </c>
      <c r="AC547" s="87">
        <v>6070</v>
      </c>
      <c r="AD547" s="85">
        <v>679.42499999999995</v>
      </c>
      <c r="AE547" s="87">
        <v>6080</v>
      </c>
      <c r="AF547" s="85">
        <v>680.92499999999995</v>
      </c>
      <c r="AG547" s="87">
        <v>6060</v>
      </c>
      <c r="AH547" s="85">
        <v>179.33600000000001</v>
      </c>
      <c r="AI547" s="87">
        <v>6060</v>
      </c>
      <c r="AJ547" s="85">
        <v>188.26</v>
      </c>
    </row>
    <row r="548" spans="1:36" ht="14.25" customHeight="1">
      <c r="A548" s="88">
        <v>6090</v>
      </c>
      <c r="B548" s="84">
        <v>385.98599999999999</v>
      </c>
      <c r="C548" s="88">
        <v>6100</v>
      </c>
      <c r="D548" s="85">
        <v>383.12299999999999</v>
      </c>
      <c r="E548" s="86">
        <v>6090</v>
      </c>
      <c r="F548" s="85">
        <v>861.78499999999997</v>
      </c>
      <c r="G548" s="87">
        <v>6090</v>
      </c>
      <c r="H548" s="85">
        <v>861.58799999999997</v>
      </c>
      <c r="I548" s="87">
        <v>6090</v>
      </c>
      <c r="J548" s="85">
        <v>755.827</v>
      </c>
      <c r="K548" s="87">
        <v>6090</v>
      </c>
      <c r="L548" s="85">
        <v>755.41099999999994</v>
      </c>
      <c r="M548" s="87">
        <v>6090</v>
      </c>
      <c r="N548" s="85">
        <v>755.66200000000003</v>
      </c>
      <c r="O548" s="87">
        <v>6070</v>
      </c>
      <c r="P548" s="85">
        <v>756.79</v>
      </c>
      <c r="Q548" s="87">
        <v>6090</v>
      </c>
      <c r="R548" s="85">
        <v>756.39700000000005</v>
      </c>
      <c r="S548" s="87">
        <v>6090</v>
      </c>
      <c r="T548" s="85">
        <v>757.03399999999999</v>
      </c>
      <c r="U548" s="87">
        <v>6080</v>
      </c>
      <c r="V548" s="84">
        <v>756.22799999999995</v>
      </c>
      <c r="W548" s="87">
        <v>6090</v>
      </c>
      <c r="X548" s="85">
        <v>755.83900000000006</v>
      </c>
      <c r="Y548" s="87">
        <v>6090</v>
      </c>
      <c r="Z548" s="85">
        <v>754.25800000000004</v>
      </c>
      <c r="AA548" s="87">
        <v>6090</v>
      </c>
      <c r="AB548" s="85">
        <v>754.33100000000002</v>
      </c>
      <c r="AC548" s="87">
        <v>6080</v>
      </c>
      <c r="AD548" s="85">
        <v>678.21400000000006</v>
      </c>
      <c r="AE548" s="87">
        <v>6090</v>
      </c>
      <c r="AF548" s="85">
        <v>679.71600000000001</v>
      </c>
      <c r="AG548" s="87">
        <v>6070</v>
      </c>
      <c r="AH548" s="85">
        <v>178.94800000000001</v>
      </c>
      <c r="AI548" s="87">
        <v>6070</v>
      </c>
      <c r="AJ548" s="85">
        <v>187.858</v>
      </c>
    </row>
    <row r="549" spans="1:36" ht="14.25" customHeight="1">
      <c r="A549" s="88">
        <v>6100</v>
      </c>
      <c r="B549" s="84">
        <v>385.21899999999999</v>
      </c>
      <c r="C549" s="88">
        <v>6110</v>
      </c>
      <c r="D549" s="85">
        <v>382.36200000000002</v>
      </c>
      <c r="E549" s="86">
        <v>6100</v>
      </c>
      <c r="F549" s="85">
        <v>860.30100000000004</v>
      </c>
      <c r="G549" s="87">
        <v>6100</v>
      </c>
      <c r="H549" s="85">
        <v>860.10699999999997</v>
      </c>
      <c r="I549" s="87">
        <v>6100</v>
      </c>
      <c r="J549" s="85">
        <v>754.61400000000003</v>
      </c>
      <c r="K549" s="87">
        <v>6100</v>
      </c>
      <c r="L549" s="85">
        <v>754.19799999999998</v>
      </c>
      <c r="M549" s="87">
        <v>6100</v>
      </c>
      <c r="N549" s="85">
        <v>754.45</v>
      </c>
      <c r="O549" s="87">
        <v>6080</v>
      </c>
      <c r="P549" s="85">
        <v>755.577</v>
      </c>
      <c r="Q549" s="87">
        <v>6100</v>
      </c>
      <c r="R549" s="85">
        <v>755.18499999999995</v>
      </c>
      <c r="S549" s="87">
        <v>6100</v>
      </c>
      <c r="T549" s="85">
        <v>755.82100000000003</v>
      </c>
      <c r="U549" s="87">
        <v>6090</v>
      </c>
      <c r="V549" s="84">
        <v>755.01800000000003</v>
      </c>
      <c r="W549" s="87">
        <v>6100</v>
      </c>
      <c r="X549" s="85">
        <v>754.62800000000004</v>
      </c>
      <c r="Y549" s="87">
        <v>6100</v>
      </c>
      <c r="Z549" s="85">
        <v>753.04700000000003</v>
      </c>
      <c r="AA549" s="87">
        <v>6100</v>
      </c>
      <c r="AB549" s="85">
        <v>753.12099999999998</v>
      </c>
      <c r="AC549" s="87">
        <v>6090</v>
      </c>
      <c r="AD549" s="85">
        <v>677.00400000000002</v>
      </c>
      <c r="AE549" s="87">
        <v>6100</v>
      </c>
      <c r="AF549" s="85">
        <v>678.50599999999997</v>
      </c>
      <c r="AG549" s="87">
        <v>6080</v>
      </c>
      <c r="AH549" s="85">
        <v>178.56</v>
      </c>
      <c r="AI549" s="87">
        <v>6080</v>
      </c>
      <c r="AJ549" s="85">
        <v>187.45599999999999</v>
      </c>
    </row>
    <row r="550" spans="1:36" ht="14.25" customHeight="1">
      <c r="A550" s="88">
        <v>6110</v>
      </c>
      <c r="B550" s="84">
        <v>384.45299999999997</v>
      </c>
      <c r="C550" s="88">
        <v>6120</v>
      </c>
      <c r="D550" s="85">
        <v>381.601</v>
      </c>
      <c r="E550" s="86">
        <v>6110</v>
      </c>
      <c r="F550" s="85">
        <v>858.81799999999998</v>
      </c>
      <c r="G550" s="87">
        <v>6110</v>
      </c>
      <c r="H550" s="85">
        <v>858.62599999999998</v>
      </c>
      <c r="I550" s="87">
        <v>6110</v>
      </c>
      <c r="J550" s="85">
        <v>753.40200000000004</v>
      </c>
      <c r="K550" s="87">
        <v>6110</v>
      </c>
      <c r="L550" s="85">
        <v>752.98400000000004</v>
      </c>
      <c r="M550" s="87">
        <v>6110</v>
      </c>
      <c r="N550" s="85">
        <v>753.23699999999997</v>
      </c>
      <c r="O550" s="87">
        <v>6090</v>
      </c>
      <c r="P550" s="85">
        <v>754.36500000000001</v>
      </c>
      <c r="Q550" s="87">
        <v>6110</v>
      </c>
      <c r="R550" s="85">
        <v>753.97199999999998</v>
      </c>
      <c r="S550" s="87">
        <v>6110</v>
      </c>
      <c r="T550" s="85">
        <v>754.60900000000004</v>
      </c>
      <c r="U550" s="87">
        <v>6100</v>
      </c>
      <c r="V550" s="84">
        <v>753.80799999999999</v>
      </c>
      <c r="W550" s="87">
        <v>6110</v>
      </c>
      <c r="X550" s="85">
        <v>753.41700000000003</v>
      </c>
      <c r="Y550" s="87">
        <v>6110</v>
      </c>
      <c r="Z550" s="85">
        <v>751.83600000000001</v>
      </c>
      <c r="AA550" s="87">
        <v>6110</v>
      </c>
      <c r="AB550" s="85">
        <v>751.91099999999994</v>
      </c>
      <c r="AC550" s="87">
        <v>6100</v>
      </c>
      <c r="AD550" s="85">
        <v>675.79300000000001</v>
      </c>
      <c r="AE550" s="87">
        <v>6110</v>
      </c>
      <c r="AF550" s="85">
        <v>677.29600000000005</v>
      </c>
      <c r="AG550" s="87">
        <v>6090</v>
      </c>
      <c r="AH550" s="85">
        <v>178.172</v>
      </c>
      <c r="AI550" s="87">
        <v>6090</v>
      </c>
      <c r="AJ550" s="85">
        <v>187.054</v>
      </c>
    </row>
    <row r="551" spans="1:36" ht="14.25" customHeight="1">
      <c r="A551" s="88">
        <v>6120</v>
      </c>
      <c r="B551" s="84">
        <v>383.68700000000001</v>
      </c>
      <c r="C551" s="88">
        <v>6130</v>
      </c>
      <c r="D551" s="85">
        <v>380.84</v>
      </c>
      <c r="E551" s="86">
        <v>6120</v>
      </c>
      <c r="F551" s="85">
        <v>857.33500000000004</v>
      </c>
      <c r="G551" s="87">
        <v>6120</v>
      </c>
      <c r="H551" s="85">
        <v>857.14499999999998</v>
      </c>
      <c r="I551" s="87">
        <v>6120</v>
      </c>
      <c r="J551" s="85">
        <v>752.18899999999996</v>
      </c>
      <c r="K551" s="87">
        <v>6120</v>
      </c>
      <c r="L551" s="85">
        <v>751.77</v>
      </c>
      <c r="M551" s="87">
        <v>6120</v>
      </c>
      <c r="N551" s="85">
        <v>752.02499999999998</v>
      </c>
      <c r="O551" s="87">
        <v>6100</v>
      </c>
      <c r="P551" s="85">
        <v>753.15200000000004</v>
      </c>
      <c r="Q551" s="87">
        <v>6120</v>
      </c>
      <c r="R551" s="85">
        <v>752.75900000000001</v>
      </c>
      <c r="S551" s="87">
        <v>6120</v>
      </c>
      <c r="T551" s="85">
        <v>753.39700000000005</v>
      </c>
      <c r="U551" s="87">
        <v>6110</v>
      </c>
      <c r="V551" s="84">
        <v>752.59799999999996</v>
      </c>
      <c r="W551" s="87">
        <v>6120</v>
      </c>
      <c r="X551" s="85">
        <v>752.20600000000002</v>
      </c>
      <c r="Y551" s="87">
        <v>6120</v>
      </c>
      <c r="Z551" s="85">
        <v>750.625</v>
      </c>
      <c r="AA551" s="87">
        <v>6120</v>
      </c>
      <c r="AB551" s="85">
        <v>750.70100000000002</v>
      </c>
      <c r="AC551" s="87">
        <v>6110</v>
      </c>
      <c r="AD551" s="85">
        <v>674.58199999999999</v>
      </c>
      <c r="AE551" s="87">
        <v>6120</v>
      </c>
      <c r="AF551" s="85">
        <v>676.08600000000001</v>
      </c>
      <c r="AG551" s="87">
        <v>6100</v>
      </c>
      <c r="AH551" s="85">
        <v>177.785</v>
      </c>
      <c r="AI551" s="87">
        <v>6100</v>
      </c>
      <c r="AJ551" s="85">
        <v>186.65299999999999</v>
      </c>
    </row>
    <row r="552" spans="1:36" ht="14.25" customHeight="1">
      <c r="A552" s="88">
        <v>6130</v>
      </c>
      <c r="B552" s="84">
        <v>382.92200000000003</v>
      </c>
      <c r="C552" s="88">
        <v>6140</v>
      </c>
      <c r="D552" s="85">
        <v>380.08</v>
      </c>
      <c r="E552" s="86">
        <v>6130</v>
      </c>
      <c r="F552" s="85">
        <v>855.85199999999998</v>
      </c>
      <c r="G552" s="87">
        <v>6130</v>
      </c>
      <c r="H552" s="85">
        <v>855.66499999999996</v>
      </c>
      <c r="I552" s="87">
        <v>6130</v>
      </c>
      <c r="J552" s="85">
        <v>750.976</v>
      </c>
      <c r="K552" s="87">
        <v>6130</v>
      </c>
      <c r="L552" s="85">
        <v>750.55700000000002</v>
      </c>
      <c r="M552" s="87">
        <v>6130</v>
      </c>
      <c r="N552" s="85">
        <v>750.81200000000001</v>
      </c>
      <c r="O552" s="87">
        <v>6110</v>
      </c>
      <c r="P552" s="85">
        <v>751.93899999999996</v>
      </c>
      <c r="Q552" s="87">
        <v>6130</v>
      </c>
      <c r="R552" s="85">
        <v>751.54700000000003</v>
      </c>
      <c r="S552" s="87">
        <v>6130</v>
      </c>
      <c r="T552" s="85">
        <v>752.18499999999995</v>
      </c>
      <c r="U552" s="87">
        <v>6120</v>
      </c>
      <c r="V552" s="84">
        <v>751.38800000000003</v>
      </c>
      <c r="W552" s="87">
        <v>6130</v>
      </c>
      <c r="X552" s="85">
        <v>750.995</v>
      </c>
      <c r="Y552" s="87">
        <v>6130</v>
      </c>
      <c r="Z552" s="85">
        <v>749.41300000000001</v>
      </c>
      <c r="AA552" s="87">
        <v>6130</v>
      </c>
      <c r="AB552" s="85">
        <v>749.49099999999999</v>
      </c>
      <c r="AC552" s="87">
        <v>6120</v>
      </c>
      <c r="AD552" s="85">
        <v>673.37199999999996</v>
      </c>
      <c r="AE552" s="87">
        <v>6130</v>
      </c>
      <c r="AF552" s="85">
        <v>674.87599999999998</v>
      </c>
      <c r="AG552" s="87">
        <v>6110</v>
      </c>
      <c r="AH552" s="85">
        <v>177.39699999999999</v>
      </c>
      <c r="AI552" s="87">
        <v>6110</v>
      </c>
      <c r="AJ552" s="85">
        <v>186.251</v>
      </c>
    </row>
    <row r="553" spans="1:36" ht="14.25" customHeight="1">
      <c r="A553" s="88">
        <v>6140</v>
      </c>
      <c r="B553" s="84">
        <v>382.15600000000001</v>
      </c>
      <c r="C553" s="88">
        <v>6150</v>
      </c>
      <c r="D553" s="85">
        <v>379.31900000000002</v>
      </c>
      <c r="E553" s="86">
        <v>6140</v>
      </c>
      <c r="F553" s="85">
        <v>854.36900000000003</v>
      </c>
      <c r="G553" s="87">
        <v>6140</v>
      </c>
      <c r="H553" s="85">
        <v>854.18399999999997</v>
      </c>
      <c r="I553" s="87">
        <v>6140</v>
      </c>
      <c r="J553" s="85">
        <v>749.76400000000001</v>
      </c>
      <c r="K553" s="87">
        <v>6140</v>
      </c>
      <c r="L553" s="85">
        <v>749.34299999999996</v>
      </c>
      <c r="M553" s="87">
        <v>6140</v>
      </c>
      <c r="N553" s="85">
        <v>749.6</v>
      </c>
      <c r="O553" s="87">
        <v>6120</v>
      </c>
      <c r="P553" s="85">
        <v>750.726</v>
      </c>
      <c r="Q553" s="87">
        <v>6140</v>
      </c>
      <c r="R553" s="85">
        <v>750.33399999999995</v>
      </c>
      <c r="S553" s="87">
        <v>6140</v>
      </c>
      <c r="T553" s="85">
        <v>750.97299999999996</v>
      </c>
      <c r="U553" s="87">
        <v>6130</v>
      </c>
      <c r="V553" s="84">
        <v>750.178</v>
      </c>
      <c r="W553" s="87">
        <v>6140</v>
      </c>
      <c r="X553" s="85">
        <v>749.78399999999999</v>
      </c>
      <c r="Y553" s="87">
        <v>6140</v>
      </c>
      <c r="Z553" s="85">
        <v>748.202</v>
      </c>
      <c r="AA553" s="87">
        <v>6140</v>
      </c>
      <c r="AB553" s="85">
        <v>748.28099999999995</v>
      </c>
      <c r="AC553" s="87">
        <v>6130</v>
      </c>
      <c r="AD553" s="85">
        <v>672.16099999999994</v>
      </c>
      <c r="AE553" s="87">
        <v>6140</v>
      </c>
      <c r="AF553" s="85">
        <v>673.66700000000003</v>
      </c>
      <c r="AG553" s="87">
        <v>6120</v>
      </c>
      <c r="AH553" s="85">
        <v>177.01</v>
      </c>
      <c r="AI553" s="87">
        <v>6120</v>
      </c>
      <c r="AJ553" s="85">
        <v>185.84899999999999</v>
      </c>
    </row>
    <row r="554" spans="1:36" ht="14.25" customHeight="1">
      <c r="A554" s="88">
        <v>6150</v>
      </c>
      <c r="B554" s="84">
        <v>381.39100000000002</v>
      </c>
      <c r="C554" s="88">
        <v>6160</v>
      </c>
      <c r="D554" s="85">
        <v>378.55900000000003</v>
      </c>
      <c r="E554" s="86">
        <v>6150</v>
      </c>
      <c r="F554" s="85">
        <v>852.88599999999997</v>
      </c>
      <c r="G554" s="87">
        <v>6150</v>
      </c>
      <c r="H554" s="85">
        <v>852.70399999999995</v>
      </c>
      <c r="I554" s="87">
        <v>6150</v>
      </c>
      <c r="J554" s="85">
        <v>748.55100000000004</v>
      </c>
      <c r="K554" s="87">
        <v>6150</v>
      </c>
      <c r="L554" s="85">
        <v>748.13</v>
      </c>
      <c r="M554" s="87">
        <v>6150</v>
      </c>
      <c r="N554" s="85">
        <v>748.38699999999994</v>
      </c>
      <c r="O554" s="87">
        <v>6130</v>
      </c>
      <c r="P554" s="85">
        <v>749.51300000000003</v>
      </c>
      <c r="Q554" s="87">
        <v>6150</v>
      </c>
      <c r="R554" s="85">
        <v>749.12099999999998</v>
      </c>
      <c r="S554" s="87">
        <v>6150</v>
      </c>
      <c r="T554" s="85">
        <v>749.76</v>
      </c>
      <c r="U554" s="87">
        <v>6140</v>
      </c>
      <c r="V554" s="84">
        <v>748.96799999999996</v>
      </c>
      <c r="W554" s="87">
        <v>6150</v>
      </c>
      <c r="X554" s="85">
        <v>748.57299999999998</v>
      </c>
      <c r="Y554" s="87">
        <v>6150</v>
      </c>
      <c r="Z554" s="85">
        <v>746.99099999999999</v>
      </c>
      <c r="AA554" s="87">
        <v>6150</v>
      </c>
      <c r="AB554" s="85">
        <v>747.07100000000003</v>
      </c>
      <c r="AC554" s="87">
        <v>6140</v>
      </c>
      <c r="AD554" s="85">
        <v>670.95</v>
      </c>
      <c r="AE554" s="87">
        <v>6150</v>
      </c>
      <c r="AF554" s="85">
        <v>672.45699999999999</v>
      </c>
      <c r="AG554" s="87">
        <v>6130</v>
      </c>
      <c r="AH554" s="85">
        <v>176.62200000000001</v>
      </c>
      <c r="AI554" s="87">
        <v>6130</v>
      </c>
      <c r="AJ554" s="85">
        <v>185.44800000000001</v>
      </c>
    </row>
    <row r="555" spans="1:36" ht="14.25" customHeight="1">
      <c r="A555" s="88">
        <v>6160</v>
      </c>
      <c r="B555" s="84">
        <v>380.62599999999998</v>
      </c>
      <c r="C555" s="88">
        <v>6170</v>
      </c>
      <c r="D555" s="85">
        <v>377.79899999999998</v>
      </c>
      <c r="E555" s="86">
        <v>6160</v>
      </c>
      <c r="F555" s="85">
        <v>851.40300000000002</v>
      </c>
      <c r="G555" s="87">
        <v>6160</v>
      </c>
      <c r="H555" s="85">
        <v>851.22299999999996</v>
      </c>
      <c r="I555" s="87">
        <v>6160</v>
      </c>
      <c r="J555" s="85">
        <v>747.33799999999997</v>
      </c>
      <c r="K555" s="87">
        <v>6160</v>
      </c>
      <c r="L555" s="85">
        <v>746.91600000000005</v>
      </c>
      <c r="M555" s="87">
        <v>6160</v>
      </c>
      <c r="N555" s="85">
        <v>747.17499999999995</v>
      </c>
      <c r="O555" s="87">
        <v>6140</v>
      </c>
      <c r="P555" s="85">
        <v>748.30100000000004</v>
      </c>
      <c r="Q555" s="87">
        <v>6160</v>
      </c>
      <c r="R555" s="85">
        <v>747.90899999999999</v>
      </c>
      <c r="S555" s="87">
        <v>6160</v>
      </c>
      <c r="T555" s="85">
        <v>748.548</v>
      </c>
      <c r="U555" s="87">
        <v>6150</v>
      </c>
      <c r="V555" s="84">
        <v>747.75800000000004</v>
      </c>
      <c r="W555" s="87">
        <v>6160</v>
      </c>
      <c r="X555" s="85">
        <v>747.36300000000006</v>
      </c>
      <c r="Y555" s="87">
        <v>6160</v>
      </c>
      <c r="Z555" s="85">
        <v>745.78</v>
      </c>
      <c r="AA555" s="87">
        <v>6160</v>
      </c>
      <c r="AB555" s="85">
        <v>745.86099999999999</v>
      </c>
      <c r="AC555" s="87">
        <v>6150</v>
      </c>
      <c r="AD555" s="85">
        <v>669.74</v>
      </c>
      <c r="AE555" s="87">
        <v>6160</v>
      </c>
      <c r="AF555" s="85">
        <v>671.24699999999996</v>
      </c>
      <c r="AG555" s="87">
        <v>6140</v>
      </c>
      <c r="AH555" s="85">
        <v>176.23500000000001</v>
      </c>
      <c r="AI555" s="87">
        <v>6140</v>
      </c>
      <c r="AJ555" s="85">
        <v>185.04599999999999</v>
      </c>
    </row>
    <row r="556" spans="1:36" ht="14.25" customHeight="1">
      <c r="A556" s="88">
        <v>6170</v>
      </c>
      <c r="B556" s="84">
        <v>379.86099999999999</v>
      </c>
      <c r="C556" s="88">
        <v>6180</v>
      </c>
      <c r="D556" s="85">
        <v>377.03899999999999</v>
      </c>
      <c r="E556" s="86">
        <v>6170</v>
      </c>
      <c r="F556" s="85">
        <v>849.92100000000005</v>
      </c>
      <c r="G556" s="87">
        <v>6170</v>
      </c>
      <c r="H556" s="85">
        <v>849.74300000000005</v>
      </c>
      <c r="I556" s="87">
        <v>6170</v>
      </c>
      <c r="J556" s="85">
        <v>746.12599999999998</v>
      </c>
      <c r="K556" s="87">
        <v>6170</v>
      </c>
      <c r="L556" s="85">
        <v>745.702</v>
      </c>
      <c r="M556" s="87">
        <v>6170</v>
      </c>
      <c r="N556" s="85">
        <v>745.96199999999999</v>
      </c>
      <c r="O556" s="87">
        <v>6150</v>
      </c>
      <c r="P556" s="85">
        <v>747.08799999999997</v>
      </c>
      <c r="Q556" s="87">
        <v>6170</v>
      </c>
      <c r="R556" s="85">
        <v>746.69600000000003</v>
      </c>
      <c r="S556" s="87">
        <v>6170</v>
      </c>
      <c r="T556" s="85">
        <v>747.33600000000001</v>
      </c>
      <c r="U556" s="87">
        <v>6160</v>
      </c>
      <c r="V556" s="84">
        <v>746.548</v>
      </c>
      <c r="W556" s="87">
        <v>6170</v>
      </c>
      <c r="X556" s="85">
        <v>746.15200000000004</v>
      </c>
      <c r="Y556" s="87">
        <v>6170</v>
      </c>
      <c r="Z556" s="85">
        <v>744.56799999999998</v>
      </c>
      <c r="AA556" s="87">
        <v>6170</v>
      </c>
      <c r="AB556" s="85">
        <v>744.65099999999995</v>
      </c>
      <c r="AC556" s="87">
        <v>6160</v>
      </c>
      <c r="AD556" s="85">
        <v>668.529</v>
      </c>
      <c r="AE556" s="87">
        <v>6170</v>
      </c>
      <c r="AF556" s="85">
        <v>670.03700000000003</v>
      </c>
      <c r="AG556" s="87">
        <v>6150</v>
      </c>
      <c r="AH556" s="85">
        <v>175.84800000000001</v>
      </c>
      <c r="AI556" s="87">
        <v>6150</v>
      </c>
      <c r="AJ556" s="85">
        <v>184.64500000000001</v>
      </c>
    </row>
    <row r="557" spans="1:36" ht="14.25" customHeight="1">
      <c r="A557" s="88">
        <v>6180</v>
      </c>
      <c r="B557" s="84">
        <v>379.096</v>
      </c>
      <c r="C557" s="88">
        <v>6190</v>
      </c>
      <c r="D557" s="85">
        <v>376.279</v>
      </c>
      <c r="E557" s="86">
        <v>6180</v>
      </c>
      <c r="F557" s="85">
        <v>848.43799999999999</v>
      </c>
      <c r="G557" s="87">
        <v>6180</v>
      </c>
      <c r="H557" s="85">
        <v>848.26300000000003</v>
      </c>
      <c r="I557" s="87">
        <v>6180</v>
      </c>
      <c r="J557" s="85">
        <v>744.91300000000001</v>
      </c>
      <c r="K557" s="87">
        <v>6180</v>
      </c>
      <c r="L557" s="85">
        <v>744.48900000000003</v>
      </c>
      <c r="M557" s="87">
        <v>6180</v>
      </c>
      <c r="N557" s="85">
        <v>744.75</v>
      </c>
      <c r="O557" s="87">
        <v>6160</v>
      </c>
      <c r="P557" s="85">
        <v>745.875</v>
      </c>
      <c r="Q557" s="87">
        <v>6180</v>
      </c>
      <c r="R557" s="85">
        <v>745.48400000000004</v>
      </c>
      <c r="S557" s="87">
        <v>6180</v>
      </c>
      <c r="T557" s="85">
        <v>746.12400000000002</v>
      </c>
      <c r="U557" s="87">
        <v>6170</v>
      </c>
      <c r="V557" s="84">
        <v>745.33799999999997</v>
      </c>
      <c r="W557" s="87">
        <v>6180</v>
      </c>
      <c r="X557" s="85">
        <v>744.94100000000003</v>
      </c>
      <c r="Y557" s="87">
        <v>6180</v>
      </c>
      <c r="Z557" s="85">
        <v>743.35699999999997</v>
      </c>
      <c r="AA557" s="87">
        <v>6180</v>
      </c>
      <c r="AB557" s="85">
        <v>743.44100000000003</v>
      </c>
      <c r="AC557" s="87">
        <v>6170</v>
      </c>
      <c r="AD557" s="85">
        <v>667.31799999999998</v>
      </c>
      <c r="AE557" s="87">
        <v>6180</v>
      </c>
      <c r="AF557" s="85">
        <v>668.827</v>
      </c>
      <c r="AG557" s="87">
        <v>6160</v>
      </c>
      <c r="AH557" s="85">
        <v>175.46100000000001</v>
      </c>
      <c r="AI557" s="87">
        <v>6160</v>
      </c>
      <c r="AJ557" s="85">
        <v>184.244</v>
      </c>
    </row>
    <row r="558" spans="1:36" ht="14.25" customHeight="1">
      <c r="A558" s="88">
        <v>6190</v>
      </c>
      <c r="B558" s="84">
        <v>378.33100000000002</v>
      </c>
      <c r="C558" s="88">
        <v>6200</v>
      </c>
      <c r="D558" s="85">
        <v>375.52</v>
      </c>
      <c r="E558" s="86">
        <v>6190</v>
      </c>
      <c r="F558" s="85">
        <v>846.95600000000002</v>
      </c>
      <c r="G558" s="87">
        <v>6190</v>
      </c>
      <c r="H558" s="85">
        <v>846.78300000000002</v>
      </c>
      <c r="I558" s="87">
        <v>6190</v>
      </c>
      <c r="J558" s="85">
        <v>743.70100000000002</v>
      </c>
      <c r="K558" s="87">
        <v>6190</v>
      </c>
      <c r="L558" s="85">
        <v>743.27499999999998</v>
      </c>
      <c r="M558" s="87">
        <v>6190</v>
      </c>
      <c r="N558" s="85">
        <v>743.53700000000003</v>
      </c>
      <c r="O558" s="87">
        <v>6170</v>
      </c>
      <c r="P558" s="85">
        <v>744.66200000000003</v>
      </c>
      <c r="Q558" s="87">
        <v>6190</v>
      </c>
      <c r="R558" s="85">
        <v>744.27099999999996</v>
      </c>
      <c r="S558" s="87">
        <v>6190</v>
      </c>
      <c r="T558" s="85">
        <v>744.91099999999994</v>
      </c>
      <c r="U558" s="87">
        <v>6180</v>
      </c>
      <c r="V558" s="84">
        <v>744.12800000000004</v>
      </c>
      <c r="W558" s="87">
        <v>6190</v>
      </c>
      <c r="X558" s="85">
        <v>743.73</v>
      </c>
      <c r="Y558" s="87">
        <v>6190</v>
      </c>
      <c r="Z558" s="85">
        <v>742.14599999999996</v>
      </c>
      <c r="AA558" s="87">
        <v>6190</v>
      </c>
      <c r="AB558" s="85">
        <v>742.23099999999999</v>
      </c>
      <c r="AC558" s="87">
        <v>6180</v>
      </c>
      <c r="AD558" s="85">
        <v>666.10799999999995</v>
      </c>
      <c r="AE558" s="87">
        <v>6190</v>
      </c>
      <c r="AF558" s="85">
        <v>667.61800000000005</v>
      </c>
      <c r="AG558" s="87">
        <v>6170</v>
      </c>
      <c r="AH558" s="85">
        <v>175.07400000000001</v>
      </c>
      <c r="AI558" s="87">
        <v>6170</v>
      </c>
      <c r="AJ558" s="85">
        <v>183.84200000000001</v>
      </c>
    </row>
    <row r="559" spans="1:36" ht="14.25" customHeight="1">
      <c r="A559" s="88">
        <v>6200</v>
      </c>
      <c r="B559" s="84">
        <v>377.56700000000001</v>
      </c>
      <c r="C559" s="88">
        <v>6210</v>
      </c>
      <c r="D559" s="85">
        <v>374.76100000000002</v>
      </c>
      <c r="E559" s="86">
        <v>6200</v>
      </c>
      <c r="F559" s="85">
        <v>845.47400000000005</v>
      </c>
      <c r="G559" s="87">
        <v>6200</v>
      </c>
      <c r="H559" s="85">
        <v>845.303</v>
      </c>
      <c r="I559" s="87">
        <v>6200</v>
      </c>
      <c r="J559" s="85">
        <v>742.48800000000006</v>
      </c>
      <c r="K559" s="87">
        <v>6200</v>
      </c>
      <c r="L559" s="85">
        <v>742.06200000000001</v>
      </c>
      <c r="M559" s="87">
        <v>6200</v>
      </c>
      <c r="N559" s="85">
        <v>742.32399999999996</v>
      </c>
      <c r="O559" s="87">
        <v>6180</v>
      </c>
      <c r="P559" s="85">
        <v>743.44899999999996</v>
      </c>
      <c r="Q559" s="87">
        <v>6200</v>
      </c>
      <c r="R559" s="85">
        <v>743.05799999999999</v>
      </c>
      <c r="S559" s="87">
        <v>6200</v>
      </c>
      <c r="T559" s="85">
        <v>743.69899999999996</v>
      </c>
      <c r="U559" s="87">
        <v>6190</v>
      </c>
      <c r="V559" s="84">
        <v>742.91800000000001</v>
      </c>
      <c r="W559" s="87">
        <v>6200</v>
      </c>
      <c r="X559" s="85">
        <v>742.51900000000001</v>
      </c>
      <c r="Y559" s="87">
        <v>6200</v>
      </c>
      <c r="Z559" s="85">
        <v>740.93399999999997</v>
      </c>
      <c r="AA559" s="87">
        <v>6200</v>
      </c>
      <c r="AB559" s="85">
        <v>741.02099999999996</v>
      </c>
      <c r="AC559" s="87">
        <v>6190</v>
      </c>
      <c r="AD559" s="85">
        <v>664.89700000000005</v>
      </c>
      <c r="AE559" s="87">
        <v>6200</v>
      </c>
      <c r="AF559" s="85">
        <v>666.40800000000002</v>
      </c>
      <c r="AG559" s="87">
        <v>6180</v>
      </c>
      <c r="AH559" s="85">
        <v>174.68700000000001</v>
      </c>
      <c r="AI559" s="87">
        <v>6180</v>
      </c>
      <c r="AJ559" s="85">
        <v>183.441</v>
      </c>
    </row>
    <row r="560" spans="1:36" ht="14.25" customHeight="1">
      <c r="A560" s="88">
        <v>6210</v>
      </c>
      <c r="B560" s="84">
        <v>376.803</v>
      </c>
      <c r="C560" s="88">
        <v>6220</v>
      </c>
      <c r="D560" s="85">
        <v>374.00200000000001</v>
      </c>
      <c r="E560" s="86">
        <v>6210</v>
      </c>
      <c r="F560" s="85">
        <v>843.99099999999999</v>
      </c>
      <c r="G560" s="87">
        <v>6210</v>
      </c>
      <c r="H560" s="85">
        <v>843.82399999999996</v>
      </c>
      <c r="I560" s="87">
        <v>6210</v>
      </c>
      <c r="J560" s="85">
        <v>741.27499999999998</v>
      </c>
      <c r="K560" s="87">
        <v>6210</v>
      </c>
      <c r="L560" s="85">
        <v>740.84799999999996</v>
      </c>
      <c r="M560" s="87">
        <v>6210</v>
      </c>
      <c r="N560" s="85">
        <v>741.11199999999997</v>
      </c>
      <c r="O560" s="87">
        <v>6190</v>
      </c>
      <c r="P560" s="85">
        <v>742.23699999999997</v>
      </c>
      <c r="Q560" s="87">
        <v>6210</v>
      </c>
      <c r="R560" s="85">
        <v>741.846</v>
      </c>
      <c r="S560" s="87">
        <v>6210</v>
      </c>
      <c r="T560" s="85">
        <v>742.48699999999997</v>
      </c>
      <c r="U560" s="87">
        <v>6200</v>
      </c>
      <c r="V560" s="84">
        <v>741.70799999999997</v>
      </c>
      <c r="W560" s="87">
        <v>6210</v>
      </c>
      <c r="X560" s="85">
        <v>741.30799999999999</v>
      </c>
      <c r="Y560" s="87">
        <v>6210</v>
      </c>
      <c r="Z560" s="85">
        <v>739.72299999999996</v>
      </c>
      <c r="AA560" s="87">
        <v>6210</v>
      </c>
      <c r="AB560" s="85">
        <v>739.81100000000004</v>
      </c>
      <c r="AC560" s="87">
        <v>6200</v>
      </c>
      <c r="AD560" s="85">
        <v>663.68600000000004</v>
      </c>
      <c r="AE560" s="87">
        <v>6210</v>
      </c>
      <c r="AF560" s="85">
        <v>665.19799999999998</v>
      </c>
      <c r="AG560" s="87">
        <v>6190</v>
      </c>
      <c r="AH560" s="85">
        <v>174.3</v>
      </c>
      <c r="AI560" s="87">
        <v>6190</v>
      </c>
      <c r="AJ560" s="85">
        <v>183.04</v>
      </c>
    </row>
    <row r="561" spans="1:36" ht="14.25" customHeight="1">
      <c r="A561" s="88">
        <v>6220</v>
      </c>
      <c r="B561" s="84">
        <v>376.03899999999999</v>
      </c>
      <c r="C561" s="88">
        <v>6230</v>
      </c>
      <c r="D561" s="85">
        <v>373.24299999999999</v>
      </c>
      <c r="E561" s="86">
        <v>6220</v>
      </c>
      <c r="F561" s="85">
        <v>842.50900000000001</v>
      </c>
      <c r="G561" s="87">
        <v>6220</v>
      </c>
      <c r="H561" s="85">
        <v>842.34400000000005</v>
      </c>
      <c r="I561" s="87">
        <v>6220</v>
      </c>
      <c r="J561" s="85">
        <v>740.06299999999999</v>
      </c>
      <c r="K561" s="87">
        <v>6220</v>
      </c>
      <c r="L561" s="85">
        <v>739.63400000000001</v>
      </c>
      <c r="M561" s="87">
        <v>6220</v>
      </c>
      <c r="N561" s="85">
        <v>739.899</v>
      </c>
      <c r="O561" s="87">
        <v>6200</v>
      </c>
      <c r="P561" s="85">
        <v>741.024</v>
      </c>
      <c r="Q561" s="87">
        <v>6220</v>
      </c>
      <c r="R561" s="85">
        <v>740.63300000000004</v>
      </c>
      <c r="S561" s="87">
        <v>6220</v>
      </c>
      <c r="T561" s="85">
        <v>741.27499999999998</v>
      </c>
      <c r="U561" s="87">
        <v>6210</v>
      </c>
      <c r="V561" s="84">
        <v>740.49800000000005</v>
      </c>
      <c r="W561" s="87">
        <v>6220</v>
      </c>
      <c r="X561" s="85">
        <v>740.09699999999998</v>
      </c>
      <c r="Y561" s="87">
        <v>6220</v>
      </c>
      <c r="Z561" s="85">
        <v>738.51199999999994</v>
      </c>
      <c r="AA561" s="87">
        <v>6220</v>
      </c>
      <c r="AB561" s="85">
        <v>738.601</v>
      </c>
      <c r="AC561" s="87">
        <v>6210</v>
      </c>
      <c r="AD561" s="85">
        <v>662.476</v>
      </c>
      <c r="AE561" s="87">
        <v>6220</v>
      </c>
      <c r="AF561" s="85">
        <v>663.98800000000006</v>
      </c>
      <c r="AG561" s="87">
        <v>6200</v>
      </c>
      <c r="AH561" s="85">
        <v>173.91300000000001</v>
      </c>
      <c r="AI561" s="87">
        <v>6200</v>
      </c>
      <c r="AJ561" s="85">
        <v>182.63900000000001</v>
      </c>
    </row>
    <row r="562" spans="1:36" ht="14.25" customHeight="1">
      <c r="A562" s="88">
        <v>6230</v>
      </c>
      <c r="B562" s="84">
        <v>375.27499999999998</v>
      </c>
      <c r="C562" s="88">
        <v>6240</v>
      </c>
      <c r="D562" s="85">
        <v>372.48399999999998</v>
      </c>
      <c r="E562" s="86">
        <v>6230</v>
      </c>
      <c r="F562" s="85">
        <v>841.02800000000002</v>
      </c>
      <c r="G562" s="87">
        <v>6230</v>
      </c>
      <c r="H562" s="85">
        <v>840.86500000000001</v>
      </c>
      <c r="I562" s="87">
        <v>6230</v>
      </c>
      <c r="J562" s="85">
        <v>738.85</v>
      </c>
      <c r="K562" s="87">
        <v>6230</v>
      </c>
      <c r="L562" s="85">
        <v>738.42100000000005</v>
      </c>
      <c r="M562" s="87">
        <v>6230</v>
      </c>
      <c r="N562" s="85">
        <v>738.68700000000001</v>
      </c>
      <c r="O562" s="87">
        <v>6210</v>
      </c>
      <c r="P562" s="85">
        <v>739.81100000000004</v>
      </c>
      <c r="Q562" s="87">
        <v>6230</v>
      </c>
      <c r="R562" s="85">
        <v>739.42100000000005</v>
      </c>
      <c r="S562" s="87">
        <v>6230</v>
      </c>
      <c r="T562" s="85">
        <v>740.06299999999999</v>
      </c>
      <c r="U562" s="87">
        <v>6220</v>
      </c>
      <c r="V562" s="84">
        <v>739.28800000000001</v>
      </c>
      <c r="W562" s="87">
        <v>6230</v>
      </c>
      <c r="X562" s="85">
        <v>738.88599999999997</v>
      </c>
      <c r="Y562" s="87">
        <v>6230</v>
      </c>
      <c r="Z562" s="85">
        <v>737.30100000000004</v>
      </c>
      <c r="AA562" s="87">
        <v>6230</v>
      </c>
      <c r="AB562" s="85">
        <v>737.39099999999996</v>
      </c>
      <c r="AC562" s="87">
        <v>6220</v>
      </c>
      <c r="AD562" s="85">
        <v>661.26499999999999</v>
      </c>
      <c r="AE562" s="87">
        <v>6230</v>
      </c>
      <c r="AF562" s="85">
        <v>662.77800000000002</v>
      </c>
      <c r="AG562" s="87">
        <v>6210</v>
      </c>
      <c r="AH562" s="85">
        <v>173.52699999999999</v>
      </c>
      <c r="AI562" s="87">
        <v>6210</v>
      </c>
      <c r="AJ562" s="85">
        <v>182.238</v>
      </c>
    </row>
    <row r="563" spans="1:36" ht="14.25" customHeight="1">
      <c r="A563" s="88">
        <v>6240</v>
      </c>
      <c r="B563" s="84">
        <v>374.512</v>
      </c>
      <c r="C563" s="88">
        <v>6250</v>
      </c>
      <c r="D563" s="85">
        <v>371.726</v>
      </c>
      <c r="E563" s="86">
        <v>6240</v>
      </c>
      <c r="F563" s="85">
        <v>839.54600000000005</v>
      </c>
      <c r="G563" s="87">
        <v>6240</v>
      </c>
      <c r="H563" s="85">
        <v>839.38499999999999</v>
      </c>
      <c r="I563" s="87">
        <v>6240</v>
      </c>
      <c r="J563" s="85">
        <v>737.63699999999994</v>
      </c>
      <c r="K563" s="87">
        <v>6240</v>
      </c>
      <c r="L563" s="85">
        <v>737.20699999999999</v>
      </c>
      <c r="M563" s="87">
        <v>6240</v>
      </c>
      <c r="N563" s="85">
        <v>737.47400000000005</v>
      </c>
      <c r="O563" s="87">
        <v>6220</v>
      </c>
      <c r="P563" s="85">
        <v>738.59799999999996</v>
      </c>
      <c r="Q563" s="87">
        <v>6240</v>
      </c>
      <c r="R563" s="85">
        <v>738.20799999999997</v>
      </c>
      <c r="S563" s="87">
        <v>6240</v>
      </c>
      <c r="T563" s="85">
        <v>738.85</v>
      </c>
      <c r="U563" s="87">
        <v>6230</v>
      </c>
      <c r="V563" s="84">
        <v>738.07799999999997</v>
      </c>
      <c r="W563" s="87">
        <v>6240</v>
      </c>
      <c r="X563" s="85">
        <v>737.67600000000004</v>
      </c>
      <c r="Y563" s="87">
        <v>6240</v>
      </c>
      <c r="Z563" s="85">
        <v>736.08900000000006</v>
      </c>
      <c r="AA563" s="87">
        <v>6240</v>
      </c>
      <c r="AB563" s="85">
        <v>736.18100000000004</v>
      </c>
      <c r="AC563" s="87">
        <v>6230</v>
      </c>
      <c r="AD563" s="85">
        <v>660.05399999999997</v>
      </c>
      <c r="AE563" s="87">
        <v>6240</v>
      </c>
      <c r="AF563" s="85">
        <v>661.56799999999998</v>
      </c>
      <c r="AG563" s="87">
        <v>6220</v>
      </c>
      <c r="AH563" s="85">
        <v>173.14</v>
      </c>
      <c r="AI563" s="87">
        <v>6220</v>
      </c>
      <c r="AJ563" s="85">
        <v>181.83799999999999</v>
      </c>
    </row>
    <row r="564" spans="1:36" ht="14.25" customHeight="1">
      <c r="A564" s="88">
        <v>6250</v>
      </c>
      <c r="B564" s="84">
        <v>373.74799999999999</v>
      </c>
      <c r="C564" s="88">
        <v>6260</v>
      </c>
      <c r="D564" s="85">
        <v>370.96699999999998</v>
      </c>
      <c r="E564" s="86">
        <v>6250</v>
      </c>
      <c r="F564" s="85">
        <v>838.06399999999996</v>
      </c>
      <c r="G564" s="87">
        <v>6250</v>
      </c>
      <c r="H564" s="85">
        <v>837.90599999999995</v>
      </c>
      <c r="I564" s="87">
        <v>6250</v>
      </c>
      <c r="J564" s="85">
        <v>736.42499999999995</v>
      </c>
      <c r="K564" s="87">
        <v>6250</v>
      </c>
      <c r="L564" s="85">
        <v>735.99300000000005</v>
      </c>
      <c r="M564" s="87">
        <v>6250</v>
      </c>
      <c r="N564" s="85">
        <v>736.26199999999994</v>
      </c>
      <c r="O564" s="87">
        <v>6230</v>
      </c>
      <c r="P564" s="85">
        <v>737.38499999999999</v>
      </c>
      <c r="Q564" s="87">
        <v>6250</v>
      </c>
      <c r="R564" s="85">
        <v>736.995</v>
      </c>
      <c r="S564" s="87">
        <v>6250</v>
      </c>
      <c r="T564" s="85">
        <v>737.63800000000003</v>
      </c>
      <c r="U564" s="87">
        <v>6240</v>
      </c>
      <c r="V564" s="84">
        <v>736.86800000000005</v>
      </c>
      <c r="W564" s="87">
        <v>6250</v>
      </c>
      <c r="X564" s="85">
        <v>736.46500000000003</v>
      </c>
      <c r="Y564" s="87">
        <v>6250</v>
      </c>
      <c r="Z564" s="85">
        <v>734.87800000000004</v>
      </c>
      <c r="AA564" s="87">
        <v>6250</v>
      </c>
      <c r="AB564" s="85">
        <v>734.971</v>
      </c>
      <c r="AC564" s="87">
        <v>6240</v>
      </c>
      <c r="AD564" s="85">
        <v>658.84400000000005</v>
      </c>
      <c r="AE564" s="87">
        <v>6250</v>
      </c>
      <c r="AF564" s="85">
        <v>660.35799999999995</v>
      </c>
      <c r="AG564" s="87">
        <v>6230</v>
      </c>
      <c r="AH564" s="85">
        <v>172.75299999999999</v>
      </c>
      <c r="AI564" s="87">
        <v>6230</v>
      </c>
      <c r="AJ564" s="85">
        <v>181.43700000000001</v>
      </c>
    </row>
    <row r="565" spans="1:36" ht="14.25" customHeight="1">
      <c r="A565" s="88">
        <v>6260</v>
      </c>
      <c r="B565" s="84">
        <v>372.98500000000001</v>
      </c>
      <c r="C565" s="88">
        <v>6270</v>
      </c>
      <c r="D565" s="85">
        <v>370.209</v>
      </c>
      <c r="E565" s="86">
        <v>6260</v>
      </c>
      <c r="F565" s="85">
        <v>836.58299999999997</v>
      </c>
      <c r="G565" s="87">
        <v>6260</v>
      </c>
      <c r="H565" s="85">
        <v>836.42700000000002</v>
      </c>
      <c r="I565" s="87">
        <v>6260</v>
      </c>
      <c r="J565" s="85">
        <v>735.21199999999999</v>
      </c>
      <c r="K565" s="87">
        <v>6260</v>
      </c>
      <c r="L565" s="85">
        <v>734.78</v>
      </c>
      <c r="M565" s="87">
        <v>6260</v>
      </c>
      <c r="N565" s="85">
        <v>735.04899999999998</v>
      </c>
      <c r="O565" s="87">
        <v>6240</v>
      </c>
      <c r="P565" s="85">
        <v>736.173</v>
      </c>
      <c r="Q565" s="87">
        <v>6260</v>
      </c>
      <c r="R565" s="85">
        <v>735.78300000000002</v>
      </c>
      <c r="S565" s="87">
        <v>6260</v>
      </c>
      <c r="T565" s="85">
        <v>736.42600000000004</v>
      </c>
      <c r="U565" s="87">
        <v>6250</v>
      </c>
      <c r="V565" s="84">
        <v>735.65800000000002</v>
      </c>
      <c r="W565" s="87">
        <v>6260</v>
      </c>
      <c r="X565" s="85">
        <v>735.25400000000002</v>
      </c>
      <c r="Y565" s="87">
        <v>6260</v>
      </c>
      <c r="Z565" s="85">
        <v>733.66700000000003</v>
      </c>
      <c r="AA565" s="87">
        <v>6260</v>
      </c>
      <c r="AB565" s="85">
        <v>733.76099999999997</v>
      </c>
      <c r="AC565" s="87">
        <v>6250</v>
      </c>
      <c r="AD565" s="85">
        <v>657.63300000000004</v>
      </c>
      <c r="AE565" s="87">
        <v>6260</v>
      </c>
      <c r="AF565" s="85">
        <v>659.149</v>
      </c>
      <c r="AG565" s="87">
        <v>6240</v>
      </c>
      <c r="AH565" s="85">
        <v>172.36699999999999</v>
      </c>
      <c r="AI565" s="87">
        <v>6240</v>
      </c>
      <c r="AJ565" s="85">
        <v>181.036</v>
      </c>
    </row>
    <row r="566" spans="1:36" ht="14.25" customHeight="1">
      <c r="A566" s="88">
        <v>6270</v>
      </c>
      <c r="B566" s="84">
        <v>372.22199999999998</v>
      </c>
      <c r="C566" s="88">
        <v>6280</v>
      </c>
      <c r="D566" s="85">
        <v>369.45100000000002</v>
      </c>
      <c r="E566" s="86">
        <v>6270</v>
      </c>
      <c r="F566" s="85">
        <v>835.101</v>
      </c>
      <c r="G566" s="87">
        <v>6270</v>
      </c>
      <c r="H566" s="85">
        <v>834.947</v>
      </c>
      <c r="I566" s="87">
        <v>6270</v>
      </c>
      <c r="J566" s="85">
        <v>733.99900000000002</v>
      </c>
      <c r="K566" s="87">
        <v>6270</v>
      </c>
      <c r="L566" s="85">
        <v>733.56600000000003</v>
      </c>
      <c r="M566" s="87">
        <v>6270</v>
      </c>
      <c r="N566" s="85">
        <v>733.83699999999999</v>
      </c>
      <c r="O566" s="87">
        <v>6250</v>
      </c>
      <c r="P566" s="85">
        <v>734.96</v>
      </c>
      <c r="Q566" s="87">
        <v>6270</v>
      </c>
      <c r="R566" s="85">
        <v>734.57</v>
      </c>
      <c r="S566" s="87">
        <v>6270</v>
      </c>
      <c r="T566" s="85">
        <v>735.21400000000006</v>
      </c>
      <c r="U566" s="87">
        <v>6260</v>
      </c>
      <c r="V566" s="84">
        <v>734.44799999999998</v>
      </c>
      <c r="W566" s="87">
        <v>6270</v>
      </c>
      <c r="X566" s="85">
        <v>734.04300000000001</v>
      </c>
      <c r="Y566" s="87">
        <v>6270</v>
      </c>
      <c r="Z566" s="85">
        <v>732.45600000000002</v>
      </c>
      <c r="AA566" s="87">
        <v>6270</v>
      </c>
      <c r="AB566" s="85">
        <v>732.55100000000004</v>
      </c>
      <c r="AC566" s="87">
        <v>6260</v>
      </c>
      <c r="AD566" s="85">
        <v>656.42200000000003</v>
      </c>
      <c r="AE566" s="87">
        <v>6270</v>
      </c>
      <c r="AF566" s="85">
        <v>657.93899999999996</v>
      </c>
      <c r="AG566" s="87">
        <v>6250</v>
      </c>
      <c r="AH566" s="85">
        <v>171.98099999999999</v>
      </c>
      <c r="AI566" s="87">
        <v>6250</v>
      </c>
      <c r="AJ566" s="85">
        <v>180.636</v>
      </c>
    </row>
    <row r="567" spans="1:36" ht="14.25" customHeight="1">
      <c r="A567" s="88">
        <v>6280</v>
      </c>
      <c r="B567" s="84">
        <v>371.46</v>
      </c>
      <c r="C567" s="88">
        <v>6290</v>
      </c>
      <c r="D567" s="85">
        <v>368.69400000000002</v>
      </c>
      <c r="E567" s="86">
        <v>6280</v>
      </c>
      <c r="F567" s="85">
        <v>833.62</v>
      </c>
      <c r="G567" s="87">
        <v>6280</v>
      </c>
      <c r="H567" s="85">
        <v>833.46900000000005</v>
      </c>
      <c r="I567" s="87">
        <v>6280</v>
      </c>
      <c r="J567" s="85">
        <v>732.78700000000003</v>
      </c>
      <c r="K567" s="87">
        <v>6280</v>
      </c>
      <c r="L567" s="85">
        <v>732.35299999999995</v>
      </c>
      <c r="M567" s="87">
        <v>6280</v>
      </c>
      <c r="N567" s="85">
        <v>732.62400000000002</v>
      </c>
      <c r="O567" s="87">
        <v>6260</v>
      </c>
      <c r="P567" s="85">
        <v>733.74699999999996</v>
      </c>
      <c r="Q567" s="87">
        <v>6280</v>
      </c>
      <c r="R567" s="85">
        <v>733.35799999999995</v>
      </c>
      <c r="S567" s="87">
        <v>6280</v>
      </c>
      <c r="T567" s="85">
        <v>734.00099999999998</v>
      </c>
      <c r="U567" s="87">
        <v>6270</v>
      </c>
      <c r="V567" s="84">
        <v>733.23800000000006</v>
      </c>
      <c r="W567" s="87">
        <v>6280</v>
      </c>
      <c r="X567" s="85">
        <v>732.83199999999999</v>
      </c>
      <c r="Y567" s="87">
        <v>6280</v>
      </c>
      <c r="Z567" s="85">
        <v>731.24400000000003</v>
      </c>
      <c r="AA567" s="87">
        <v>6280</v>
      </c>
      <c r="AB567" s="85">
        <v>731.34100000000001</v>
      </c>
      <c r="AC567" s="87">
        <v>6270</v>
      </c>
      <c r="AD567" s="85">
        <v>655.21199999999999</v>
      </c>
      <c r="AE567" s="87">
        <v>6280</v>
      </c>
      <c r="AF567" s="85">
        <v>656.72900000000004</v>
      </c>
      <c r="AG567" s="87">
        <v>6260</v>
      </c>
      <c r="AH567" s="85">
        <v>171.595</v>
      </c>
      <c r="AI567" s="87">
        <v>6260</v>
      </c>
      <c r="AJ567" s="85">
        <v>180.23500000000001</v>
      </c>
    </row>
    <row r="568" spans="1:36" ht="14.25" customHeight="1">
      <c r="A568" s="88">
        <v>6290</v>
      </c>
      <c r="B568" s="84">
        <v>370.697</v>
      </c>
      <c r="C568" s="88">
        <v>6300</v>
      </c>
      <c r="D568" s="85">
        <v>367.93599999999998</v>
      </c>
      <c r="E568" s="86">
        <v>6290</v>
      </c>
      <c r="F568" s="85">
        <v>832.13900000000001</v>
      </c>
      <c r="G568" s="87">
        <v>6290</v>
      </c>
      <c r="H568" s="85">
        <v>831.99</v>
      </c>
      <c r="I568" s="87">
        <v>6290</v>
      </c>
      <c r="J568" s="85">
        <v>731.57399999999996</v>
      </c>
      <c r="K568" s="87">
        <v>6290</v>
      </c>
      <c r="L568" s="85">
        <v>731.13900000000001</v>
      </c>
      <c r="M568" s="87">
        <v>6290</v>
      </c>
      <c r="N568" s="85">
        <v>731.41200000000003</v>
      </c>
      <c r="O568" s="87">
        <v>6270</v>
      </c>
      <c r="P568" s="85">
        <v>732.53399999999999</v>
      </c>
      <c r="Q568" s="87">
        <v>6290</v>
      </c>
      <c r="R568" s="85">
        <v>732.14499999999998</v>
      </c>
      <c r="S568" s="87">
        <v>6290</v>
      </c>
      <c r="T568" s="85">
        <v>732.78899999999999</v>
      </c>
      <c r="U568" s="87">
        <v>6280</v>
      </c>
      <c r="V568" s="84">
        <v>732.02800000000002</v>
      </c>
      <c r="W568" s="87">
        <v>6290</v>
      </c>
      <c r="X568" s="85">
        <v>731.62099999999998</v>
      </c>
      <c r="Y568" s="87">
        <v>6290</v>
      </c>
      <c r="Z568" s="85">
        <v>730.03300000000002</v>
      </c>
      <c r="AA568" s="87">
        <v>6290</v>
      </c>
      <c r="AB568" s="85">
        <v>730.13099999999997</v>
      </c>
      <c r="AC568" s="87">
        <v>6280</v>
      </c>
      <c r="AD568" s="85">
        <v>654.00099999999998</v>
      </c>
      <c r="AE568" s="87">
        <v>6290</v>
      </c>
      <c r="AF568" s="85">
        <v>655.51900000000001</v>
      </c>
      <c r="AG568" s="87">
        <v>6270</v>
      </c>
      <c r="AH568" s="85">
        <v>171.208</v>
      </c>
      <c r="AI568" s="87">
        <v>6270</v>
      </c>
      <c r="AJ568" s="85">
        <v>179.83500000000001</v>
      </c>
    </row>
    <row r="569" spans="1:36" ht="14.25" customHeight="1">
      <c r="A569" s="88">
        <v>6300</v>
      </c>
      <c r="B569" s="84">
        <v>369.935</v>
      </c>
      <c r="C569" s="88">
        <v>6310</v>
      </c>
      <c r="D569" s="85">
        <v>367.17899999999997</v>
      </c>
      <c r="E569" s="86">
        <v>6300</v>
      </c>
      <c r="F569" s="85">
        <v>830.65800000000002</v>
      </c>
      <c r="G569" s="87">
        <v>6300</v>
      </c>
      <c r="H569" s="85">
        <v>830.51099999999997</v>
      </c>
      <c r="I569" s="87">
        <v>6300</v>
      </c>
      <c r="J569" s="85">
        <v>730.36199999999997</v>
      </c>
      <c r="K569" s="87">
        <v>6300</v>
      </c>
      <c r="L569" s="85">
        <v>729.92499999999995</v>
      </c>
      <c r="M569" s="87">
        <v>6300</v>
      </c>
      <c r="N569" s="85">
        <v>730.19899999999996</v>
      </c>
      <c r="O569" s="87">
        <v>6280</v>
      </c>
      <c r="P569" s="85">
        <v>731.322</v>
      </c>
      <c r="Q569" s="87">
        <v>6300</v>
      </c>
      <c r="R569" s="85">
        <v>730.93299999999999</v>
      </c>
      <c r="S569" s="87">
        <v>6300</v>
      </c>
      <c r="T569" s="85">
        <v>731.577</v>
      </c>
      <c r="U569" s="87">
        <v>6290</v>
      </c>
      <c r="V569" s="84">
        <v>730.81799999999998</v>
      </c>
      <c r="W569" s="87">
        <v>6300</v>
      </c>
      <c r="X569" s="85">
        <v>730.41</v>
      </c>
      <c r="Y569" s="87">
        <v>6300</v>
      </c>
      <c r="Z569" s="85">
        <v>728.822</v>
      </c>
      <c r="AA569" s="87">
        <v>6300</v>
      </c>
      <c r="AB569" s="85">
        <v>728.92100000000005</v>
      </c>
      <c r="AC569" s="87">
        <v>6290</v>
      </c>
      <c r="AD569" s="85">
        <v>652.79</v>
      </c>
      <c r="AE569" s="87">
        <v>6300</v>
      </c>
      <c r="AF569" s="85">
        <v>654.30899999999997</v>
      </c>
      <c r="AG569" s="87">
        <v>6280</v>
      </c>
      <c r="AH569" s="85">
        <v>170.822</v>
      </c>
      <c r="AI569" s="87">
        <v>6280</v>
      </c>
      <c r="AJ569" s="85">
        <v>179.435</v>
      </c>
    </row>
    <row r="570" spans="1:36" ht="14.25" customHeight="1">
      <c r="A570" s="88">
        <v>6310</v>
      </c>
      <c r="B570" s="84">
        <v>369.17200000000003</v>
      </c>
      <c r="C570" s="88">
        <v>6320</v>
      </c>
      <c r="D570" s="85">
        <v>366.42200000000003</v>
      </c>
      <c r="E570" s="86">
        <v>6310</v>
      </c>
      <c r="F570" s="85">
        <v>829.17700000000002</v>
      </c>
      <c r="G570" s="87">
        <v>6310</v>
      </c>
      <c r="H570" s="85">
        <v>829.03200000000004</v>
      </c>
      <c r="I570" s="87">
        <v>6310</v>
      </c>
      <c r="J570" s="85">
        <v>729.149</v>
      </c>
      <c r="K570" s="87">
        <v>6310</v>
      </c>
      <c r="L570" s="85">
        <v>728.71199999999999</v>
      </c>
      <c r="M570" s="87">
        <v>6310</v>
      </c>
      <c r="N570" s="85">
        <v>728.98699999999997</v>
      </c>
      <c r="O570" s="87">
        <v>6290</v>
      </c>
      <c r="P570" s="85">
        <v>730.10900000000004</v>
      </c>
      <c r="Q570" s="87">
        <v>6310</v>
      </c>
      <c r="R570" s="85">
        <v>729.72</v>
      </c>
      <c r="S570" s="87">
        <v>6310</v>
      </c>
      <c r="T570" s="85">
        <v>730.36500000000001</v>
      </c>
      <c r="U570" s="87">
        <v>6300</v>
      </c>
      <c r="V570" s="84">
        <v>729.60799999999995</v>
      </c>
      <c r="W570" s="87">
        <v>6310</v>
      </c>
      <c r="X570" s="85">
        <v>729.19899999999996</v>
      </c>
      <c r="Y570" s="87">
        <v>6310</v>
      </c>
      <c r="Z570" s="85">
        <v>727.61099999999999</v>
      </c>
      <c r="AA570" s="87">
        <v>6310</v>
      </c>
      <c r="AB570" s="85">
        <v>727.71100000000001</v>
      </c>
      <c r="AC570" s="87">
        <v>6300</v>
      </c>
      <c r="AD570" s="85">
        <v>651.58000000000004</v>
      </c>
      <c r="AE570" s="87">
        <v>6310</v>
      </c>
      <c r="AF570" s="85">
        <v>653.09900000000005</v>
      </c>
      <c r="AG570" s="87">
        <v>6290</v>
      </c>
      <c r="AH570" s="85">
        <v>170.43700000000001</v>
      </c>
      <c r="AI570" s="87">
        <v>6290</v>
      </c>
      <c r="AJ570" s="85">
        <v>179.035</v>
      </c>
    </row>
    <row r="571" spans="1:36" ht="14.25" customHeight="1">
      <c r="A571" s="88">
        <v>6320</v>
      </c>
      <c r="B571" s="84">
        <v>368.41</v>
      </c>
      <c r="C571" s="88">
        <v>6330</v>
      </c>
      <c r="D571" s="85">
        <v>365.66500000000002</v>
      </c>
      <c r="E571" s="86">
        <v>6320</v>
      </c>
      <c r="F571" s="85">
        <v>827.69600000000003</v>
      </c>
      <c r="G571" s="87">
        <v>6320</v>
      </c>
      <c r="H571" s="85">
        <v>827.55399999999997</v>
      </c>
      <c r="I571" s="87">
        <v>6320</v>
      </c>
      <c r="J571" s="85">
        <v>727.93600000000004</v>
      </c>
      <c r="K571" s="87">
        <v>6320</v>
      </c>
      <c r="L571" s="85">
        <v>727.49800000000005</v>
      </c>
      <c r="M571" s="87">
        <v>6320</v>
      </c>
      <c r="N571" s="85">
        <v>727.774</v>
      </c>
      <c r="O571" s="87">
        <v>6300</v>
      </c>
      <c r="P571" s="85">
        <v>728.89599999999996</v>
      </c>
      <c r="Q571" s="87">
        <v>6320</v>
      </c>
      <c r="R571" s="85">
        <v>728.50699999999995</v>
      </c>
      <c r="S571" s="87">
        <v>6320</v>
      </c>
      <c r="T571" s="85">
        <v>729.15300000000002</v>
      </c>
      <c r="U571" s="87">
        <v>6310</v>
      </c>
      <c r="V571" s="84">
        <v>728.39800000000002</v>
      </c>
      <c r="W571" s="87">
        <v>6320</v>
      </c>
      <c r="X571" s="85">
        <v>727.98800000000006</v>
      </c>
      <c r="Y571" s="87">
        <v>6320</v>
      </c>
      <c r="Z571" s="85">
        <v>726.399</v>
      </c>
      <c r="AA571" s="87">
        <v>6320</v>
      </c>
      <c r="AB571" s="85">
        <v>726.50099999999998</v>
      </c>
      <c r="AC571" s="87">
        <v>6310</v>
      </c>
      <c r="AD571" s="85">
        <v>650.36900000000003</v>
      </c>
      <c r="AE571" s="87">
        <v>6320</v>
      </c>
      <c r="AF571" s="85">
        <v>651.89</v>
      </c>
      <c r="AG571" s="87">
        <v>6300</v>
      </c>
      <c r="AH571" s="85">
        <v>170.05099999999999</v>
      </c>
      <c r="AI571" s="87">
        <v>6300</v>
      </c>
      <c r="AJ571" s="85">
        <v>178.63499999999999</v>
      </c>
    </row>
    <row r="572" spans="1:36" ht="14.25" customHeight="1">
      <c r="A572" s="88">
        <v>6330</v>
      </c>
      <c r="B572" s="84">
        <v>367.649</v>
      </c>
      <c r="C572" s="88">
        <v>6340</v>
      </c>
      <c r="D572" s="85">
        <v>364.90800000000002</v>
      </c>
      <c r="E572" s="86">
        <v>6330</v>
      </c>
      <c r="F572" s="85">
        <v>826.21500000000003</v>
      </c>
      <c r="G572" s="87">
        <v>6330</v>
      </c>
      <c r="H572" s="85">
        <v>826.07500000000005</v>
      </c>
      <c r="I572" s="87">
        <v>6330</v>
      </c>
      <c r="J572" s="85">
        <v>726.72400000000005</v>
      </c>
      <c r="K572" s="87">
        <v>6330</v>
      </c>
      <c r="L572" s="85">
        <v>726.28399999999999</v>
      </c>
      <c r="M572" s="87">
        <v>6330</v>
      </c>
      <c r="N572" s="85">
        <v>726.56200000000001</v>
      </c>
      <c r="O572" s="87">
        <v>6310</v>
      </c>
      <c r="P572" s="85">
        <v>727.68299999999999</v>
      </c>
      <c r="Q572" s="87">
        <v>6330</v>
      </c>
      <c r="R572" s="85">
        <v>727.29499999999996</v>
      </c>
      <c r="S572" s="87">
        <v>6330</v>
      </c>
      <c r="T572" s="85">
        <v>727.94</v>
      </c>
      <c r="U572" s="87">
        <v>6320</v>
      </c>
      <c r="V572" s="84">
        <v>727.18799999999999</v>
      </c>
      <c r="W572" s="87">
        <v>6330</v>
      </c>
      <c r="X572" s="85">
        <v>726.77800000000002</v>
      </c>
      <c r="Y572" s="87">
        <v>6330</v>
      </c>
      <c r="Z572" s="85">
        <v>725.18799999999999</v>
      </c>
      <c r="AA572" s="87">
        <v>6330</v>
      </c>
      <c r="AB572" s="85">
        <v>725.29100000000005</v>
      </c>
      <c r="AC572" s="87">
        <v>6320</v>
      </c>
      <c r="AD572" s="85">
        <v>649.15800000000002</v>
      </c>
      <c r="AE572" s="87">
        <v>6330</v>
      </c>
      <c r="AF572" s="85">
        <v>650.67999999999995</v>
      </c>
      <c r="AG572" s="87">
        <v>6310</v>
      </c>
      <c r="AH572" s="85">
        <v>169.66499999999999</v>
      </c>
      <c r="AI572" s="87">
        <v>6310</v>
      </c>
      <c r="AJ572" s="85">
        <v>178.23500000000001</v>
      </c>
    </row>
    <row r="573" spans="1:36" ht="14.25" customHeight="1">
      <c r="A573" s="88">
        <v>6340</v>
      </c>
      <c r="B573" s="84">
        <v>366.887</v>
      </c>
      <c r="C573" s="88">
        <v>6350</v>
      </c>
      <c r="D573" s="85">
        <v>364.15100000000001</v>
      </c>
      <c r="E573" s="86">
        <v>6340</v>
      </c>
      <c r="F573" s="85">
        <v>824.73500000000001</v>
      </c>
      <c r="G573" s="87">
        <v>6340</v>
      </c>
      <c r="H573" s="85">
        <v>824.59699999999998</v>
      </c>
      <c r="I573" s="87">
        <v>6340</v>
      </c>
      <c r="J573" s="85">
        <v>725.51099999999997</v>
      </c>
      <c r="K573" s="87">
        <v>6340</v>
      </c>
      <c r="L573" s="85">
        <v>725.07100000000003</v>
      </c>
      <c r="M573" s="87">
        <v>6340</v>
      </c>
      <c r="N573" s="85">
        <v>725.34900000000005</v>
      </c>
      <c r="O573" s="87">
        <v>6320</v>
      </c>
      <c r="P573" s="85">
        <v>726.47</v>
      </c>
      <c r="Q573" s="87">
        <v>6340</v>
      </c>
      <c r="R573" s="85">
        <v>726.08199999999999</v>
      </c>
      <c r="S573" s="87">
        <v>6340</v>
      </c>
      <c r="T573" s="85">
        <v>726.72799999999995</v>
      </c>
      <c r="U573" s="87">
        <v>6330</v>
      </c>
      <c r="V573" s="85">
        <v>725.97799999999995</v>
      </c>
      <c r="W573" s="87">
        <v>6340</v>
      </c>
      <c r="X573" s="85">
        <v>725.56700000000001</v>
      </c>
      <c r="Y573" s="87">
        <v>6340</v>
      </c>
      <c r="Z573" s="85">
        <v>723.97699999999998</v>
      </c>
      <c r="AA573" s="87">
        <v>6340</v>
      </c>
      <c r="AB573" s="85">
        <v>724.08100000000002</v>
      </c>
      <c r="AC573" s="87">
        <v>6330</v>
      </c>
      <c r="AD573" s="85">
        <v>647.94799999999998</v>
      </c>
      <c r="AE573" s="87">
        <v>6340</v>
      </c>
      <c r="AF573" s="85">
        <v>649.47</v>
      </c>
      <c r="AG573" s="87">
        <v>6320</v>
      </c>
      <c r="AH573" s="85">
        <v>169.279</v>
      </c>
      <c r="AI573" s="87">
        <v>6320</v>
      </c>
      <c r="AJ573" s="85">
        <v>177.83500000000001</v>
      </c>
    </row>
    <row r="574" spans="1:36" ht="14.25" customHeight="1">
      <c r="A574" s="88">
        <v>6350</v>
      </c>
      <c r="B574" s="84">
        <v>366.12599999999998</v>
      </c>
      <c r="C574" s="88">
        <v>6360</v>
      </c>
      <c r="D574" s="85">
        <v>363.39499999999998</v>
      </c>
      <c r="E574" s="86">
        <v>6350</v>
      </c>
      <c r="F574" s="85">
        <v>823.25400000000002</v>
      </c>
      <c r="G574" s="87">
        <v>6350</v>
      </c>
      <c r="H574" s="85">
        <v>823.11900000000003</v>
      </c>
      <c r="I574" s="87">
        <v>6350</v>
      </c>
      <c r="J574" s="85">
        <v>724.29899999999998</v>
      </c>
      <c r="K574" s="87">
        <v>6350</v>
      </c>
      <c r="L574" s="85">
        <v>723.85699999999997</v>
      </c>
      <c r="M574" s="87">
        <v>6350</v>
      </c>
      <c r="N574" s="85">
        <v>724.13699999999994</v>
      </c>
      <c r="O574" s="87">
        <v>6330</v>
      </c>
      <c r="P574" s="85">
        <v>725.25800000000004</v>
      </c>
      <c r="Q574" s="87">
        <v>6350</v>
      </c>
      <c r="R574" s="85">
        <v>724.87</v>
      </c>
      <c r="S574" s="87">
        <v>6350</v>
      </c>
      <c r="T574" s="85">
        <v>725.51599999999996</v>
      </c>
      <c r="U574" s="87">
        <v>6340</v>
      </c>
      <c r="V574" s="85">
        <v>724.76800000000003</v>
      </c>
      <c r="W574" s="87">
        <v>6350</v>
      </c>
      <c r="X574" s="85">
        <v>724.35599999999999</v>
      </c>
      <c r="Y574" s="87">
        <v>6350</v>
      </c>
      <c r="Z574" s="85">
        <v>722.76499999999999</v>
      </c>
      <c r="AA574" s="87">
        <v>6350</v>
      </c>
      <c r="AB574" s="85">
        <v>722.87099999999998</v>
      </c>
      <c r="AC574" s="87">
        <v>6340</v>
      </c>
      <c r="AD574" s="85">
        <v>646.73699999999997</v>
      </c>
      <c r="AE574" s="87">
        <v>6350</v>
      </c>
      <c r="AF574" s="85">
        <v>648.26</v>
      </c>
      <c r="AG574" s="87">
        <v>6330</v>
      </c>
      <c r="AH574" s="85">
        <v>168.89400000000001</v>
      </c>
      <c r="AI574" s="87">
        <v>6330</v>
      </c>
      <c r="AJ574" s="85">
        <v>177.435</v>
      </c>
    </row>
    <row r="575" spans="1:36" ht="14.25" customHeight="1">
      <c r="A575" s="88">
        <v>6360</v>
      </c>
      <c r="B575" s="84">
        <v>365.36500000000001</v>
      </c>
      <c r="C575" s="88">
        <v>6370</v>
      </c>
      <c r="D575" s="85">
        <v>362.63900000000001</v>
      </c>
      <c r="E575" s="86">
        <v>6360</v>
      </c>
      <c r="F575" s="85">
        <v>821.774</v>
      </c>
      <c r="G575" s="87">
        <v>6360</v>
      </c>
      <c r="H575" s="85">
        <v>821.64099999999996</v>
      </c>
      <c r="I575" s="87">
        <v>6360</v>
      </c>
      <c r="J575" s="85">
        <v>723.08600000000001</v>
      </c>
      <c r="K575" s="87">
        <v>6360</v>
      </c>
      <c r="L575" s="85">
        <v>722.64400000000001</v>
      </c>
      <c r="M575" s="87">
        <v>6360</v>
      </c>
      <c r="N575" s="85">
        <v>722.92399999999998</v>
      </c>
      <c r="O575" s="87">
        <v>6340</v>
      </c>
      <c r="P575" s="85">
        <v>724.04499999999996</v>
      </c>
      <c r="Q575" s="87">
        <v>6360</v>
      </c>
      <c r="R575" s="85">
        <v>723.65700000000004</v>
      </c>
      <c r="S575" s="87">
        <v>6360</v>
      </c>
      <c r="T575" s="85">
        <v>724.30399999999997</v>
      </c>
      <c r="U575" s="87">
        <v>6350</v>
      </c>
      <c r="V575" s="85">
        <v>723.55799999999999</v>
      </c>
      <c r="W575" s="87">
        <v>6360</v>
      </c>
      <c r="X575" s="85">
        <v>723.14499999999998</v>
      </c>
      <c r="Y575" s="87">
        <v>6360</v>
      </c>
      <c r="Z575" s="85">
        <v>721.55399999999997</v>
      </c>
      <c r="AA575" s="87">
        <v>6360</v>
      </c>
      <c r="AB575" s="85">
        <v>721.66099999999994</v>
      </c>
      <c r="AC575" s="87">
        <v>6350</v>
      </c>
      <c r="AD575" s="85">
        <v>645.52700000000004</v>
      </c>
      <c r="AE575" s="87">
        <v>6360</v>
      </c>
      <c r="AF575" s="85">
        <v>647.04999999999995</v>
      </c>
      <c r="AG575" s="87">
        <v>6340</v>
      </c>
      <c r="AH575" s="85">
        <v>168.50800000000001</v>
      </c>
      <c r="AI575" s="87">
        <v>6340</v>
      </c>
      <c r="AJ575" s="85">
        <v>177.036</v>
      </c>
    </row>
    <row r="576" spans="1:36" ht="14.25" customHeight="1">
      <c r="A576" s="88">
        <v>6370</v>
      </c>
      <c r="B576" s="84">
        <v>364.60399999999998</v>
      </c>
      <c r="C576" s="88">
        <v>6380</v>
      </c>
      <c r="D576" s="85">
        <v>361.88299999999998</v>
      </c>
      <c r="E576" s="86">
        <v>6370</v>
      </c>
      <c r="F576" s="85">
        <v>820.29399999999998</v>
      </c>
      <c r="G576" s="87">
        <v>6370</v>
      </c>
      <c r="H576" s="85">
        <v>820.16200000000003</v>
      </c>
      <c r="I576" s="87">
        <v>6370</v>
      </c>
      <c r="J576" s="85">
        <v>721.87300000000005</v>
      </c>
      <c r="K576" s="87">
        <v>6370</v>
      </c>
      <c r="L576" s="85">
        <v>721.43</v>
      </c>
      <c r="M576" s="87">
        <v>6370</v>
      </c>
      <c r="N576" s="85">
        <v>721.71199999999999</v>
      </c>
      <c r="O576" s="87">
        <v>6350</v>
      </c>
      <c r="P576" s="85">
        <v>722.83199999999999</v>
      </c>
      <c r="Q576" s="87">
        <v>6370</v>
      </c>
      <c r="R576" s="85">
        <v>722.44399999999996</v>
      </c>
      <c r="S576" s="87">
        <v>6370</v>
      </c>
      <c r="T576" s="85">
        <v>723.09100000000001</v>
      </c>
      <c r="U576" s="87">
        <v>6360</v>
      </c>
      <c r="V576" s="85">
        <v>722.34799999999996</v>
      </c>
      <c r="W576" s="87">
        <v>6370</v>
      </c>
      <c r="X576" s="85">
        <v>721.93399999999997</v>
      </c>
      <c r="Y576" s="87">
        <v>6370</v>
      </c>
      <c r="Z576" s="85">
        <v>720.34299999999996</v>
      </c>
      <c r="AA576" s="87">
        <v>6370</v>
      </c>
      <c r="AB576" s="85">
        <v>720.45100000000002</v>
      </c>
      <c r="AC576" s="87">
        <v>6360</v>
      </c>
      <c r="AD576" s="85">
        <v>644.31600000000003</v>
      </c>
      <c r="AE576" s="87">
        <v>6370</v>
      </c>
      <c r="AF576" s="85">
        <v>645.84</v>
      </c>
      <c r="AG576" s="87">
        <v>6350</v>
      </c>
      <c r="AH576" s="85">
        <v>168.12299999999999</v>
      </c>
      <c r="AI576" s="87">
        <v>6350</v>
      </c>
      <c r="AJ576" s="85">
        <v>176.636</v>
      </c>
    </row>
    <row r="577" spans="1:36" ht="14.25" customHeight="1">
      <c r="A577" s="88">
        <v>6380</v>
      </c>
      <c r="B577" s="84">
        <v>363.84300000000002</v>
      </c>
      <c r="C577" s="88">
        <v>6390</v>
      </c>
      <c r="D577" s="85">
        <v>361.12700000000001</v>
      </c>
      <c r="E577" s="86">
        <v>6380</v>
      </c>
      <c r="F577" s="85">
        <v>818.81399999999996</v>
      </c>
      <c r="G577" s="87">
        <v>6380</v>
      </c>
      <c r="H577" s="85">
        <v>818.68499999999995</v>
      </c>
      <c r="I577" s="87">
        <v>6380</v>
      </c>
      <c r="J577" s="85">
        <v>720.66099999999994</v>
      </c>
      <c r="K577" s="87">
        <v>6380</v>
      </c>
      <c r="L577" s="85">
        <v>720.21699999999998</v>
      </c>
      <c r="M577" s="87">
        <v>6380</v>
      </c>
      <c r="N577" s="85">
        <v>720.49900000000002</v>
      </c>
      <c r="O577" s="87">
        <v>6360</v>
      </c>
      <c r="P577" s="85">
        <v>721.61900000000003</v>
      </c>
      <c r="Q577" s="87">
        <v>6380</v>
      </c>
      <c r="R577" s="85">
        <v>721.23199999999997</v>
      </c>
      <c r="S577" s="87">
        <v>6380</v>
      </c>
      <c r="T577" s="85">
        <v>721.87900000000002</v>
      </c>
      <c r="U577" s="87">
        <v>6370</v>
      </c>
      <c r="V577" s="85">
        <v>721.13800000000003</v>
      </c>
      <c r="W577" s="87">
        <v>6380</v>
      </c>
      <c r="X577" s="85">
        <v>720.72299999999996</v>
      </c>
      <c r="Y577" s="87">
        <v>6380</v>
      </c>
      <c r="Z577" s="85">
        <v>719.13199999999995</v>
      </c>
      <c r="AA577" s="87">
        <v>6380</v>
      </c>
      <c r="AB577" s="85">
        <v>719.24099999999999</v>
      </c>
      <c r="AC577" s="87">
        <v>6370</v>
      </c>
      <c r="AD577" s="85">
        <v>643.10500000000002</v>
      </c>
      <c r="AE577" s="87">
        <v>6380</v>
      </c>
      <c r="AF577" s="85">
        <v>644.63</v>
      </c>
      <c r="AG577" s="87">
        <v>6360</v>
      </c>
      <c r="AH577" s="85">
        <v>167.738</v>
      </c>
      <c r="AI577" s="87">
        <v>6360</v>
      </c>
      <c r="AJ577" s="85">
        <v>176.23699999999999</v>
      </c>
    </row>
    <row r="578" spans="1:36" ht="14.25" customHeight="1">
      <c r="A578" s="88">
        <v>6390</v>
      </c>
      <c r="B578" s="84">
        <v>363.08199999999999</v>
      </c>
      <c r="C578" s="88">
        <v>6400</v>
      </c>
      <c r="D578" s="85">
        <v>360.37200000000001</v>
      </c>
      <c r="E578" s="86">
        <v>6390</v>
      </c>
      <c r="F578" s="85">
        <v>817.33399999999995</v>
      </c>
      <c r="G578" s="87">
        <v>6390</v>
      </c>
      <c r="H578" s="85">
        <v>817.20699999999999</v>
      </c>
      <c r="I578" s="87">
        <v>6390</v>
      </c>
      <c r="J578" s="85">
        <v>719.44799999999998</v>
      </c>
      <c r="K578" s="87">
        <v>6390</v>
      </c>
      <c r="L578" s="85">
        <v>719.00300000000004</v>
      </c>
      <c r="M578" s="87">
        <v>6390</v>
      </c>
      <c r="N578" s="85">
        <v>719.28700000000003</v>
      </c>
      <c r="O578" s="87">
        <v>6370</v>
      </c>
      <c r="P578" s="85">
        <v>720.40700000000004</v>
      </c>
      <c r="Q578" s="87">
        <v>6390</v>
      </c>
      <c r="R578" s="85">
        <v>720.01900000000001</v>
      </c>
      <c r="S578" s="87">
        <v>6390</v>
      </c>
      <c r="T578" s="85">
        <v>720.66700000000003</v>
      </c>
      <c r="U578" s="87">
        <v>6380</v>
      </c>
      <c r="V578" s="85">
        <v>719.928</v>
      </c>
      <c r="W578" s="87">
        <v>6390</v>
      </c>
      <c r="X578" s="85">
        <v>719.51199999999994</v>
      </c>
      <c r="Y578" s="87">
        <v>6390</v>
      </c>
      <c r="Z578" s="85">
        <v>717.92</v>
      </c>
      <c r="AA578" s="87">
        <v>6390</v>
      </c>
      <c r="AB578" s="85">
        <v>718.03099999999995</v>
      </c>
      <c r="AC578" s="87">
        <v>6380</v>
      </c>
      <c r="AD578" s="85">
        <v>641.89499999999998</v>
      </c>
      <c r="AE578" s="87">
        <v>6390</v>
      </c>
      <c r="AF578" s="85">
        <v>643.42100000000005</v>
      </c>
      <c r="AG578" s="87">
        <v>6370</v>
      </c>
      <c r="AH578" s="85">
        <v>167.35300000000001</v>
      </c>
      <c r="AI578" s="87">
        <v>6370</v>
      </c>
      <c r="AJ578" s="85">
        <v>175.83699999999999</v>
      </c>
    </row>
    <row r="579" spans="1:36" ht="14.25" customHeight="1">
      <c r="A579" s="88">
        <v>6400</v>
      </c>
      <c r="B579" s="84">
        <v>362.322</v>
      </c>
      <c r="C579" s="88">
        <v>6410</v>
      </c>
      <c r="D579" s="85">
        <v>359.61599999999999</v>
      </c>
      <c r="E579" s="86">
        <v>6400</v>
      </c>
      <c r="F579" s="85">
        <v>815.85400000000004</v>
      </c>
      <c r="G579" s="87">
        <v>6400</v>
      </c>
      <c r="H579" s="85">
        <v>815.72900000000004</v>
      </c>
      <c r="I579" s="87">
        <v>6400</v>
      </c>
      <c r="J579" s="85">
        <v>718.23599999999999</v>
      </c>
      <c r="K579" s="87">
        <v>6400</v>
      </c>
      <c r="L579" s="85">
        <v>717.78899999999999</v>
      </c>
      <c r="M579" s="87">
        <v>6400</v>
      </c>
      <c r="N579" s="85">
        <v>718.07399999999996</v>
      </c>
      <c r="O579" s="87">
        <v>6380</v>
      </c>
      <c r="P579" s="85">
        <v>719.19399999999996</v>
      </c>
      <c r="Q579" s="87">
        <v>6400</v>
      </c>
      <c r="R579" s="85">
        <v>718.80700000000002</v>
      </c>
      <c r="S579" s="87">
        <v>6400</v>
      </c>
      <c r="T579" s="85">
        <v>719.45500000000004</v>
      </c>
      <c r="U579" s="87">
        <v>6390</v>
      </c>
      <c r="V579" s="85">
        <v>718.71799999999996</v>
      </c>
      <c r="W579" s="87">
        <v>6400</v>
      </c>
      <c r="X579" s="85">
        <v>718.30100000000004</v>
      </c>
      <c r="Y579" s="87">
        <v>6400</v>
      </c>
      <c r="Z579" s="85">
        <v>716.70899999999995</v>
      </c>
      <c r="AA579" s="87">
        <v>6400</v>
      </c>
      <c r="AB579" s="85">
        <v>716.82100000000003</v>
      </c>
      <c r="AC579" s="87">
        <v>6390</v>
      </c>
      <c r="AD579" s="85">
        <v>640.68399999999997</v>
      </c>
      <c r="AE579" s="87">
        <v>6400</v>
      </c>
      <c r="AF579" s="85">
        <v>642.21100000000001</v>
      </c>
      <c r="AG579" s="87">
        <v>6380</v>
      </c>
      <c r="AH579" s="85">
        <v>166.96799999999999</v>
      </c>
      <c r="AI579" s="87">
        <v>6380</v>
      </c>
      <c r="AJ579" s="85">
        <v>175.43799999999999</v>
      </c>
    </row>
    <row r="580" spans="1:36" ht="14.25" customHeight="1">
      <c r="A580" s="88">
        <v>6410</v>
      </c>
      <c r="B580" s="84">
        <v>361.56200000000001</v>
      </c>
      <c r="C580" s="88">
        <v>6420</v>
      </c>
      <c r="D580" s="85">
        <v>358.86099999999999</v>
      </c>
      <c r="E580" s="86">
        <v>6410</v>
      </c>
      <c r="F580" s="85">
        <v>814.37400000000002</v>
      </c>
      <c r="G580" s="87">
        <v>6410</v>
      </c>
      <c r="H580" s="85">
        <v>814.25199999999995</v>
      </c>
      <c r="I580" s="87">
        <v>6410</v>
      </c>
      <c r="J580" s="85">
        <v>717.02300000000002</v>
      </c>
      <c r="K580" s="87">
        <v>6410</v>
      </c>
      <c r="L580" s="85">
        <v>716.57600000000002</v>
      </c>
      <c r="M580" s="87">
        <v>6410</v>
      </c>
      <c r="N580" s="85">
        <v>716.86199999999997</v>
      </c>
      <c r="O580" s="87">
        <v>6390</v>
      </c>
      <c r="P580" s="85">
        <v>717.98099999999999</v>
      </c>
      <c r="Q580" s="87">
        <v>6410</v>
      </c>
      <c r="R580" s="85">
        <v>717.59400000000005</v>
      </c>
      <c r="S580" s="87">
        <v>6410</v>
      </c>
      <c r="T580" s="85">
        <v>718.24300000000005</v>
      </c>
      <c r="U580" s="87">
        <v>6400</v>
      </c>
      <c r="V580" s="85">
        <v>717.50800000000004</v>
      </c>
      <c r="W580" s="87">
        <v>6410</v>
      </c>
      <c r="X580" s="85">
        <v>717.09</v>
      </c>
      <c r="Y580" s="87">
        <v>6410</v>
      </c>
      <c r="Z580" s="85">
        <v>715.49800000000005</v>
      </c>
      <c r="AA580" s="87">
        <v>6410</v>
      </c>
      <c r="AB580" s="85">
        <v>715.61099999999999</v>
      </c>
      <c r="AC580" s="87">
        <v>6400</v>
      </c>
      <c r="AD580" s="85">
        <v>639.47299999999996</v>
      </c>
      <c r="AE580" s="87">
        <v>6410</v>
      </c>
      <c r="AF580" s="85">
        <v>641.00099999999998</v>
      </c>
      <c r="AG580" s="87">
        <v>6390</v>
      </c>
      <c r="AH580" s="85">
        <v>166.583</v>
      </c>
      <c r="AI580" s="87">
        <v>6390</v>
      </c>
      <c r="AJ580" s="85">
        <v>175.03899999999999</v>
      </c>
    </row>
    <row r="581" spans="1:36" ht="14.25" customHeight="1">
      <c r="A581" s="88">
        <v>6420</v>
      </c>
      <c r="B581" s="84">
        <v>360.80200000000002</v>
      </c>
      <c r="C581" s="88">
        <v>6430</v>
      </c>
      <c r="D581" s="85">
        <v>358.10599999999999</v>
      </c>
      <c r="E581" s="86">
        <v>6420</v>
      </c>
      <c r="F581" s="85">
        <v>812.89499999999998</v>
      </c>
      <c r="G581" s="87">
        <v>6420</v>
      </c>
      <c r="H581" s="85">
        <v>812.774</v>
      </c>
      <c r="I581" s="87">
        <v>6420</v>
      </c>
      <c r="J581" s="85">
        <v>715.81100000000004</v>
      </c>
      <c r="K581" s="87">
        <v>6420</v>
      </c>
      <c r="L581" s="85">
        <v>715.36199999999997</v>
      </c>
      <c r="M581" s="87">
        <v>6420</v>
      </c>
      <c r="N581" s="85">
        <v>715.649</v>
      </c>
      <c r="O581" s="87">
        <v>6400</v>
      </c>
      <c r="P581" s="85">
        <v>716.76800000000003</v>
      </c>
      <c r="Q581" s="87">
        <v>6420</v>
      </c>
      <c r="R581" s="85">
        <v>716.38199999999995</v>
      </c>
      <c r="S581" s="87">
        <v>6420</v>
      </c>
      <c r="T581" s="85">
        <v>717.03</v>
      </c>
      <c r="U581" s="87">
        <v>6410</v>
      </c>
      <c r="V581" s="85">
        <v>716.298</v>
      </c>
      <c r="W581" s="87">
        <v>6420</v>
      </c>
      <c r="X581" s="85">
        <v>715.88</v>
      </c>
      <c r="Y581" s="87">
        <v>6420</v>
      </c>
      <c r="Z581" s="85">
        <v>714.28700000000003</v>
      </c>
      <c r="AA581" s="87">
        <v>6420</v>
      </c>
      <c r="AB581" s="85">
        <v>714.40099999999995</v>
      </c>
      <c r="AC581" s="87">
        <v>6410</v>
      </c>
      <c r="AD581" s="85">
        <v>638.26300000000003</v>
      </c>
      <c r="AE581" s="87">
        <v>6420</v>
      </c>
      <c r="AF581" s="85">
        <v>639.79100000000005</v>
      </c>
      <c r="AG581" s="87">
        <v>6400</v>
      </c>
      <c r="AH581" s="85">
        <v>166.19800000000001</v>
      </c>
      <c r="AI581" s="87">
        <v>6400</v>
      </c>
      <c r="AJ581" s="85">
        <v>174.64</v>
      </c>
    </row>
    <row r="582" spans="1:36" ht="14.25" customHeight="1">
      <c r="A582" s="88">
        <v>6430</v>
      </c>
      <c r="B582" s="84">
        <v>360.04199999999997</v>
      </c>
      <c r="C582" s="88">
        <v>6440</v>
      </c>
      <c r="D582" s="85">
        <v>357.351</v>
      </c>
      <c r="E582" s="86">
        <v>6430</v>
      </c>
      <c r="F582" s="85">
        <v>811.41499999999996</v>
      </c>
      <c r="G582" s="87">
        <v>6430</v>
      </c>
      <c r="H582" s="85">
        <v>811.29700000000003</v>
      </c>
      <c r="I582" s="87">
        <v>6430</v>
      </c>
      <c r="J582" s="85">
        <v>714.59799999999996</v>
      </c>
      <c r="K582" s="87">
        <v>6430</v>
      </c>
      <c r="L582" s="85">
        <v>714.14800000000002</v>
      </c>
      <c r="M582" s="87">
        <v>6430</v>
      </c>
      <c r="N582" s="85">
        <v>714.43700000000001</v>
      </c>
      <c r="O582" s="87">
        <v>6410</v>
      </c>
      <c r="P582" s="85">
        <v>715.55600000000004</v>
      </c>
      <c r="Q582" s="87">
        <v>6430</v>
      </c>
      <c r="R582" s="85">
        <v>715.16899999999998</v>
      </c>
      <c r="S582" s="87">
        <v>6430</v>
      </c>
      <c r="T582" s="85">
        <v>715.81799999999998</v>
      </c>
      <c r="U582" s="87">
        <v>6420</v>
      </c>
      <c r="V582" s="85">
        <v>715.08799999999997</v>
      </c>
      <c r="W582" s="87">
        <v>6430</v>
      </c>
      <c r="X582" s="85">
        <v>714.66899999999998</v>
      </c>
      <c r="Y582" s="87">
        <v>6430</v>
      </c>
      <c r="Z582" s="85">
        <v>713.07600000000002</v>
      </c>
      <c r="AA582" s="87">
        <v>6430</v>
      </c>
      <c r="AB582" s="85">
        <v>713.19100000000003</v>
      </c>
      <c r="AC582" s="87">
        <v>6420</v>
      </c>
      <c r="AD582" s="85">
        <v>637.05200000000002</v>
      </c>
      <c r="AE582" s="87">
        <v>6430</v>
      </c>
      <c r="AF582" s="85">
        <v>638.58100000000002</v>
      </c>
      <c r="AG582" s="87">
        <v>6410</v>
      </c>
      <c r="AH582" s="85">
        <v>165.81299999999999</v>
      </c>
      <c r="AI582" s="87">
        <v>6410</v>
      </c>
      <c r="AJ582" s="85">
        <v>174.24100000000001</v>
      </c>
    </row>
    <row r="583" spans="1:36" ht="14.25" customHeight="1">
      <c r="A583" s="88">
        <v>6440</v>
      </c>
      <c r="B583" s="84">
        <v>359.28300000000002</v>
      </c>
      <c r="C583" s="88">
        <v>6450</v>
      </c>
      <c r="D583" s="85">
        <v>356.59699999999998</v>
      </c>
      <c r="E583" s="86">
        <v>6440</v>
      </c>
      <c r="F583" s="85">
        <v>809.93600000000004</v>
      </c>
      <c r="G583" s="87">
        <v>6440</v>
      </c>
      <c r="H583" s="85">
        <v>809.81899999999996</v>
      </c>
      <c r="I583" s="87">
        <v>6440</v>
      </c>
      <c r="J583" s="85">
        <v>713.38499999999999</v>
      </c>
      <c r="K583" s="87">
        <v>6440</v>
      </c>
      <c r="L583" s="85">
        <v>712.93499999999995</v>
      </c>
      <c r="M583" s="87">
        <v>6440</v>
      </c>
      <c r="N583" s="85">
        <v>713.22500000000002</v>
      </c>
      <c r="O583" s="87">
        <v>6420</v>
      </c>
      <c r="P583" s="85">
        <v>714.34299999999996</v>
      </c>
      <c r="Q583" s="87">
        <v>6440</v>
      </c>
      <c r="R583" s="85">
        <v>713.95699999999999</v>
      </c>
      <c r="S583" s="87">
        <v>6440</v>
      </c>
      <c r="T583" s="85">
        <v>714.60599999999999</v>
      </c>
      <c r="U583" s="87">
        <v>6430</v>
      </c>
      <c r="V583" s="85">
        <v>713.87800000000004</v>
      </c>
      <c r="W583" s="87">
        <v>6440</v>
      </c>
      <c r="X583" s="85">
        <v>713.45799999999997</v>
      </c>
      <c r="Y583" s="87">
        <v>6440</v>
      </c>
      <c r="Z583" s="85">
        <v>711.86400000000003</v>
      </c>
      <c r="AA583" s="87">
        <v>6440</v>
      </c>
      <c r="AB583" s="85">
        <v>711.98099999999999</v>
      </c>
      <c r="AC583" s="87">
        <v>6430</v>
      </c>
      <c r="AD583" s="85">
        <v>635.84100000000001</v>
      </c>
      <c r="AE583" s="87">
        <v>6440</v>
      </c>
      <c r="AF583" s="85">
        <v>637.37099999999998</v>
      </c>
      <c r="AG583" s="87">
        <v>6420</v>
      </c>
      <c r="AH583" s="85">
        <v>165.428</v>
      </c>
      <c r="AI583" s="87">
        <v>6420</v>
      </c>
      <c r="AJ583" s="85">
        <v>173.84200000000001</v>
      </c>
    </row>
    <row r="584" spans="1:36" ht="14.25" customHeight="1">
      <c r="A584" s="88">
        <v>6450</v>
      </c>
      <c r="B584" s="84">
        <v>358.52300000000002</v>
      </c>
      <c r="C584" s="88">
        <v>6460</v>
      </c>
      <c r="D584" s="85">
        <v>355.84199999999998</v>
      </c>
      <c r="E584" s="86">
        <v>6450</v>
      </c>
      <c r="F584" s="85">
        <v>808.45699999999999</v>
      </c>
      <c r="G584" s="87">
        <v>6450</v>
      </c>
      <c r="H584" s="85">
        <v>808.34199999999998</v>
      </c>
      <c r="I584" s="87">
        <v>6450</v>
      </c>
      <c r="J584" s="85">
        <v>712.173</v>
      </c>
      <c r="K584" s="87">
        <v>6450</v>
      </c>
      <c r="L584" s="85">
        <v>711.721</v>
      </c>
      <c r="M584" s="87">
        <v>6450</v>
      </c>
      <c r="N584" s="85">
        <v>712.01199999999994</v>
      </c>
      <c r="O584" s="87">
        <v>6430</v>
      </c>
      <c r="P584" s="85">
        <v>713.13</v>
      </c>
      <c r="Q584" s="87">
        <v>6450</v>
      </c>
      <c r="R584" s="85">
        <v>712.74400000000003</v>
      </c>
      <c r="S584" s="87">
        <v>6450</v>
      </c>
      <c r="T584" s="85">
        <v>713.39400000000001</v>
      </c>
      <c r="U584" s="87">
        <v>6440</v>
      </c>
      <c r="V584" s="85">
        <v>712.66800000000001</v>
      </c>
      <c r="W584" s="87">
        <v>6450</v>
      </c>
      <c r="X584" s="85">
        <v>712.24699999999996</v>
      </c>
      <c r="Y584" s="87">
        <v>6450</v>
      </c>
      <c r="Z584" s="85">
        <v>710.65300000000002</v>
      </c>
      <c r="AA584" s="87">
        <v>6450</v>
      </c>
      <c r="AB584" s="85">
        <v>710.77099999999996</v>
      </c>
      <c r="AC584" s="87">
        <v>6440</v>
      </c>
      <c r="AD584" s="85">
        <v>634.63099999999997</v>
      </c>
      <c r="AE584" s="87">
        <v>6450</v>
      </c>
      <c r="AF584" s="85">
        <v>636.16099999999994</v>
      </c>
      <c r="AG584" s="87">
        <v>6430</v>
      </c>
      <c r="AH584" s="85">
        <v>165.04400000000001</v>
      </c>
      <c r="AI584" s="87">
        <v>6430</v>
      </c>
      <c r="AJ584" s="85">
        <v>173.44300000000001</v>
      </c>
    </row>
    <row r="585" spans="1:36" ht="14.25" customHeight="1">
      <c r="A585" s="88">
        <v>6460</v>
      </c>
      <c r="B585" s="84">
        <v>357.76400000000001</v>
      </c>
      <c r="C585" s="88">
        <v>6470</v>
      </c>
      <c r="D585" s="85">
        <v>355.08800000000002</v>
      </c>
      <c r="E585" s="86">
        <v>6460</v>
      </c>
      <c r="F585" s="85">
        <v>806.97799999999995</v>
      </c>
      <c r="G585" s="87">
        <v>6460</v>
      </c>
      <c r="H585" s="85">
        <v>806.86500000000001</v>
      </c>
      <c r="I585" s="87">
        <v>6460</v>
      </c>
      <c r="J585" s="85">
        <v>710.96</v>
      </c>
      <c r="K585" s="87">
        <v>6460</v>
      </c>
      <c r="L585" s="85">
        <v>710.50800000000004</v>
      </c>
      <c r="M585" s="87">
        <v>6460</v>
      </c>
      <c r="N585" s="85">
        <v>710.8</v>
      </c>
      <c r="O585" s="87">
        <v>6440</v>
      </c>
      <c r="P585" s="85">
        <v>711.91700000000003</v>
      </c>
      <c r="Q585" s="87">
        <v>6460</v>
      </c>
      <c r="R585" s="85">
        <v>711.53099999999995</v>
      </c>
      <c r="S585" s="87">
        <v>6460</v>
      </c>
      <c r="T585" s="85">
        <v>712.18100000000004</v>
      </c>
      <c r="U585" s="87">
        <v>6450</v>
      </c>
      <c r="V585" s="85">
        <v>711.45799999999997</v>
      </c>
      <c r="W585" s="87">
        <v>6460</v>
      </c>
      <c r="X585" s="85">
        <v>711.03599999999994</v>
      </c>
      <c r="Y585" s="87">
        <v>6460</v>
      </c>
      <c r="Z585" s="85">
        <v>709.44200000000001</v>
      </c>
      <c r="AA585" s="87">
        <v>6460</v>
      </c>
      <c r="AB585" s="85">
        <v>709.56100000000004</v>
      </c>
      <c r="AC585" s="87">
        <v>6450</v>
      </c>
      <c r="AD585" s="85">
        <v>633.41999999999996</v>
      </c>
      <c r="AE585" s="87">
        <v>6460</v>
      </c>
      <c r="AF585" s="85">
        <v>634.95100000000002</v>
      </c>
      <c r="AG585" s="87">
        <v>6440</v>
      </c>
      <c r="AH585" s="85">
        <v>164.65899999999999</v>
      </c>
      <c r="AI585" s="87">
        <v>6440</v>
      </c>
      <c r="AJ585" s="85">
        <v>173.04499999999999</v>
      </c>
    </row>
    <row r="586" spans="1:36" ht="14.25" customHeight="1">
      <c r="A586" s="88">
        <v>6470</v>
      </c>
      <c r="B586" s="84">
        <v>357.005</v>
      </c>
      <c r="C586" s="88">
        <v>6480</v>
      </c>
      <c r="D586" s="85">
        <v>354.334</v>
      </c>
      <c r="E586" s="86">
        <v>6470</v>
      </c>
      <c r="F586" s="85">
        <v>805.49900000000002</v>
      </c>
      <c r="G586" s="87">
        <v>6470</v>
      </c>
      <c r="H586" s="85">
        <v>805.38800000000003</v>
      </c>
      <c r="I586" s="87">
        <v>6470</v>
      </c>
      <c r="J586" s="85">
        <v>709.74800000000005</v>
      </c>
      <c r="K586" s="87">
        <v>6470</v>
      </c>
      <c r="L586" s="85">
        <v>709.29399999999998</v>
      </c>
      <c r="M586" s="87">
        <v>6470</v>
      </c>
      <c r="N586" s="85">
        <v>709.58699999999999</v>
      </c>
      <c r="O586" s="87">
        <v>6450</v>
      </c>
      <c r="P586" s="85">
        <v>710.70500000000004</v>
      </c>
      <c r="Q586" s="87">
        <v>6470</v>
      </c>
      <c r="R586" s="85">
        <v>710.31899999999996</v>
      </c>
      <c r="S586" s="87">
        <v>6470</v>
      </c>
      <c r="T586" s="85">
        <v>710.96900000000005</v>
      </c>
      <c r="U586" s="87">
        <v>6460</v>
      </c>
      <c r="V586" s="85">
        <v>710.24800000000005</v>
      </c>
      <c r="W586" s="87">
        <v>6470</v>
      </c>
      <c r="X586" s="85">
        <v>709.82500000000005</v>
      </c>
      <c r="Y586" s="87">
        <v>6470</v>
      </c>
      <c r="Z586" s="85">
        <v>708.23099999999999</v>
      </c>
      <c r="AA586" s="87">
        <v>6470</v>
      </c>
      <c r="AB586" s="85">
        <v>708.351</v>
      </c>
      <c r="AC586" s="87">
        <v>6460</v>
      </c>
      <c r="AD586" s="85">
        <v>632.20899999999995</v>
      </c>
      <c r="AE586" s="87">
        <v>6470</v>
      </c>
      <c r="AF586" s="85">
        <v>633.74199999999996</v>
      </c>
      <c r="AG586" s="87">
        <v>6450</v>
      </c>
      <c r="AH586" s="85">
        <v>164.27500000000001</v>
      </c>
      <c r="AI586" s="87">
        <v>6450</v>
      </c>
      <c r="AJ586" s="85">
        <v>172.64599999999999</v>
      </c>
    </row>
    <row r="587" spans="1:36" ht="14.25" customHeight="1">
      <c r="A587" s="88">
        <v>6480</v>
      </c>
      <c r="B587" s="84">
        <v>356.24599999999998</v>
      </c>
      <c r="C587" s="88">
        <v>6490</v>
      </c>
      <c r="D587" s="85">
        <v>353.58</v>
      </c>
      <c r="E587" s="86">
        <v>6480</v>
      </c>
      <c r="F587" s="85">
        <v>804.02</v>
      </c>
      <c r="G587" s="87">
        <v>6480</v>
      </c>
      <c r="H587" s="85">
        <v>803.91099999999994</v>
      </c>
      <c r="I587" s="87">
        <v>6480</v>
      </c>
      <c r="J587" s="85">
        <v>708.53499999999997</v>
      </c>
      <c r="K587" s="87">
        <v>6480</v>
      </c>
      <c r="L587" s="85">
        <v>708.08</v>
      </c>
      <c r="M587" s="87">
        <v>6480</v>
      </c>
      <c r="N587" s="85">
        <v>708.375</v>
      </c>
      <c r="O587" s="87">
        <v>6460</v>
      </c>
      <c r="P587" s="85">
        <v>709.49199999999996</v>
      </c>
      <c r="Q587" s="87">
        <v>6480</v>
      </c>
      <c r="R587" s="85">
        <v>709.10599999999999</v>
      </c>
      <c r="S587" s="87">
        <v>6480</v>
      </c>
      <c r="T587" s="85">
        <v>709.75699999999995</v>
      </c>
      <c r="U587" s="87">
        <v>6470</v>
      </c>
      <c r="V587" s="85">
        <v>709.03800000000001</v>
      </c>
      <c r="W587" s="87">
        <v>6480</v>
      </c>
      <c r="X587" s="85">
        <v>708.61400000000003</v>
      </c>
      <c r="Y587" s="87">
        <v>6480</v>
      </c>
      <c r="Z587" s="85">
        <v>707.01900000000001</v>
      </c>
      <c r="AA587" s="87">
        <v>6480</v>
      </c>
      <c r="AB587" s="85">
        <v>707.14099999999996</v>
      </c>
      <c r="AC587" s="87">
        <v>6470</v>
      </c>
      <c r="AD587" s="85">
        <v>630.99900000000002</v>
      </c>
      <c r="AE587" s="87">
        <v>6480</v>
      </c>
      <c r="AF587" s="85">
        <v>632.53200000000004</v>
      </c>
      <c r="AG587" s="87">
        <v>6460</v>
      </c>
      <c r="AH587" s="85">
        <v>163.89099999999999</v>
      </c>
      <c r="AI587" s="87">
        <v>6460</v>
      </c>
      <c r="AJ587" s="85">
        <v>172.24799999999999</v>
      </c>
    </row>
    <row r="588" spans="1:36" ht="14.25" customHeight="1">
      <c r="A588" s="88">
        <v>6490</v>
      </c>
      <c r="B588" s="84">
        <v>355.488</v>
      </c>
      <c r="C588" s="88">
        <v>6500</v>
      </c>
      <c r="D588" s="85">
        <v>352.827</v>
      </c>
      <c r="E588" s="86">
        <v>6490</v>
      </c>
      <c r="F588" s="85">
        <v>802.54100000000005</v>
      </c>
      <c r="G588" s="87">
        <v>6490</v>
      </c>
      <c r="H588" s="85">
        <v>802.43499999999995</v>
      </c>
      <c r="I588" s="87">
        <v>6490</v>
      </c>
      <c r="J588" s="85">
        <v>707.32299999999998</v>
      </c>
      <c r="K588" s="87">
        <v>6490</v>
      </c>
      <c r="L588" s="85">
        <v>706.86699999999996</v>
      </c>
      <c r="M588" s="87">
        <v>6490</v>
      </c>
      <c r="N588" s="85">
        <v>707.16200000000003</v>
      </c>
      <c r="O588" s="87">
        <v>6470</v>
      </c>
      <c r="P588" s="85">
        <v>708.279</v>
      </c>
      <c r="Q588" s="87">
        <v>6490</v>
      </c>
      <c r="R588" s="85">
        <v>707.89400000000001</v>
      </c>
      <c r="S588" s="87">
        <v>6490</v>
      </c>
      <c r="T588" s="85">
        <v>708.54499999999996</v>
      </c>
      <c r="U588" s="87">
        <v>6480</v>
      </c>
      <c r="V588" s="85">
        <v>707.82799999999997</v>
      </c>
      <c r="W588" s="87">
        <v>6490</v>
      </c>
      <c r="X588" s="85">
        <v>707.40300000000002</v>
      </c>
      <c r="Y588" s="87">
        <v>6490</v>
      </c>
      <c r="Z588" s="85">
        <v>705.80799999999999</v>
      </c>
      <c r="AA588" s="87">
        <v>6490</v>
      </c>
      <c r="AB588" s="85">
        <v>705.93100000000004</v>
      </c>
      <c r="AC588" s="87">
        <v>6480</v>
      </c>
      <c r="AD588" s="85">
        <v>629.78800000000001</v>
      </c>
      <c r="AE588" s="87">
        <v>6490</v>
      </c>
      <c r="AF588" s="85">
        <v>631.322</v>
      </c>
      <c r="AG588" s="87">
        <v>6470</v>
      </c>
      <c r="AH588" s="85">
        <v>163.50700000000001</v>
      </c>
      <c r="AI588" s="87">
        <v>6470</v>
      </c>
      <c r="AJ588" s="85">
        <v>171.84899999999999</v>
      </c>
    </row>
    <row r="589" spans="1:36" ht="14.25" customHeight="1">
      <c r="A589" s="88">
        <v>6500</v>
      </c>
      <c r="B589" s="84">
        <v>354.73</v>
      </c>
      <c r="C589" s="88">
        <v>6510</v>
      </c>
      <c r="D589" s="85">
        <v>352.07299999999998</v>
      </c>
      <c r="E589" s="86">
        <v>6500</v>
      </c>
      <c r="F589" s="85">
        <v>801.06200000000001</v>
      </c>
      <c r="G589" s="87">
        <v>6500</v>
      </c>
      <c r="H589" s="85">
        <v>800.95799999999997</v>
      </c>
      <c r="I589" s="87">
        <v>6500</v>
      </c>
      <c r="J589" s="85">
        <v>706.11</v>
      </c>
      <c r="K589" s="87">
        <v>6500</v>
      </c>
      <c r="L589" s="85">
        <v>705.65300000000002</v>
      </c>
      <c r="M589" s="87">
        <v>6500</v>
      </c>
      <c r="N589" s="85">
        <v>705.95</v>
      </c>
      <c r="O589" s="87">
        <v>6480</v>
      </c>
      <c r="P589" s="85">
        <v>707.06600000000003</v>
      </c>
      <c r="Q589" s="87">
        <v>6500</v>
      </c>
      <c r="R589" s="85">
        <v>706.68100000000004</v>
      </c>
      <c r="S589" s="87">
        <v>6500</v>
      </c>
      <c r="T589" s="85">
        <v>707.33299999999997</v>
      </c>
      <c r="U589" s="87">
        <v>6490</v>
      </c>
      <c r="V589" s="85">
        <v>706.61800000000005</v>
      </c>
      <c r="W589" s="87">
        <v>6500</v>
      </c>
      <c r="X589" s="85">
        <v>706.19200000000001</v>
      </c>
      <c r="Y589" s="87">
        <v>6500</v>
      </c>
      <c r="Z589" s="85">
        <v>704.59699999999998</v>
      </c>
      <c r="AA589" s="87">
        <v>6500</v>
      </c>
      <c r="AB589" s="85">
        <v>704.721</v>
      </c>
      <c r="AC589" s="87">
        <v>6490</v>
      </c>
      <c r="AD589" s="85">
        <v>628.57799999999997</v>
      </c>
      <c r="AE589" s="87">
        <v>6500</v>
      </c>
      <c r="AF589" s="85">
        <v>630.11199999999997</v>
      </c>
      <c r="AG589" s="87">
        <v>6480</v>
      </c>
      <c r="AH589" s="85">
        <v>163.12299999999999</v>
      </c>
      <c r="AI589" s="87">
        <v>6480</v>
      </c>
      <c r="AJ589" s="85">
        <v>171.45099999999999</v>
      </c>
    </row>
    <row r="590" spans="1:36" ht="14.25" customHeight="1">
      <c r="A590" s="88">
        <v>6510</v>
      </c>
      <c r="B590" s="84">
        <v>353.97199999999998</v>
      </c>
      <c r="C590" s="88">
        <v>6520</v>
      </c>
      <c r="D590" s="85">
        <v>351.32</v>
      </c>
      <c r="E590" s="86">
        <v>6510</v>
      </c>
      <c r="F590" s="85">
        <v>799.58399999999995</v>
      </c>
      <c r="G590" s="87">
        <v>6510</v>
      </c>
      <c r="H590" s="85">
        <v>799.48199999999997</v>
      </c>
      <c r="I590" s="87">
        <v>6510</v>
      </c>
      <c r="J590" s="85">
        <v>704.89800000000002</v>
      </c>
      <c r="K590" s="87">
        <v>6510</v>
      </c>
      <c r="L590" s="85">
        <v>704.44</v>
      </c>
      <c r="M590" s="87">
        <v>6510</v>
      </c>
      <c r="N590" s="85">
        <v>704.73699999999997</v>
      </c>
      <c r="O590" s="87">
        <v>6490</v>
      </c>
      <c r="P590" s="85">
        <v>705.85400000000004</v>
      </c>
      <c r="Q590" s="87">
        <v>6510</v>
      </c>
      <c r="R590" s="85">
        <v>705.46900000000005</v>
      </c>
      <c r="S590" s="87">
        <v>6510</v>
      </c>
      <c r="T590" s="85">
        <v>706.12</v>
      </c>
      <c r="U590" s="87">
        <v>6500</v>
      </c>
      <c r="V590" s="85">
        <v>705.40800000000002</v>
      </c>
      <c r="W590" s="87">
        <v>6510</v>
      </c>
      <c r="X590" s="85">
        <v>704.98199999999997</v>
      </c>
      <c r="Y590" s="87">
        <v>6510</v>
      </c>
      <c r="Z590" s="85">
        <v>703.38599999999997</v>
      </c>
      <c r="AA590" s="87">
        <v>6510</v>
      </c>
      <c r="AB590" s="85">
        <v>703.51099999999997</v>
      </c>
      <c r="AC590" s="87">
        <v>6500</v>
      </c>
      <c r="AD590" s="85">
        <v>627.36699999999996</v>
      </c>
      <c r="AE590" s="87">
        <v>6510</v>
      </c>
      <c r="AF590" s="85">
        <v>628.90200000000004</v>
      </c>
      <c r="AG590" s="87">
        <v>6490</v>
      </c>
      <c r="AH590" s="85">
        <v>162.739</v>
      </c>
      <c r="AI590" s="87">
        <v>6490</v>
      </c>
      <c r="AJ590" s="85">
        <v>171.053</v>
      </c>
    </row>
    <row r="591" spans="1:36" ht="14.25" customHeight="1">
      <c r="A591" s="88">
        <v>6520</v>
      </c>
      <c r="B591" s="84">
        <v>353.214</v>
      </c>
      <c r="C591" s="88">
        <v>6530</v>
      </c>
      <c r="D591" s="85">
        <v>350.56700000000001</v>
      </c>
      <c r="E591" s="86">
        <v>6520</v>
      </c>
      <c r="F591" s="85">
        <v>798.10500000000002</v>
      </c>
      <c r="G591" s="87">
        <v>6520</v>
      </c>
      <c r="H591" s="85">
        <v>798.005</v>
      </c>
      <c r="I591" s="87">
        <v>6520</v>
      </c>
      <c r="J591" s="92">
        <v>703.68499999999995</v>
      </c>
      <c r="K591" s="87">
        <v>6520</v>
      </c>
      <c r="L591" s="85">
        <v>703.226</v>
      </c>
      <c r="M591" s="87">
        <v>6520</v>
      </c>
      <c r="N591" s="85">
        <v>703.52499999999998</v>
      </c>
      <c r="O591" s="87">
        <v>6500</v>
      </c>
      <c r="P591" s="85">
        <v>704.64099999999996</v>
      </c>
      <c r="Q591" s="87">
        <v>6520</v>
      </c>
      <c r="R591" s="85">
        <v>704.25599999999997</v>
      </c>
      <c r="S591" s="87">
        <v>6520</v>
      </c>
      <c r="T591" s="85">
        <v>704.90800000000002</v>
      </c>
      <c r="U591" s="87">
        <v>6510</v>
      </c>
      <c r="V591" s="85">
        <v>704.19799999999998</v>
      </c>
      <c r="W591" s="87">
        <v>6520</v>
      </c>
      <c r="X591" s="85">
        <v>703.77099999999996</v>
      </c>
      <c r="Y591" s="87">
        <v>6520</v>
      </c>
      <c r="Z591" s="85">
        <v>702.17399999999998</v>
      </c>
      <c r="AA591" s="87">
        <v>6520</v>
      </c>
      <c r="AB591" s="85">
        <v>702.30100000000004</v>
      </c>
      <c r="AC591" s="87">
        <v>6510</v>
      </c>
      <c r="AD591" s="85">
        <v>626.15599999999995</v>
      </c>
      <c r="AE591" s="87">
        <v>6520</v>
      </c>
      <c r="AF591" s="85">
        <v>627.69200000000001</v>
      </c>
      <c r="AG591" s="87">
        <v>6500</v>
      </c>
      <c r="AH591" s="85">
        <v>162.35499999999999</v>
      </c>
      <c r="AI591" s="87">
        <v>6500</v>
      </c>
      <c r="AJ591" s="85">
        <v>170.655</v>
      </c>
    </row>
    <row r="592" spans="1:36" ht="14.25" customHeight="1">
      <c r="A592" s="88">
        <v>6530</v>
      </c>
      <c r="B592" s="84">
        <v>352.45600000000002</v>
      </c>
      <c r="C592" s="88">
        <v>6540</v>
      </c>
      <c r="D592" s="85">
        <v>349.81400000000002</v>
      </c>
      <c r="E592" s="86">
        <v>6530</v>
      </c>
      <c r="F592" s="85">
        <v>796.62699999999995</v>
      </c>
      <c r="G592" s="87">
        <v>6530</v>
      </c>
      <c r="H592" s="85">
        <v>796.529</v>
      </c>
      <c r="I592" s="87">
        <v>6530</v>
      </c>
      <c r="J592" s="85">
        <v>702.47299999999996</v>
      </c>
      <c r="K592" s="87">
        <v>6530</v>
      </c>
      <c r="L592" s="85">
        <v>702.01300000000003</v>
      </c>
      <c r="M592" s="87">
        <v>6530</v>
      </c>
      <c r="N592" s="85">
        <v>702.31200000000001</v>
      </c>
      <c r="O592" s="87">
        <v>6510</v>
      </c>
      <c r="P592" s="85">
        <v>703.428</v>
      </c>
      <c r="Q592" s="87">
        <v>6530</v>
      </c>
      <c r="R592" s="85">
        <v>703.04399999999998</v>
      </c>
      <c r="S592" s="87">
        <v>6530</v>
      </c>
      <c r="T592" s="85">
        <v>703.69600000000003</v>
      </c>
      <c r="U592" s="87">
        <v>6520</v>
      </c>
      <c r="V592" s="85">
        <v>702.98800000000006</v>
      </c>
      <c r="W592" s="87">
        <v>6530</v>
      </c>
      <c r="X592" s="85">
        <v>702.56</v>
      </c>
      <c r="Y592" s="87">
        <v>6530</v>
      </c>
      <c r="Z592" s="85">
        <v>700.96299999999997</v>
      </c>
      <c r="AA592" s="87">
        <v>6530</v>
      </c>
      <c r="AB592" s="85">
        <v>701.09100000000001</v>
      </c>
      <c r="AC592" s="87">
        <v>6520</v>
      </c>
      <c r="AD592" s="85">
        <v>624.94600000000003</v>
      </c>
      <c r="AE592" s="87">
        <v>6530</v>
      </c>
      <c r="AF592" s="85">
        <v>626.48199999999997</v>
      </c>
      <c r="AG592" s="87">
        <v>6510</v>
      </c>
      <c r="AH592" s="85">
        <v>161.971</v>
      </c>
      <c r="AI592" s="87">
        <v>6510</v>
      </c>
      <c r="AJ592" s="85">
        <v>170.25700000000001</v>
      </c>
    </row>
    <row r="593" spans="1:36" ht="14.25" customHeight="1">
      <c r="A593" s="88">
        <v>6540</v>
      </c>
      <c r="B593" s="84">
        <v>351.69799999999998</v>
      </c>
      <c r="C593" s="88">
        <v>6550</v>
      </c>
      <c r="D593" s="85">
        <v>349.06200000000001</v>
      </c>
      <c r="E593" s="86">
        <v>6540</v>
      </c>
      <c r="F593" s="85">
        <v>795.149</v>
      </c>
      <c r="G593" s="87">
        <v>6540</v>
      </c>
      <c r="H593" s="85">
        <v>795.053</v>
      </c>
      <c r="I593" s="87">
        <v>6540</v>
      </c>
      <c r="J593" s="85">
        <v>701.26</v>
      </c>
      <c r="K593" s="87">
        <v>6540</v>
      </c>
      <c r="L593" s="85">
        <v>700.79899999999998</v>
      </c>
      <c r="M593" s="87">
        <v>6540</v>
      </c>
      <c r="N593" s="85">
        <v>701.1</v>
      </c>
      <c r="O593" s="87">
        <v>6520</v>
      </c>
      <c r="P593" s="85">
        <v>702.21600000000001</v>
      </c>
      <c r="Q593" s="87">
        <v>6540</v>
      </c>
      <c r="R593" s="85">
        <v>701.83100000000002</v>
      </c>
      <c r="S593" s="87">
        <v>6540</v>
      </c>
      <c r="T593" s="85">
        <v>702.48400000000004</v>
      </c>
      <c r="U593" s="87">
        <v>6530</v>
      </c>
      <c r="V593" s="85">
        <v>701.77800000000002</v>
      </c>
      <c r="W593" s="87">
        <v>6540</v>
      </c>
      <c r="X593" s="85">
        <v>701.34900000000005</v>
      </c>
      <c r="Y593" s="87">
        <v>6540</v>
      </c>
      <c r="Z593" s="85">
        <v>699.75199999999995</v>
      </c>
      <c r="AA593" s="87">
        <v>6540</v>
      </c>
      <c r="AB593" s="85">
        <v>699.88099999999997</v>
      </c>
      <c r="AC593" s="87">
        <v>6530</v>
      </c>
      <c r="AD593" s="85">
        <v>623.73500000000001</v>
      </c>
      <c r="AE593" s="87">
        <v>6540</v>
      </c>
      <c r="AF593" s="85">
        <v>625.27200000000005</v>
      </c>
      <c r="AG593" s="87">
        <v>6520</v>
      </c>
      <c r="AH593" s="85">
        <v>161.58799999999999</v>
      </c>
      <c r="AI593" s="87">
        <v>6520</v>
      </c>
      <c r="AJ593" s="85">
        <v>169.85900000000001</v>
      </c>
    </row>
    <row r="594" spans="1:36" ht="14.25" customHeight="1">
      <c r="A594" s="88">
        <v>6550</v>
      </c>
      <c r="B594" s="84">
        <v>350.94099999999997</v>
      </c>
      <c r="C594" s="88">
        <v>6560</v>
      </c>
      <c r="D594" s="85">
        <v>348.30900000000003</v>
      </c>
      <c r="E594" s="86">
        <v>6550</v>
      </c>
      <c r="F594" s="85">
        <v>793.67100000000005</v>
      </c>
      <c r="G594" s="87">
        <v>6550</v>
      </c>
      <c r="H594" s="85">
        <v>793.577</v>
      </c>
      <c r="I594" s="87">
        <v>6550</v>
      </c>
      <c r="J594" s="85">
        <v>700.04700000000003</v>
      </c>
      <c r="K594" s="87">
        <v>6550</v>
      </c>
      <c r="L594" s="85">
        <v>699.58500000000004</v>
      </c>
      <c r="M594" s="87">
        <v>6550</v>
      </c>
      <c r="N594" s="85">
        <v>699.88699999999994</v>
      </c>
      <c r="O594" s="87">
        <v>6530</v>
      </c>
      <c r="P594" s="85">
        <v>701.00300000000004</v>
      </c>
      <c r="Q594" s="87">
        <v>6550</v>
      </c>
      <c r="R594" s="85">
        <v>700.61900000000003</v>
      </c>
      <c r="S594" s="87">
        <v>6550</v>
      </c>
      <c r="T594" s="85">
        <v>701.27200000000005</v>
      </c>
      <c r="U594" s="87">
        <v>6540</v>
      </c>
      <c r="V594" s="85">
        <v>700.56799999999998</v>
      </c>
      <c r="W594" s="87">
        <v>6550</v>
      </c>
      <c r="X594" s="85">
        <v>700.13800000000003</v>
      </c>
      <c r="Y594" s="87">
        <v>6550</v>
      </c>
      <c r="Z594" s="85">
        <v>698.54100000000005</v>
      </c>
      <c r="AA594" s="87">
        <v>6550</v>
      </c>
      <c r="AB594" s="85">
        <v>698.67100000000005</v>
      </c>
      <c r="AC594" s="87">
        <v>6540</v>
      </c>
      <c r="AD594" s="85">
        <v>622.524</v>
      </c>
      <c r="AE594" s="87">
        <v>6550</v>
      </c>
      <c r="AF594" s="85">
        <v>624.06299999999999</v>
      </c>
      <c r="AG594" s="87">
        <v>6530</v>
      </c>
      <c r="AH594" s="85">
        <v>161.20400000000001</v>
      </c>
      <c r="AI594" s="87">
        <v>6530</v>
      </c>
      <c r="AJ594" s="85">
        <v>169.46100000000001</v>
      </c>
    </row>
    <row r="595" spans="1:36" ht="14.25" customHeight="1">
      <c r="A595" s="88">
        <v>6560</v>
      </c>
      <c r="B595" s="84">
        <v>350.18400000000003</v>
      </c>
      <c r="C595" s="88">
        <v>6570</v>
      </c>
      <c r="D595" s="85">
        <v>347.55700000000002</v>
      </c>
      <c r="E595" s="86">
        <v>6560</v>
      </c>
      <c r="F595" s="85">
        <v>792.19299999999998</v>
      </c>
      <c r="G595" s="87">
        <v>6560</v>
      </c>
      <c r="H595" s="85">
        <v>792.101</v>
      </c>
      <c r="I595" s="87">
        <v>6560</v>
      </c>
      <c r="J595" s="85">
        <v>698.83500000000004</v>
      </c>
      <c r="K595" s="87">
        <v>6560</v>
      </c>
      <c r="L595" s="85">
        <v>698.37199999999996</v>
      </c>
      <c r="M595" s="87">
        <v>6560</v>
      </c>
      <c r="N595" s="85">
        <v>698.67499999999995</v>
      </c>
      <c r="O595" s="87">
        <v>6540</v>
      </c>
      <c r="P595" s="85">
        <v>699.79</v>
      </c>
      <c r="Q595" s="87">
        <v>6560</v>
      </c>
      <c r="R595" s="85">
        <v>699.40599999999995</v>
      </c>
      <c r="S595" s="87">
        <v>6560</v>
      </c>
      <c r="T595" s="85">
        <v>700.05899999999997</v>
      </c>
      <c r="U595" s="87">
        <v>6550</v>
      </c>
      <c r="V595" s="85">
        <v>699.35799999999995</v>
      </c>
      <c r="W595" s="87">
        <v>6560</v>
      </c>
      <c r="X595" s="85">
        <v>698.92700000000002</v>
      </c>
      <c r="Y595" s="87">
        <v>6560</v>
      </c>
      <c r="Z595" s="85">
        <v>697.32899999999995</v>
      </c>
      <c r="AA595" s="87">
        <v>6560</v>
      </c>
      <c r="AB595" s="85">
        <v>697.46100000000001</v>
      </c>
      <c r="AC595" s="87">
        <v>6550</v>
      </c>
      <c r="AD595" s="85">
        <v>621.31399999999996</v>
      </c>
      <c r="AE595" s="87">
        <v>6560</v>
      </c>
      <c r="AF595" s="85">
        <v>622.85299999999995</v>
      </c>
      <c r="AG595" s="87">
        <v>6540</v>
      </c>
      <c r="AH595" s="85">
        <v>160.821</v>
      </c>
      <c r="AI595" s="87">
        <v>6540</v>
      </c>
      <c r="AJ595" s="85">
        <v>169.06399999999999</v>
      </c>
    </row>
    <row r="596" spans="1:36" ht="14.25" customHeight="1">
      <c r="A596" s="88">
        <v>6570</v>
      </c>
      <c r="B596" s="84">
        <v>349.42700000000002</v>
      </c>
      <c r="C596" s="88">
        <v>6580</v>
      </c>
      <c r="D596" s="85">
        <v>346.80500000000001</v>
      </c>
      <c r="E596" s="86">
        <v>6570</v>
      </c>
      <c r="F596" s="85">
        <v>790.71500000000003</v>
      </c>
      <c r="G596" s="87">
        <v>6570</v>
      </c>
      <c r="H596" s="85">
        <v>790.625</v>
      </c>
      <c r="I596" s="87">
        <v>6570</v>
      </c>
      <c r="J596" s="85">
        <v>697.62199999999996</v>
      </c>
      <c r="K596" s="87">
        <v>6570</v>
      </c>
      <c r="L596" s="85">
        <v>697.15800000000002</v>
      </c>
      <c r="M596" s="87">
        <v>6570</v>
      </c>
      <c r="N596" s="85">
        <v>697.46299999999997</v>
      </c>
      <c r="O596" s="87">
        <v>6550</v>
      </c>
      <c r="P596" s="85">
        <v>698.577</v>
      </c>
      <c r="Q596" s="87">
        <v>6570</v>
      </c>
      <c r="R596" s="85">
        <v>698.19399999999996</v>
      </c>
      <c r="S596" s="87">
        <v>6570</v>
      </c>
      <c r="T596" s="85">
        <v>698.84699999999998</v>
      </c>
      <c r="U596" s="87">
        <v>6560</v>
      </c>
      <c r="V596" s="85">
        <v>698.14800000000002</v>
      </c>
      <c r="W596" s="87">
        <v>6570</v>
      </c>
      <c r="X596" s="85">
        <v>697.71600000000001</v>
      </c>
      <c r="Y596" s="87">
        <v>6570</v>
      </c>
      <c r="Z596" s="85">
        <v>696.11800000000005</v>
      </c>
      <c r="AA596" s="87">
        <v>6570</v>
      </c>
      <c r="AB596" s="85">
        <v>696.25099999999998</v>
      </c>
      <c r="AC596" s="87">
        <v>6560</v>
      </c>
      <c r="AD596" s="85">
        <v>620.10299999999995</v>
      </c>
      <c r="AE596" s="87">
        <v>6570</v>
      </c>
      <c r="AF596" s="85">
        <v>621.64300000000003</v>
      </c>
      <c r="AG596" s="87">
        <v>6550</v>
      </c>
      <c r="AH596" s="85">
        <v>160.43700000000001</v>
      </c>
      <c r="AI596" s="87">
        <v>6550</v>
      </c>
      <c r="AJ596" s="85">
        <v>168.666</v>
      </c>
    </row>
    <row r="597" spans="1:36" ht="14.25" customHeight="1">
      <c r="A597" s="88">
        <v>6580</v>
      </c>
      <c r="B597" s="84">
        <v>348.67</v>
      </c>
      <c r="C597" s="88">
        <v>6590</v>
      </c>
      <c r="D597" s="85">
        <v>346.053</v>
      </c>
      <c r="E597" s="86">
        <v>6580</v>
      </c>
      <c r="F597" s="85">
        <v>789.23800000000006</v>
      </c>
      <c r="G597" s="87">
        <v>6580</v>
      </c>
      <c r="H597" s="85">
        <v>789.149</v>
      </c>
      <c r="I597" s="87">
        <v>6580</v>
      </c>
      <c r="J597" s="85">
        <v>696.41</v>
      </c>
      <c r="K597" s="87">
        <v>6580</v>
      </c>
      <c r="L597" s="85">
        <v>695.94399999999996</v>
      </c>
      <c r="M597" s="87">
        <v>6580</v>
      </c>
      <c r="N597" s="85">
        <v>696.25</v>
      </c>
      <c r="O597" s="87">
        <v>6560</v>
      </c>
      <c r="P597" s="85">
        <v>697.36500000000001</v>
      </c>
      <c r="Q597" s="87">
        <v>6580</v>
      </c>
      <c r="R597" s="85">
        <v>696.98099999999999</v>
      </c>
      <c r="S597" s="87">
        <v>6580</v>
      </c>
      <c r="T597" s="85">
        <v>697.63499999999999</v>
      </c>
      <c r="U597" s="87">
        <v>6570</v>
      </c>
      <c r="V597" s="85">
        <v>696.93799999999999</v>
      </c>
      <c r="W597" s="87">
        <v>6580</v>
      </c>
      <c r="X597" s="85">
        <v>696.505</v>
      </c>
      <c r="Y597" s="87">
        <v>6580</v>
      </c>
      <c r="Z597" s="85">
        <v>694.90700000000004</v>
      </c>
      <c r="AA597" s="87">
        <v>6580</v>
      </c>
      <c r="AB597" s="85">
        <v>695.04100000000005</v>
      </c>
      <c r="AC597" s="87">
        <v>6570</v>
      </c>
      <c r="AD597" s="85">
        <v>618.89200000000005</v>
      </c>
      <c r="AE597" s="87">
        <v>6580</v>
      </c>
      <c r="AF597" s="85">
        <v>620.43299999999999</v>
      </c>
      <c r="AG597" s="87">
        <v>6560</v>
      </c>
      <c r="AH597" s="85">
        <v>160.054</v>
      </c>
      <c r="AI597" s="87">
        <v>6560</v>
      </c>
      <c r="AJ597" s="85">
        <v>168.26900000000001</v>
      </c>
    </row>
    <row r="598" spans="1:36" ht="14.25" customHeight="1">
      <c r="A598" s="88">
        <v>6590</v>
      </c>
      <c r="B598" s="84">
        <v>347.91399999999999</v>
      </c>
      <c r="C598" s="88">
        <v>6600</v>
      </c>
      <c r="D598" s="85">
        <v>345.30200000000002</v>
      </c>
      <c r="E598" s="86">
        <v>6590</v>
      </c>
      <c r="F598" s="85">
        <v>787.76</v>
      </c>
      <c r="G598" s="87">
        <v>6590</v>
      </c>
      <c r="H598" s="85">
        <v>787.673</v>
      </c>
      <c r="I598" s="87">
        <v>6590</v>
      </c>
      <c r="J598" s="85">
        <v>695.197</v>
      </c>
      <c r="K598" s="87">
        <v>6590</v>
      </c>
      <c r="L598" s="85">
        <v>694.73099999999999</v>
      </c>
      <c r="M598" s="87">
        <v>6590</v>
      </c>
      <c r="N598" s="85">
        <v>695.03800000000001</v>
      </c>
      <c r="O598" s="87">
        <v>6570</v>
      </c>
      <c r="P598" s="85">
        <v>696.15200000000004</v>
      </c>
      <c r="Q598" s="87">
        <v>6590</v>
      </c>
      <c r="R598" s="85">
        <v>695.76900000000001</v>
      </c>
      <c r="S598" s="87">
        <v>6590</v>
      </c>
      <c r="T598" s="85">
        <v>696.423</v>
      </c>
      <c r="U598" s="87">
        <v>6580</v>
      </c>
      <c r="V598" s="85">
        <v>695.72799999999995</v>
      </c>
      <c r="W598" s="87">
        <v>6590</v>
      </c>
      <c r="X598" s="85">
        <v>695.29399999999998</v>
      </c>
      <c r="Y598" s="87">
        <v>6590</v>
      </c>
      <c r="Z598" s="85">
        <v>693.69600000000003</v>
      </c>
      <c r="AA598" s="87">
        <v>6590</v>
      </c>
      <c r="AB598" s="85">
        <v>693.83100000000002</v>
      </c>
      <c r="AC598" s="87">
        <v>6580</v>
      </c>
      <c r="AD598" s="85">
        <v>617.68200000000002</v>
      </c>
      <c r="AE598" s="87">
        <v>6590</v>
      </c>
      <c r="AF598" s="85">
        <v>619.22299999999996</v>
      </c>
      <c r="AG598" s="87">
        <v>6570</v>
      </c>
      <c r="AH598" s="85">
        <v>159.67099999999999</v>
      </c>
      <c r="AI598" s="87">
        <v>6570</v>
      </c>
      <c r="AJ598" s="85">
        <v>167.87100000000001</v>
      </c>
    </row>
    <row r="599" spans="1:36" ht="14.25" customHeight="1">
      <c r="A599" s="88">
        <v>6600</v>
      </c>
      <c r="B599" s="84">
        <v>347.15800000000002</v>
      </c>
      <c r="C599" s="88">
        <v>6610</v>
      </c>
      <c r="D599" s="85">
        <v>344.55</v>
      </c>
      <c r="E599" s="86">
        <v>6600</v>
      </c>
      <c r="F599" s="85">
        <v>786.28300000000002</v>
      </c>
      <c r="G599" s="87">
        <v>6600</v>
      </c>
      <c r="H599" s="85">
        <v>786.19799999999998</v>
      </c>
      <c r="I599" s="87">
        <v>6600</v>
      </c>
      <c r="J599" s="85">
        <v>693.98500000000001</v>
      </c>
      <c r="K599" s="87">
        <v>6600</v>
      </c>
      <c r="L599" s="85">
        <v>693.51700000000005</v>
      </c>
      <c r="M599" s="87">
        <v>6600</v>
      </c>
      <c r="N599" s="85">
        <v>693.82500000000005</v>
      </c>
      <c r="O599" s="87">
        <v>6580</v>
      </c>
      <c r="P599" s="85">
        <v>694.93899999999996</v>
      </c>
      <c r="Q599" s="87">
        <v>6600</v>
      </c>
      <c r="R599" s="85">
        <v>694.55600000000004</v>
      </c>
      <c r="S599" s="87">
        <v>6600</v>
      </c>
      <c r="T599" s="85">
        <v>695.21</v>
      </c>
      <c r="U599" s="87">
        <v>6590</v>
      </c>
      <c r="V599" s="85">
        <v>694.51800000000003</v>
      </c>
      <c r="W599" s="87">
        <v>6600</v>
      </c>
      <c r="X599" s="85">
        <v>694.08299999999997</v>
      </c>
      <c r="Y599" s="87">
        <v>6600</v>
      </c>
      <c r="Z599" s="85">
        <v>692.48500000000001</v>
      </c>
      <c r="AA599" s="87">
        <v>6600</v>
      </c>
      <c r="AB599" s="85">
        <v>692.62099999999998</v>
      </c>
      <c r="AC599" s="87">
        <v>6590</v>
      </c>
      <c r="AD599" s="85">
        <v>616.471</v>
      </c>
      <c r="AE599" s="87">
        <v>6600</v>
      </c>
      <c r="AF599" s="85">
        <v>618.01300000000003</v>
      </c>
      <c r="AG599" s="87">
        <v>6580</v>
      </c>
      <c r="AH599" s="85">
        <v>159.28800000000001</v>
      </c>
      <c r="AI599" s="87">
        <v>6580</v>
      </c>
      <c r="AJ599" s="85">
        <v>167.47399999999999</v>
      </c>
    </row>
    <row r="600" spans="1:36" ht="14.25" customHeight="1">
      <c r="A600" s="88">
        <v>6610</v>
      </c>
      <c r="B600" s="84">
        <v>346.40199999999999</v>
      </c>
      <c r="C600" s="88">
        <v>6620</v>
      </c>
      <c r="D600" s="85">
        <v>343.79899999999998</v>
      </c>
      <c r="E600" s="86">
        <v>6610</v>
      </c>
      <c r="F600" s="85">
        <v>784.80499999999995</v>
      </c>
      <c r="G600" s="87">
        <v>6610</v>
      </c>
      <c r="H600" s="85">
        <v>784.72199999999998</v>
      </c>
      <c r="I600" s="87">
        <v>6610</v>
      </c>
      <c r="J600" s="85">
        <v>692.77200000000005</v>
      </c>
      <c r="K600" s="87">
        <v>6610</v>
      </c>
      <c r="L600" s="85">
        <v>692.30399999999997</v>
      </c>
      <c r="M600" s="87">
        <v>6610</v>
      </c>
      <c r="N600" s="85">
        <v>692.61300000000006</v>
      </c>
      <c r="O600" s="87">
        <v>6590</v>
      </c>
      <c r="P600" s="85">
        <v>693.726</v>
      </c>
      <c r="Q600" s="87">
        <v>6610</v>
      </c>
      <c r="R600" s="85">
        <v>693.34400000000005</v>
      </c>
      <c r="S600" s="87">
        <v>6610</v>
      </c>
      <c r="T600" s="85">
        <v>693.99800000000005</v>
      </c>
      <c r="U600" s="87">
        <v>6600</v>
      </c>
      <c r="V600" s="85">
        <v>693.30799999999999</v>
      </c>
      <c r="W600" s="87">
        <v>6610</v>
      </c>
      <c r="X600" s="85">
        <v>692.87199999999996</v>
      </c>
      <c r="Y600" s="87">
        <v>6610</v>
      </c>
      <c r="Z600" s="85">
        <v>691.27300000000002</v>
      </c>
      <c r="AA600" s="87">
        <v>6610</v>
      </c>
      <c r="AB600" s="85">
        <v>691.41099999999994</v>
      </c>
      <c r="AC600" s="87">
        <v>6600</v>
      </c>
      <c r="AD600" s="85">
        <v>615.26</v>
      </c>
      <c r="AE600" s="87">
        <v>6610</v>
      </c>
      <c r="AF600" s="85">
        <v>616.803</v>
      </c>
      <c r="AG600" s="87">
        <v>6590</v>
      </c>
      <c r="AH600" s="85">
        <v>158.905</v>
      </c>
      <c r="AI600" s="87">
        <v>6590</v>
      </c>
      <c r="AJ600" s="85">
        <v>167.077</v>
      </c>
    </row>
    <row r="601" spans="1:36" ht="14.25" customHeight="1">
      <c r="A601" s="88">
        <v>6620</v>
      </c>
      <c r="B601" s="84">
        <v>345.64600000000002</v>
      </c>
      <c r="C601" s="88">
        <v>6630</v>
      </c>
      <c r="D601" s="85">
        <v>343.048</v>
      </c>
      <c r="E601" s="86">
        <v>6620</v>
      </c>
      <c r="F601" s="85">
        <v>783.32799999999997</v>
      </c>
      <c r="G601" s="87">
        <v>6620</v>
      </c>
      <c r="H601" s="85">
        <v>783.24699999999996</v>
      </c>
      <c r="I601" s="87">
        <v>6620</v>
      </c>
      <c r="J601" s="85">
        <v>691.56</v>
      </c>
      <c r="K601" s="87">
        <v>6620</v>
      </c>
      <c r="L601" s="85">
        <v>691.09</v>
      </c>
      <c r="M601" s="87">
        <v>6620</v>
      </c>
      <c r="N601" s="85">
        <v>691.4</v>
      </c>
      <c r="O601" s="87">
        <v>6600</v>
      </c>
      <c r="P601" s="85">
        <v>692.51400000000001</v>
      </c>
      <c r="Q601" s="87">
        <v>6620</v>
      </c>
      <c r="R601" s="85">
        <v>692.13099999999997</v>
      </c>
      <c r="S601" s="87">
        <v>6620</v>
      </c>
      <c r="T601" s="85">
        <v>692.78599999999994</v>
      </c>
      <c r="U601" s="87">
        <v>6610</v>
      </c>
      <c r="V601" s="85">
        <v>692.09799999999996</v>
      </c>
      <c r="W601" s="87">
        <v>6620</v>
      </c>
      <c r="X601" s="85">
        <v>691.66200000000003</v>
      </c>
      <c r="Y601" s="87">
        <v>6620</v>
      </c>
      <c r="Z601" s="85">
        <v>690.06200000000001</v>
      </c>
      <c r="AA601" s="87">
        <v>6620</v>
      </c>
      <c r="AB601" s="85">
        <v>690.20100000000002</v>
      </c>
      <c r="AC601" s="87">
        <v>6610</v>
      </c>
      <c r="AD601" s="85">
        <v>614.04999999999995</v>
      </c>
      <c r="AE601" s="87">
        <v>6620</v>
      </c>
      <c r="AF601" s="85">
        <v>615.59299999999996</v>
      </c>
      <c r="AG601" s="87">
        <v>6600</v>
      </c>
      <c r="AH601" s="85">
        <v>158.52199999999999</v>
      </c>
      <c r="AI601" s="87">
        <v>6600</v>
      </c>
      <c r="AJ601" s="85">
        <v>166.68</v>
      </c>
    </row>
    <row r="602" spans="1:36" ht="14.25" customHeight="1">
      <c r="A602" s="88">
        <v>6630</v>
      </c>
      <c r="B602" s="84">
        <v>344.89</v>
      </c>
      <c r="C602" s="88">
        <v>6640</v>
      </c>
      <c r="D602" s="85">
        <v>342.29700000000003</v>
      </c>
      <c r="E602" s="86">
        <v>6630</v>
      </c>
      <c r="F602" s="85">
        <v>781.851</v>
      </c>
      <c r="G602" s="87">
        <v>6630</v>
      </c>
      <c r="H602" s="85">
        <v>781.77200000000005</v>
      </c>
      <c r="I602" s="87">
        <v>6630</v>
      </c>
      <c r="J602" s="85">
        <v>690.34699999999998</v>
      </c>
      <c r="K602" s="87">
        <v>6630</v>
      </c>
      <c r="L602" s="85">
        <v>689.87699999999995</v>
      </c>
      <c r="M602" s="87">
        <v>6630</v>
      </c>
      <c r="N602" s="85">
        <v>690.18799999999999</v>
      </c>
      <c r="O602" s="87">
        <v>6610</v>
      </c>
      <c r="P602" s="85">
        <v>691.30100000000004</v>
      </c>
      <c r="Q602" s="87">
        <v>6630</v>
      </c>
      <c r="R602" s="85">
        <v>690.91899999999998</v>
      </c>
      <c r="S602" s="87">
        <v>6630</v>
      </c>
      <c r="T602" s="85">
        <v>691.57399999999996</v>
      </c>
      <c r="U602" s="87">
        <v>6620</v>
      </c>
      <c r="V602" s="85">
        <v>690.88800000000003</v>
      </c>
      <c r="W602" s="87">
        <v>6630</v>
      </c>
      <c r="X602" s="85">
        <v>690.45100000000002</v>
      </c>
      <c r="Y602" s="87">
        <v>6630</v>
      </c>
      <c r="Z602" s="85">
        <v>688.851</v>
      </c>
      <c r="AA602" s="87">
        <v>6630</v>
      </c>
      <c r="AB602" s="85">
        <v>688.99099999999999</v>
      </c>
      <c r="AC602" s="87">
        <v>6620</v>
      </c>
      <c r="AD602" s="85">
        <v>612.83900000000006</v>
      </c>
      <c r="AE602" s="87">
        <v>6630</v>
      </c>
      <c r="AF602" s="85">
        <v>614.38300000000004</v>
      </c>
      <c r="AG602" s="87">
        <v>6610</v>
      </c>
      <c r="AH602" s="85">
        <v>158.13999999999999</v>
      </c>
      <c r="AI602" s="87">
        <v>6610</v>
      </c>
      <c r="AJ602" s="85">
        <v>166.28299999999999</v>
      </c>
    </row>
    <row r="603" spans="1:36" ht="14.25" customHeight="1">
      <c r="A603" s="88">
        <v>6640</v>
      </c>
      <c r="B603" s="84">
        <v>344.13499999999999</v>
      </c>
      <c r="C603" s="88">
        <v>6650</v>
      </c>
      <c r="D603" s="85">
        <v>341.54700000000003</v>
      </c>
      <c r="E603" s="86">
        <v>6640</v>
      </c>
      <c r="F603" s="85">
        <v>780.37400000000002</v>
      </c>
      <c r="G603" s="87">
        <v>6640</v>
      </c>
      <c r="H603" s="85">
        <v>780.29600000000005</v>
      </c>
      <c r="I603" s="87">
        <v>6640</v>
      </c>
      <c r="J603" s="85">
        <v>689.13499999999999</v>
      </c>
      <c r="K603" s="87">
        <v>6640</v>
      </c>
      <c r="L603" s="85">
        <v>688.66300000000001</v>
      </c>
      <c r="M603" s="87">
        <v>6640</v>
      </c>
      <c r="N603" s="85">
        <v>688.976</v>
      </c>
      <c r="O603" s="87">
        <v>6620</v>
      </c>
      <c r="P603" s="85">
        <v>690.08799999999997</v>
      </c>
      <c r="Q603" s="87">
        <v>6640</v>
      </c>
      <c r="R603" s="85">
        <v>689.70600000000002</v>
      </c>
      <c r="S603" s="87">
        <v>6640</v>
      </c>
      <c r="T603" s="85">
        <v>690.36199999999997</v>
      </c>
      <c r="U603" s="87">
        <v>6630</v>
      </c>
      <c r="V603" s="85">
        <v>689.678</v>
      </c>
      <c r="W603" s="87">
        <v>6640</v>
      </c>
      <c r="X603" s="85">
        <v>689.24</v>
      </c>
      <c r="Y603" s="87">
        <v>6640</v>
      </c>
      <c r="Z603" s="85">
        <v>687.64</v>
      </c>
      <c r="AA603" s="87">
        <v>6640</v>
      </c>
      <c r="AB603" s="85">
        <v>687.78099999999995</v>
      </c>
      <c r="AC603" s="87">
        <v>6630</v>
      </c>
      <c r="AD603" s="85">
        <v>611.62900000000002</v>
      </c>
      <c r="AE603" s="87">
        <v>6640</v>
      </c>
      <c r="AF603" s="85">
        <v>613.17399999999998</v>
      </c>
      <c r="AG603" s="87">
        <v>6620</v>
      </c>
      <c r="AH603" s="85">
        <v>157.75700000000001</v>
      </c>
      <c r="AI603" s="87">
        <v>6620</v>
      </c>
      <c r="AJ603" s="85">
        <v>165.886</v>
      </c>
    </row>
    <row r="604" spans="1:36" ht="14.25" customHeight="1">
      <c r="A604" s="88">
        <v>6650</v>
      </c>
      <c r="B604" s="84">
        <v>343.37900000000002</v>
      </c>
      <c r="C604" s="88">
        <v>6660</v>
      </c>
      <c r="D604" s="85">
        <v>340.79599999999999</v>
      </c>
      <c r="E604" s="86">
        <v>6650</v>
      </c>
      <c r="F604" s="85">
        <v>778.89700000000005</v>
      </c>
      <c r="G604" s="87">
        <v>6650</v>
      </c>
      <c r="H604" s="85">
        <v>778.82100000000003</v>
      </c>
      <c r="I604" s="87">
        <v>6650</v>
      </c>
      <c r="J604" s="85">
        <v>687.92200000000003</v>
      </c>
      <c r="K604" s="87">
        <v>6650</v>
      </c>
      <c r="L604" s="85">
        <v>687.44899999999996</v>
      </c>
      <c r="M604" s="87">
        <v>6650</v>
      </c>
      <c r="N604" s="85">
        <v>687.76300000000003</v>
      </c>
      <c r="O604" s="87">
        <v>6630</v>
      </c>
      <c r="P604" s="85">
        <v>688.87599999999998</v>
      </c>
      <c r="Q604" s="87">
        <v>6650</v>
      </c>
      <c r="R604" s="85">
        <v>688.49400000000003</v>
      </c>
      <c r="S604" s="87">
        <v>6650</v>
      </c>
      <c r="T604" s="85">
        <v>689.149</v>
      </c>
      <c r="U604" s="87">
        <v>6640</v>
      </c>
      <c r="V604" s="85">
        <v>688.46799999999996</v>
      </c>
      <c r="W604" s="87">
        <v>6650</v>
      </c>
      <c r="X604" s="85">
        <v>688.029</v>
      </c>
      <c r="Y604" s="87">
        <v>6650</v>
      </c>
      <c r="Z604" s="85">
        <v>686.428</v>
      </c>
      <c r="AA604" s="87">
        <v>6650</v>
      </c>
      <c r="AB604" s="85">
        <v>686.57100000000003</v>
      </c>
      <c r="AC604" s="87">
        <v>6640</v>
      </c>
      <c r="AD604" s="85">
        <v>610.41800000000001</v>
      </c>
      <c r="AE604" s="87">
        <v>6650</v>
      </c>
      <c r="AF604" s="85">
        <v>611.96400000000006</v>
      </c>
      <c r="AG604" s="87">
        <v>6630</v>
      </c>
      <c r="AH604" s="85">
        <v>157.375</v>
      </c>
      <c r="AI604" s="87">
        <v>6630</v>
      </c>
      <c r="AJ604" s="85">
        <v>165.49</v>
      </c>
    </row>
    <row r="605" spans="1:36" ht="14.25" customHeight="1">
      <c r="A605" s="88">
        <v>6660</v>
      </c>
      <c r="B605" s="84">
        <v>342.62400000000002</v>
      </c>
      <c r="C605" s="88">
        <v>6670</v>
      </c>
      <c r="D605" s="85">
        <v>340.04599999999999</v>
      </c>
      <c r="E605" s="86">
        <v>6660</v>
      </c>
      <c r="F605" s="85">
        <v>777.42</v>
      </c>
      <c r="G605" s="87">
        <v>6660</v>
      </c>
      <c r="H605" s="85">
        <v>777.34699999999998</v>
      </c>
      <c r="I605" s="87">
        <v>6660</v>
      </c>
      <c r="J605" s="85">
        <v>686.71</v>
      </c>
      <c r="K605" s="87">
        <v>6660</v>
      </c>
      <c r="L605" s="85">
        <v>686.23599999999999</v>
      </c>
      <c r="M605" s="87">
        <v>6660</v>
      </c>
      <c r="N605" s="85">
        <v>686.55100000000004</v>
      </c>
      <c r="O605" s="87">
        <v>6640</v>
      </c>
      <c r="P605" s="85">
        <v>687.66300000000001</v>
      </c>
      <c r="Q605" s="87">
        <v>6660</v>
      </c>
      <c r="R605" s="85">
        <v>687.28099999999995</v>
      </c>
      <c r="S605" s="87">
        <v>6660</v>
      </c>
      <c r="T605" s="85">
        <v>687.93700000000001</v>
      </c>
      <c r="U605" s="87">
        <v>6650</v>
      </c>
      <c r="V605" s="85">
        <v>687.25800000000004</v>
      </c>
      <c r="W605" s="87">
        <v>6660</v>
      </c>
      <c r="X605" s="85">
        <v>686.81799999999998</v>
      </c>
      <c r="Y605" s="87">
        <v>6660</v>
      </c>
      <c r="Z605" s="85">
        <v>685.21699999999998</v>
      </c>
      <c r="AA605" s="87">
        <v>6660</v>
      </c>
      <c r="AB605" s="85">
        <v>685.36099999999999</v>
      </c>
      <c r="AC605" s="87">
        <v>6650</v>
      </c>
      <c r="AD605" s="85">
        <v>609.20699999999999</v>
      </c>
      <c r="AE605" s="87">
        <v>6660</v>
      </c>
      <c r="AF605" s="85">
        <v>610.75400000000002</v>
      </c>
      <c r="AG605" s="87">
        <v>6640</v>
      </c>
      <c r="AH605" s="85">
        <v>156.99199999999999</v>
      </c>
      <c r="AI605" s="87">
        <v>6640</v>
      </c>
      <c r="AJ605" s="85">
        <v>165.09299999999999</v>
      </c>
    </row>
    <row r="606" spans="1:36" ht="14.25" customHeight="1">
      <c r="A606" s="88">
        <v>6670</v>
      </c>
      <c r="B606" s="84">
        <v>341.86900000000003</v>
      </c>
      <c r="C606" s="88">
        <v>6680</v>
      </c>
      <c r="D606" s="85">
        <v>339.29599999999999</v>
      </c>
      <c r="E606" s="86">
        <v>6670</v>
      </c>
      <c r="F606" s="85">
        <v>775.94399999999996</v>
      </c>
      <c r="G606" s="87">
        <v>6670</v>
      </c>
      <c r="H606" s="85">
        <v>775.87199999999996</v>
      </c>
      <c r="I606" s="87">
        <v>6670</v>
      </c>
      <c r="J606" s="85">
        <v>685.49699999999996</v>
      </c>
      <c r="K606" s="87">
        <v>6670</v>
      </c>
      <c r="L606" s="85">
        <v>685.02200000000005</v>
      </c>
      <c r="M606" s="87">
        <v>6670</v>
      </c>
      <c r="N606" s="85">
        <v>685.33799999999997</v>
      </c>
      <c r="O606" s="87">
        <v>6650</v>
      </c>
      <c r="P606" s="85">
        <v>686.45</v>
      </c>
      <c r="Q606" s="87">
        <v>6670</v>
      </c>
      <c r="R606" s="85">
        <v>686.06899999999996</v>
      </c>
      <c r="S606" s="87">
        <v>6670</v>
      </c>
      <c r="T606" s="85">
        <v>686.72500000000002</v>
      </c>
      <c r="U606" s="87">
        <v>6660</v>
      </c>
      <c r="V606" s="85">
        <v>686.048</v>
      </c>
      <c r="W606" s="87">
        <v>6670</v>
      </c>
      <c r="X606" s="85">
        <v>685.60699999999997</v>
      </c>
      <c r="Y606" s="87">
        <v>6670</v>
      </c>
      <c r="Z606" s="85">
        <v>684.00599999999997</v>
      </c>
      <c r="AA606" s="87">
        <v>6670</v>
      </c>
      <c r="AB606" s="85">
        <v>684.15099999999995</v>
      </c>
      <c r="AC606" s="87">
        <v>6660</v>
      </c>
      <c r="AD606" s="85">
        <v>607.99699999999996</v>
      </c>
      <c r="AE606" s="87">
        <v>6670</v>
      </c>
      <c r="AF606" s="85">
        <v>609.54399999999998</v>
      </c>
      <c r="AG606" s="87">
        <v>6650</v>
      </c>
      <c r="AH606" s="85">
        <v>156.61000000000001</v>
      </c>
      <c r="AI606" s="87">
        <v>6650</v>
      </c>
      <c r="AJ606" s="85">
        <v>164.697</v>
      </c>
    </row>
    <row r="607" spans="1:36" ht="14.25" customHeight="1">
      <c r="A607" s="88">
        <v>6680</v>
      </c>
      <c r="B607" s="84">
        <v>341.11500000000001</v>
      </c>
      <c r="C607" s="88">
        <v>6690</v>
      </c>
      <c r="D607" s="85">
        <v>338.54599999999999</v>
      </c>
      <c r="E607" s="86">
        <v>6680</v>
      </c>
      <c r="F607" s="85">
        <v>774.46699999999998</v>
      </c>
      <c r="G607" s="87">
        <v>6680</v>
      </c>
      <c r="H607" s="85">
        <v>774.39700000000005</v>
      </c>
      <c r="I607" s="87">
        <v>6680</v>
      </c>
      <c r="J607" s="85">
        <v>684.28499999999997</v>
      </c>
      <c r="K607" s="87">
        <v>6680</v>
      </c>
      <c r="L607" s="85">
        <v>683.80799999999999</v>
      </c>
      <c r="M607" s="87">
        <v>6680</v>
      </c>
      <c r="N607" s="85">
        <v>684.12599999999998</v>
      </c>
      <c r="O607" s="87">
        <v>6660</v>
      </c>
      <c r="P607" s="85">
        <v>685.23800000000006</v>
      </c>
      <c r="Q607" s="87">
        <v>6680</v>
      </c>
      <c r="R607" s="85">
        <v>684.85599999999999</v>
      </c>
      <c r="S607" s="87">
        <v>6680</v>
      </c>
      <c r="T607" s="85">
        <v>685.51300000000003</v>
      </c>
      <c r="U607" s="87">
        <v>6670</v>
      </c>
      <c r="V607" s="85">
        <v>684.83799999999997</v>
      </c>
      <c r="W607" s="87">
        <v>6680</v>
      </c>
      <c r="X607" s="85">
        <v>684.39599999999996</v>
      </c>
      <c r="Y607" s="87">
        <v>6680</v>
      </c>
      <c r="Z607" s="85">
        <v>682.79499999999996</v>
      </c>
      <c r="AA607" s="87">
        <v>6680</v>
      </c>
      <c r="AB607" s="85">
        <v>682.94100000000003</v>
      </c>
      <c r="AC607" s="87">
        <v>6670</v>
      </c>
      <c r="AD607" s="85">
        <v>606.78599999999994</v>
      </c>
      <c r="AE607" s="87">
        <v>6680</v>
      </c>
      <c r="AF607" s="85">
        <v>608.33399999999995</v>
      </c>
      <c r="AG607" s="87">
        <v>6660</v>
      </c>
      <c r="AH607" s="85">
        <v>156.22800000000001</v>
      </c>
      <c r="AI607" s="87">
        <v>6660</v>
      </c>
      <c r="AJ607" s="85">
        <v>164.3</v>
      </c>
    </row>
    <row r="608" spans="1:36" ht="14.25" customHeight="1">
      <c r="A608" s="88">
        <v>6690</v>
      </c>
      <c r="B608" s="84">
        <v>340.36</v>
      </c>
      <c r="C608" s="88">
        <v>6700</v>
      </c>
      <c r="D608" s="85">
        <v>337.79599999999999</v>
      </c>
      <c r="E608" s="86">
        <v>6690</v>
      </c>
      <c r="F608" s="85">
        <v>772.99099999999999</v>
      </c>
      <c r="G608" s="87">
        <v>6690</v>
      </c>
      <c r="H608" s="85">
        <v>772.92200000000003</v>
      </c>
      <c r="I608" s="87">
        <v>6690</v>
      </c>
      <c r="J608" s="85">
        <v>683.072</v>
      </c>
      <c r="K608" s="87">
        <v>6690</v>
      </c>
      <c r="L608" s="85">
        <v>682.59500000000003</v>
      </c>
      <c r="M608" s="87">
        <v>6690</v>
      </c>
      <c r="N608" s="85">
        <v>682.91399999999999</v>
      </c>
      <c r="O608" s="87">
        <v>6670</v>
      </c>
      <c r="P608" s="85">
        <v>684.02499999999998</v>
      </c>
      <c r="Q608" s="87">
        <v>6690</v>
      </c>
      <c r="R608" s="85">
        <v>683.64400000000001</v>
      </c>
      <c r="S608" s="87">
        <v>6690</v>
      </c>
      <c r="T608" s="85">
        <v>684.30100000000004</v>
      </c>
      <c r="U608" s="87">
        <v>6680</v>
      </c>
      <c r="V608" s="85">
        <v>683.62800000000004</v>
      </c>
      <c r="W608" s="87">
        <v>6690</v>
      </c>
      <c r="X608" s="85">
        <v>683.18499999999995</v>
      </c>
      <c r="Y608" s="87">
        <v>6690</v>
      </c>
      <c r="Z608" s="85">
        <v>681.58399999999995</v>
      </c>
      <c r="AA608" s="87">
        <v>6690</v>
      </c>
      <c r="AB608" s="85">
        <v>681.73099999999999</v>
      </c>
      <c r="AC608" s="87">
        <v>6680</v>
      </c>
      <c r="AD608" s="85">
        <v>605.57600000000002</v>
      </c>
      <c r="AE608" s="87">
        <v>6690</v>
      </c>
      <c r="AF608" s="85">
        <v>607.12400000000002</v>
      </c>
      <c r="AG608" s="87">
        <v>6670</v>
      </c>
      <c r="AH608" s="85">
        <v>155.846</v>
      </c>
      <c r="AI608" s="87">
        <v>6670</v>
      </c>
      <c r="AJ608" s="85">
        <v>163.904</v>
      </c>
    </row>
    <row r="609" spans="1:36" ht="14.25" customHeight="1">
      <c r="A609" s="88">
        <v>6700</v>
      </c>
      <c r="B609" s="84">
        <v>339.60599999999999</v>
      </c>
      <c r="C609" s="88">
        <v>6710</v>
      </c>
      <c r="D609" s="85">
        <v>337.04700000000003</v>
      </c>
      <c r="E609" s="86">
        <v>6700</v>
      </c>
      <c r="F609" s="85">
        <v>771.51499999999999</v>
      </c>
      <c r="G609" s="87">
        <v>6700</v>
      </c>
      <c r="H609" s="85">
        <v>771.44799999999998</v>
      </c>
      <c r="I609" s="87">
        <v>6700</v>
      </c>
      <c r="J609" s="85">
        <v>681.86</v>
      </c>
      <c r="K609" s="87">
        <v>6700</v>
      </c>
      <c r="L609" s="85">
        <v>681.38099999999997</v>
      </c>
      <c r="M609" s="87">
        <v>6700</v>
      </c>
      <c r="N609" s="85">
        <v>681.70100000000002</v>
      </c>
      <c r="O609" s="87">
        <v>6680</v>
      </c>
      <c r="P609" s="85">
        <v>682.81200000000001</v>
      </c>
      <c r="Q609" s="87">
        <v>6700</v>
      </c>
      <c r="R609" s="85">
        <v>682.43100000000004</v>
      </c>
      <c r="S609" s="87">
        <v>6700</v>
      </c>
      <c r="T609" s="85">
        <v>683.08799999999997</v>
      </c>
      <c r="U609" s="87">
        <v>6690</v>
      </c>
      <c r="V609" s="85">
        <v>682.41700000000003</v>
      </c>
      <c r="W609" s="87">
        <v>6700</v>
      </c>
      <c r="X609" s="85">
        <v>681.97400000000005</v>
      </c>
      <c r="Y609" s="87">
        <v>6700</v>
      </c>
      <c r="Z609" s="85">
        <v>680.37199999999996</v>
      </c>
      <c r="AA609" s="87">
        <v>6700</v>
      </c>
      <c r="AB609" s="85">
        <v>680.52099999999996</v>
      </c>
      <c r="AC609" s="87">
        <v>6690</v>
      </c>
      <c r="AD609" s="85">
        <v>604.36500000000001</v>
      </c>
      <c r="AE609" s="87">
        <v>6700</v>
      </c>
      <c r="AF609" s="85">
        <v>605.91399999999999</v>
      </c>
      <c r="AG609" s="87">
        <v>6680</v>
      </c>
      <c r="AH609" s="85">
        <v>155.464</v>
      </c>
      <c r="AI609" s="87">
        <v>6680</v>
      </c>
      <c r="AJ609" s="85">
        <v>163.50800000000001</v>
      </c>
    </row>
    <row r="610" spans="1:36" ht="14.25" customHeight="1">
      <c r="A610" s="88">
        <v>6710</v>
      </c>
      <c r="B610" s="84">
        <v>338.85199999999998</v>
      </c>
      <c r="C610" s="88">
        <v>6720</v>
      </c>
      <c r="D610" s="85">
        <v>336.298</v>
      </c>
      <c r="E610" s="86">
        <v>6710</v>
      </c>
      <c r="F610" s="85">
        <v>770.03800000000001</v>
      </c>
      <c r="G610" s="87">
        <v>6710</v>
      </c>
      <c r="H610" s="85">
        <v>769.97299999999996</v>
      </c>
      <c r="I610" s="87">
        <v>6710</v>
      </c>
      <c r="J610" s="85">
        <v>680.64800000000002</v>
      </c>
      <c r="K610" s="87">
        <v>6710</v>
      </c>
      <c r="L610" s="85">
        <v>680.16800000000001</v>
      </c>
      <c r="M610" s="87">
        <v>6710</v>
      </c>
      <c r="N610" s="85">
        <v>680.48900000000003</v>
      </c>
      <c r="O610" s="87">
        <v>6690</v>
      </c>
      <c r="P610" s="85">
        <v>681.6</v>
      </c>
      <c r="Q610" s="87">
        <v>6710</v>
      </c>
      <c r="R610" s="85">
        <v>681.21900000000005</v>
      </c>
      <c r="S610" s="87">
        <v>6710</v>
      </c>
      <c r="T610" s="85">
        <v>681.87599999999998</v>
      </c>
      <c r="U610" s="87">
        <v>6700</v>
      </c>
      <c r="V610" s="85">
        <v>681.20699999999999</v>
      </c>
      <c r="W610" s="87">
        <v>6710</v>
      </c>
      <c r="X610" s="85">
        <v>680.76300000000003</v>
      </c>
      <c r="Y610" s="87">
        <v>6710</v>
      </c>
      <c r="Z610" s="85">
        <v>679.16099999999994</v>
      </c>
      <c r="AA610" s="87">
        <v>6710</v>
      </c>
      <c r="AB610" s="85">
        <v>679.31100000000004</v>
      </c>
      <c r="AC610" s="87">
        <v>6700</v>
      </c>
      <c r="AD610" s="85">
        <v>603.154</v>
      </c>
      <c r="AE610" s="87">
        <v>6710</v>
      </c>
      <c r="AF610" s="85">
        <v>604.70399999999995</v>
      </c>
      <c r="AG610" s="87">
        <v>6690</v>
      </c>
      <c r="AH610" s="85">
        <v>155.08199999999999</v>
      </c>
      <c r="AI610" s="87">
        <v>6690</v>
      </c>
      <c r="AJ610" s="85">
        <v>163.11199999999999</v>
      </c>
    </row>
    <row r="611" spans="1:36" ht="14.25" customHeight="1">
      <c r="A611" s="88">
        <v>6720</v>
      </c>
      <c r="B611" s="84">
        <v>338.09800000000001</v>
      </c>
      <c r="C611" s="88">
        <v>6730</v>
      </c>
      <c r="D611" s="85">
        <v>335.54899999999998</v>
      </c>
      <c r="E611" s="86">
        <v>6720</v>
      </c>
      <c r="F611" s="85">
        <v>768.56200000000001</v>
      </c>
      <c r="G611" s="87">
        <v>6720</v>
      </c>
      <c r="H611" s="85">
        <v>768.49900000000002</v>
      </c>
      <c r="I611" s="87">
        <v>6720</v>
      </c>
      <c r="J611" s="85">
        <v>679.43499999999995</v>
      </c>
      <c r="K611" s="87">
        <v>6720</v>
      </c>
      <c r="L611" s="85">
        <v>678.95399999999995</v>
      </c>
      <c r="M611" s="87">
        <v>6720</v>
      </c>
      <c r="N611" s="85">
        <v>679.27599999999995</v>
      </c>
      <c r="O611" s="87">
        <v>6700</v>
      </c>
      <c r="P611" s="85">
        <v>680.38699999999994</v>
      </c>
      <c r="Q611" s="87">
        <v>6720</v>
      </c>
      <c r="R611" s="85">
        <v>680.00599999999997</v>
      </c>
      <c r="S611" s="87">
        <v>6720</v>
      </c>
      <c r="T611" s="85">
        <v>680.66399999999999</v>
      </c>
      <c r="U611" s="87">
        <v>6710</v>
      </c>
      <c r="V611" s="85">
        <v>679.99699999999996</v>
      </c>
      <c r="W611" s="87">
        <v>6720</v>
      </c>
      <c r="X611" s="85">
        <v>679.55200000000002</v>
      </c>
      <c r="Y611" s="87">
        <v>6720</v>
      </c>
      <c r="Z611" s="85">
        <v>677.95</v>
      </c>
      <c r="AA611" s="87">
        <v>6720</v>
      </c>
      <c r="AB611" s="85">
        <v>678.101</v>
      </c>
      <c r="AC611" s="87">
        <v>6710</v>
      </c>
      <c r="AD611" s="85">
        <v>601.94399999999996</v>
      </c>
      <c r="AE611" s="87">
        <v>6720</v>
      </c>
      <c r="AF611" s="85">
        <v>603.49400000000003</v>
      </c>
      <c r="AG611" s="87">
        <v>6700</v>
      </c>
      <c r="AH611" s="85">
        <v>154.70099999999999</v>
      </c>
      <c r="AI611" s="87">
        <v>6700</v>
      </c>
      <c r="AJ611" s="85">
        <v>162.71600000000001</v>
      </c>
    </row>
    <row r="612" spans="1:36" ht="14.25" customHeight="1">
      <c r="A612" s="88">
        <v>6730</v>
      </c>
      <c r="B612" s="84">
        <v>337.34500000000003</v>
      </c>
      <c r="C612" s="88">
        <v>6740</v>
      </c>
      <c r="D612" s="85">
        <v>334.8</v>
      </c>
      <c r="E612" s="86">
        <v>6730</v>
      </c>
      <c r="F612" s="85">
        <v>767.08699999999999</v>
      </c>
      <c r="G612" s="87">
        <v>6730</v>
      </c>
      <c r="H612" s="85">
        <v>767.02499999999998</v>
      </c>
      <c r="I612" s="87">
        <v>6730</v>
      </c>
      <c r="J612" s="85">
        <v>678.22299999999996</v>
      </c>
      <c r="K612" s="87">
        <v>6730</v>
      </c>
      <c r="L612" s="85">
        <v>677.74099999999999</v>
      </c>
      <c r="M612" s="87">
        <v>6730</v>
      </c>
      <c r="N612" s="85">
        <v>678.06399999999996</v>
      </c>
      <c r="O612" s="87">
        <v>6710</v>
      </c>
      <c r="P612" s="85">
        <v>679.17399999999998</v>
      </c>
      <c r="Q612" s="87">
        <v>6730</v>
      </c>
      <c r="R612" s="85">
        <v>678.79399999999998</v>
      </c>
      <c r="S612" s="87">
        <v>6730</v>
      </c>
      <c r="T612" s="85">
        <v>679.452</v>
      </c>
      <c r="U612" s="87">
        <v>6720</v>
      </c>
      <c r="V612" s="85">
        <v>678.78700000000003</v>
      </c>
      <c r="W612" s="87">
        <v>6730</v>
      </c>
      <c r="X612" s="85">
        <v>678.34100000000001</v>
      </c>
      <c r="Y612" s="87">
        <v>6730</v>
      </c>
      <c r="Z612" s="85">
        <v>676.73900000000003</v>
      </c>
      <c r="AA612" s="87">
        <v>6730</v>
      </c>
      <c r="AB612" s="85">
        <v>676.89099999999996</v>
      </c>
      <c r="AC612" s="87">
        <v>6720</v>
      </c>
      <c r="AD612" s="85">
        <v>600.73299999999995</v>
      </c>
      <c r="AE612" s="87">
        <v>6730</v>
      </c>
      <c r="AF612" s="85">
        <v>602.28399999999999</v>
      </c>
      <c r="AG612" s="87">
        <v>6710</v>
      </c>
      <c r="AH612" s="85">
        <v>154.31899999999999</v>
      </c>
      <c r="AI612" s="87">
        <v>6710</v>
      </c>
      <c r="AJ612" s="85">
        <v>162.32</v>
      </c>
    </row>
    <row r="613" spans="1:36" ht="14.25" customHeight="1">
      <c r="A613" s="88">
        <v>6740</v>
      </c>
      <c r="B613" s="84">
        <v>336.59100000000001</v>
      </c>
      <c r="C613" s="88">
        <v>6750</v>
      </c>
      <c r="D613" s="85">
        <v>334.05200000000002</v>
      </c>
      <c r="E613" s="86">
        <v>6740</v>
      </c>
      <c r="F613" s="85">
        <v>765.61099999999999</v>
      </c>
      <c r="G613" s="87">
        <v>6740</v>
      </c>
      <c r="H613" s="85">
        <v>765.55100000000004</v>
      </c>
      <c r="I613" s="87">
        <v>6740</v>
      </c>
      <c r="J613" s="85">
        <v>677.01</v>
      </c>
      <c r="K613" s="87">
        <v>6740</v>
      </c>
      <c r="L613" s="85">
        <v>676.52700000000004</v>
      </c>
      <c r="M613" s="87">
        <v>6740</v>
      </c>
      <c r="N613" s="85">
        <v>676.851</v>
      </c>
      <c r="O613" s="87">
        <v>6720</v>
      </c>
      <c r="P613" s="85">
        <v>677.96199999999999</v>
      </c>
      <c r="Q613" s="87">
        <v>6740</v>
      </c>
      <c r="R613" s="85">
        <v>677.58100000000002</v>
      </c>
      <c r="S613" s="87">
        <v>6740</v>
      </c>
      <c r="T613" s="85">
        <v>678.24</v>
      </c>
      <c r="U613" s="87">
        <v>6730</v>
      </c>
      <c r="V613" s="85">
        <v>677.577</v>
      </c>
      <c r="W613" s="87">
        <v>6740</v>
      </c>
      <c r="X613" s="85">
        <v>677.13099999999997</v>
      </c>
      <c r="Y613" s="87">
        <v>6740</v>
      </c>
      <c r="Z613" s="85">
        <v>675.52800000000002</v>
      </c>
      <c r="AA613" s="87">
        <v>6740</v>
      </c>
      <c r="AB613" s="85">
        <v>675.68100000000004</v>
      </c>
      <c r="AC613" s="87">
        <v>6730</v>
      </c>
      <c r="AD613" s="85">
        <v>599.52200000000005</v>
      </c>
      <c r="AE613" s="87">
        <v>6740</v>
      </c>
      <c r="AF613" s="85">
        <v>601.07399999999996</v>
      </c>
      <c r="AG613" s="87">
        <v>6720</v>
      </c>
      <c r="AH613" s="85">
        <v>153.93799999999999</v>
      </c>
      <c r="AI613" s="87">
        <v>6720</v>
      </c>
      <c r="AJ613" s="85">
        <v>161.92500000000001</v>
      </c>
    </row>
    <row r="614" spans="1:36" ht="14.25" customHeight="1">
      <c r="A614" s="88">
        <v>6750</v>
      </c>
      <c r="B614" s="84">
        <v>335.83800000000002</v>
      </c>
      <c r="C614" s="88">
        <v>6760</v>
      </c>
      <c r="D614" s="85">
        <v>333.303</v>
      </c>
      <c r="E614" s="86">
        <v>6750</v>
      </c>
      <c r="F614" s="85">
        <v>764.13499999999999</v>
      </c>
      <c r="G614" s="87">
        <v>6750</v>
      </c>
      <c r="H614" s="85">
        <v>764.077</v>
      </c>
      <c r="I614" s="87">
        <v>6750</v>
      </c>
      <c r="J614" s="85">
        <v>675.798</v>
      </c>
      <c r="K614" s="87">
        <v>6750</v>
      </c>
      <c r="L614" s="85">
        <v>675.31299999999999</v>
      </c>
      <c r="M614" s="87">
        <v>6750</v>
      </c>
      <c r="N614" s="85">
        <v>675.63900000000001</v>
      </c>
      <c r="O614" s="87">
        <v>6730</v>
      </c>
      <c r="P614" s="85">
        <v>676.74900000000002</v>
      </c>
      <c r="Q614" s="87">
        <v>6750</v>
      </c>
      <c r="R614" s="85">
        <v>676.36900000000003</v>
      </c>
      <c r="S614" s="87">
        <v>6750</v>
      </c>
      <c r="T614" s="85">
        <v>677.02700000000004</v>
      </c>
      <c r="U614" s="87">
        <v>6740</v>
      </c>
      <c r="V614" s="85">
        <v>676.36699999999996</v>
      </c>
      <c r="W614" s="87">
        <v>6750</v>
      </c>
      <c r="X614" s="85">
        <v>675.92</v>
      </c>
      <c r="Y614" s="87">
        <v>6750</v>
      </c>
      <c r="Z614" s="85">
        <v>674.31600000000003</v>
      </c>
      <c r="AA614" s="87">
        <v>6750</v>
      </c>
      <c r="AB614" s="85">
        <v>674.471</v>
      </c>
      <c r="AC614" s="87">
        <v>6740</v>
      </c>
      <c r="AD614" s="85">
        <v>598.31200000000001</v>
      </c>
      <c r="AE614" s="87">
        <v>6750</v>
      </c>
      <c r="AF614" s="85">
        <v>599.86500000000001</v>
      </c>
      <c r="AG614" s="87">
        <v>6730</v>
      </c>
      <c r="AH614" s="85">
        <v>153.55600000000001</v>
      </c>
      <c r="AI614" s="87">
        <v>6730</v>
      </c>
      <c r="AJ614" s="85">
        <v>161.529</v>
      </c>
    </row>
    <row r="615" spans="1:36" ht="14.25" customHeight="1">
      <c r="A615" s="88">
        <v>6760</v>
      </c>
      <c r="B615" s="84">
        <v>335.08499999999998</v>
      </c>
      <c r="C615" s="88">
        <v>6770</v>
      </c>
      <c r="D615" s="85">
        <v>332.55500000000001</v>
      </c>
      <c r="E615" s="86">
        <v>6760</v>
      </c>
      <c r="F615" s="85">
        <v>762.65899999999999</v>
      </c>
      <c r="G615" s="87">
        <v>6760</v>
      </c>
      <c r="H615" s="85">
        <v>762.60299999999995</v>
      </c>
      <c r="I615" s="87">
        <v>6760</v>
      </c>
      <c r="J615" s="85">
        <v>674.58500000000004</v>
      </c>
      <c r="K615" s="87">
        <v>6760</v>
      </c>
      <c r="L615" s="85">
        <v>674.1</v>
      </c>
      <c r="M615" s="87">
        <v>6760</v>
      </c>
      <c r="N615" s="85">
        <v>674.42700000000002</v>
      </c>
      <c r="O615" s="87">
        <v>6740</v>
      </c>
      <c r="P615" s="85">
        <v>675.53599999999994</v>
      </c>
      <c r="Q615" s="87">
        <v>6760</v>
      </c>
      <c r="R615" s="85">
        <v>675.15599999999995</v>
      </c>
      <c r="S615" s="87">
        <v>6760</v>
      </c>
      <c r="T615" s="85">
        <v>675.81500000000005</v>
      </c>
      <c r="U615" s="87">
        <v>6750</v>
      </c>
      <c r="V615" s="85">
        <v>675.15700000000004</v>
      </c>
      <c r="W615" s="87">
        <v>6760</v>
      </c>
      <c r="X615" s="85">
        <v>674.70899999999995</v>
      </c>
      <c r="Y615" s="87">
        <v>6760</v>
      </c>
      <c r="Z615" s="85">
        <v>673.10500000000002</v>
      </c>
      <c r="AA615" s="87">
        <v>6760</v>
      </c>
      <c r="AB615" s="85">
        <v>673.26099999999997</v>
      </c>
      <c r="AC615" s="87">
        <v>6750</v>
      </c>
      <c r="AD615" s="85">
        <v>597.101</v>
      </c>
      <c r="AE615" s="87">
        <v>6760</v>
      </c>
      <c r="AF615" s="85">
        <v>598.65499999999997</v>
      </c>
      <c r="AG615" s="87">
        <v>6740</v>
      </c>
      <c r="AH615" s="85">
        <v>153.17500000000001</v>
      </c>
      <c r="AI615" s="87">
        <v>6740</v>
      </c>
      <c r="AJ615" s="85">
        <v>161.13399999999999</v>
      </c>
    </row>
    <row r="616" spans="1:36" ht="14.25" customHeight="1">
      <c r="A616" s="88">
        <v>6770</v>
      </c>
      <c r="B616" s="84">
        <v>334.33300000000003</v>
      </c>
      <c r="C616" s="88">
        <v>6780</v>
      </c>
      <c r="D616" s="85">
        <v>331.80700000000002</v>
      </c>
      <c r="E616" s="86">
        <v>6770</v>
      </c>
      <c r="F616" s="85">
        <v>761.18399999999997</v>
      </c>
      <c r="G616" s="87">
        <v>6770</v>
      </c>
      <c r="H616" s="85">
        <v>761.12900000000002</v>
      </c>
      <c r="I616" s="87">
        <v>6770</v>
      </c>
      <c r="J616" s="85">
        <v>673.37300000000005</v>
      </c>
      <c r="K616" s="87">
        <v>6770</v>
      </c>
      <c r="L616" s="85">
        <v>672.88599999999997</v>
      </c>
      <c r="M616" s="87">
        <v>6770</v>
      </c>
      <c r="N616" s="85">
        <v>673.21400000000006</v>
      </c>
      <c r="O616" s="87">
        <v>6750</v>
      </c>
      <c r="P616" s="85">
        <v>674.32399999999996</v>
      </c>
      <c r="Q616" s="87">
        <v>6770</v>
      </c>
      <c r="R616" s="85">
        <v>673.94399999999996</v>
      </c>
      <c r="S616" s="87">
        <v>6770</v>
      </c>
      <c r="T616" s="85">
        <v>674.60299999999995</v>
      </c>
      <c r="U616" s="87">
        <v>6760</v>
      </c>
      <c r="V616" s="85">
        <v>673.947</v>
      </c>
      <c r="W616" s="87">
        <v>6770</v>
      </c>
      <c r="X616" s="85">
        <v>673.49800000000005</v>
      </c>
      <c r="Y616" s="87">
        <v>6770</v>
      </c>
      <c r="Z616" s="85">
        <v>671.89400000000001</v>
      </c>
      <c r="AA616" s="87">
        <v>6770</v>
      </c>
      <c r="AB616" s="85">
        <v>672.05100000000004</v>
      </c>
      <c r="AC616" s="87">
        <v>6760</v>
      </c>
      <c r="AD616" s="85">
        <v>595.89099999999996</v>
      </c>
      <c r="AE616" s="87">
        <v>6770</v>
      </c>
      <c r="AF616" s="85">
        <v>597.44500000000005</v>
      </c>
      <c r="AG616" s="87">
        <v>6750</v>
      </c>
      <c r="AH616" s="85">
        <v>152.79400000000001</v>
      </c>
      <c r="AI616" s="87">
        <v>6750</v>
      </c>
      <c r="AJ616" s="85">
        <v>160.738</v>
      </c>
    </row>
    <row r="617" spans="1:36" ht="14.25" customHeight="1">
      <c r="A617" s="88">
        <v>6780</v>
      </c>
      <c r="B617" s="84">
        <v>333.58</v>
      </c>
      <c r="C617" s="88">
        <v>6790</v>
      </c>
      <c r="D617" s="85">
        <v>331.05900000000003</v>
      </c>
      <c r="E617" s="86">
        <v>6780</v>
      </c>
      <c r="F617" s="85">
        <v>759.70899999999995</v>
      </c>
      <c r="G617" s="87">
        <v>6780</v>
      </c>
      <c r="H617" s="85">
        <v>759.65599999999995</v>
      </c>
      <c r="I617" s="87">
        <v>6780</v>
      </c>
      <c r="J617" s="85">
        <v>672.16</v>
      </c>
      <c r="K617" s="87">
        <v>6780</v>
      </c>
      <c r="L617" s="85">
        <v>671.673</v>
      </c>
      <c r="M617" s="87">
        <v>6780</v>
      </c>
      <c r="N617" s="85">
        <v>672.00199999999995</v>
      </c>
      <c r="O617" s="87">
        <v>6760</v>
      </c>
      <c r="P617" s="85">
        <v>673.11099999999999</v>
      </c>
      <c r="Q617" s="87">
        <v>6780</v>
      </c>
      <c r="R617" s="85">
        <v>672.73099999999999</v>
      </c>
      <c r="S617" s="87">
        <v>6780</v>
      </c>
      <c r="T617" s="85">
        <v>673.39099999999996</v>
      </c>
      <c r="U617" s="87">
        <v>6770</v>
      </c>
      <c r="V617" s="85">
        <v>672.73699999999997</v>
      </c>
      <c r="W617" s="87">
        <v>6780</v>
      </c>
      <c r="X617" s="85">
        <v>672.28700000000003</v>
      </c>
      <c r="Y617" s="87">
        <v>6780</v>
      </c>
      <c r="Z617" s="85">
        <v>670.68299999999999</v>
      </c>
      <c r="AA617" s="87">
        <v>6780</v>
      </c>
      <c r="AB617" s="85">
        <v>670.84100000000001</v>
      </c>
      <c r="AC617" s="87">
        <v>6770</v>
      </c>
      <c r="AD617" s="85">
        <v>594.67999999999995</v>
      </c>
      <c r="AE617" s="87">
        <v>6780</v>
      </c>
      <c r="AF617" s="85">
        <v>596.23500000000001</v>
      </c>
      <c r="AG617" s="87">
        <v>6760</v>
      </c>
      <c r="AH617" s="85">
        <v>152.41300000000001</v>
      </c>
      <c r="AI617" s="87">
        <v>6760</v>
      </c>
      <c r="AJ617" s="85">
        <v>160.34299999999999</v>
      </c>
    </row>
    <row r="618" spans="1:36" ht="14.25" customHeight="1">
      <c r="A618" s="88">
        <v>6790</v>
      </c>
      <c r="B618" s="84">
        <v>332.82799999999997</v>
      </c>
      <c r="C618" s="88">
        <v>6800</v>
      </c>
      <c r="D618" s="85">
        <v>330.31099999999998</v>
      </c>
      <c r="E618" s="86">
        <v>6790</v>
      </c>
      <c r="F618" s="85">
        <v>758.23299999999995</v>
      </c>
      <c r="G618" s="87">
        <v>6790</v>
      </c>
      <c r="H618" s="85">
        <v>758.18200000000002</v>
      </c>
      <c r="I618" s="87">
        <v>6790</v>
      </c>
      <c r="J618" s="85">
        <v>670.94799999999998</v>
      </c>
      <c r="K618" s="87">
        <v>6790</v>
      </c>
      <c r="L618" s="85">
        <v>670.45899999999995</v>
      </c>
      <c r="M618" s="87">
        <v>6790</v>
      </c>
      <c r="N618" s="85">
        <v>670.78899999999999</v>
      </c>
      <c r="O618" s="87">
        <v>6770</v>
      </c>
      <c r="P618" s="85">
        <v>671.89800000000002</v>
      </c>
      <c r="Q618" s="87">
        <v>6790</v>
      </c>
      <c r="R618" s="85">
        <v>671.51900000000001</v>
      </c>
      <c r="S618" s="87">
        <v>6790</v>
      </c>
      <c r="T618" s="85">
        <v>672.17899999999997</v>
      </c>
      <c r="U618" s="87">
        <v>6780</v>
      </c>
      <c r="V618" s="85">
        <v>671.52700000000004</v>
      </c>
      <c r="W618" s="87">
        <v>6790</v>
      </c>
      <c r="X618" s="85">
        <v>671.07600000000002</v>
      </c>
      <c r="Y618" s="87">
        <v>6790</v>
      </c>
      <c r="Z618" s="85">
        <v>669.47199999999998</v>
      </c>
      <c r="AA618" s="87">
        <v>6790</v>
      </c>
      <c r="AB618" s="85">
        <v>669.63099999999997</v>
      </c>
      <c r="AC618" s="87">
        <v>6780</v>
      </c>
      <c r="AD618" s="85">
        <v>593.46900000000005</v>
      </c>
      <c r="AE618" s="87">
        <v>6790</v>
      </c>
      <c r="AF618" s="85">
        <v>595.02499999999998</v>
      </c>
      <c r="AG618" s="87">
        <v>6770</v>
      </c>
      <c r="AH618" s="85">
        <v>152.03200000000001</v>
      </c>
      <c r="AI618" s="87">
        <v>6770</v>
      </c>
      <c r="AJ618" s="85">
        <v>159.94800000000001</v>
      </c>
    </row>
    <row r="619" spans="1:36" ht="14.25" customHeight="1">
      <c r="A619" s="88">
        <v>6800</v>
      </c>
      <c r="B619" s="84">
        <v>332.07600000000002</v>
      </c>
      <c r="C619" s="88">
        <v>6810</v>
      </c>
      <c r="D619" s="85">
        <v>329.56400000000002</v>
      </c>
      <c r="E619" s="86">
        <v>6800</v>
      </c>
      <c r="F619" s="85">
        <v>756.75800000000004</v>
      </c>
      <c r="G619" s="87">
        <v>6800</v>
      </c>
      <c r="H619" s="85">
        <v>756.70899999999995</v>
      </c>
      <c r="I619" s="87">
        <v>6800</v>
      </c>
      <c r="J619" s="85">
        <v>669.73500000000001</v>
      </c>
      <c r="K619" s="87">
        <v>6800</v>
      </c>
      <c r="L619" s="85">
        <v>669.24599999999998</v>
      </c>
      <c r="M619" s="87">
        <v>6800</v>
      </c>
      <c r="N619" s="85">
        <v>669.577</v>
      </c>
      <c r="O619" s="87">
        <v>6780</v>
      </c>
      <c r="P619" s="85">
        <v>670.68600000000004</v>
      </c>
      <c r="Q619" s="87">
        <v>6800</v>
      </c>
      <c r="R619" s="85">
        <v>670.30700000000002</v>
      </c>
      <c r="S619" s="87">
        <v>6800</v>
      </c>
      <c r="T619" s="85">
        <v>670.96600000000001</v>
      </c>
      <c r="U619" s="87">
        <v>6790</v>
      </c>
      <c r="V619" s="85">
        <v>670.31700000000001</v>
      </c>
      <c r="W619" s="87">
        <v>6800</v>
      </c>
      <c r="X619" s="85">
        <v>669.86500000000001</v>
      </c>
      <c r="Y619" s="87">
        <v>6800</v>
      </c>
      <c r="Z619" s="85">
        <v>668.26</v>
      </c>
      <c r="AA619" s="87">
        <v>6800</v>
      </c>
      <c r="AB619" s="85">
        <v>668.42100000000005</v>
      </c>
      <c r="AC619" s="87">
        <v>6790</v>
      </c>
      <c r="AD619" s="85">
        <v>592.25900000000001</v>
      </c>
      <c r="AE619" s="87">
        <v>6800</v>
      </c>
      <c r="AF619" s="85">
        <v>593.81500000000005</v>
      </c>
      <c r="AG619" s="87">
        <v>6780</v>
      </c>
      <c r="AH619" s="85">
        <v>151.65100000000001</v>
      </c>
      <c r="AI619" s="87">
        <v>6780</v>
      </c>
      <c r="AJ619" s="85">
        <v>159.553</v>
      </c>
    </row>
    <row r="620" spans="1:36" ht="14.25" customHeight="1">
      <c r="A620" s="88">
        <v>6810</v>
      </c>
      <c r="B620" s="84">
        <v>331.32400000000001</v>
      </c>
      <c r="C620" s="88">
        <v>6820</v>
      </c>
      <c r="D620" s="85">
        <v>328.81700000000001</v>
      </c>
      <c r="E620" s="86">
        <v>6810</v>
      </c>
      <c r="F620" s="85">
        <v>755.28300000000002</v>
      </c>
      <c r="G620" s="87">
        <v>6810</v>
      </c>
      <c r="H620" s="85">
        <v>755.23500000000001</v>
      </c>
      <c r="I620" s="87">
        <v>6810</v>
      </c>
      <c r="J620" s="85">
        <v>668.52300000000002</v>
      </c>
      <c r="K620" s="87">
        <v>6810</v>
      </c>
      <c r="L620" s="85">
        <v>668.03200000000004</v>
      </c>
      <c r="M620" s="87">
        <v>6810</v>
      </c>
      <c r="N620" s="85">
        <v>668.36500000000001</v>
      </c>
      <c r="O620" s="87">
        <v>6790</v>
      </c>
      <c r="P620" s="85">
        <v>669.47299999999996</v>
      </c>
      <c r="Q620" s="87">
        <v>6810</v>
      </c>
      <c r="R620" s="85">
        <v>669.09400000000005</v>
      </c>
      <c r="S620" s="87">
        <v>6810</v>
      </c>
      <c r="T620" s="85">
        <v>669.75400000000002</v>
      </c>
      <c r="U620" s="87">
        <v>6800</v>
      </c>
      <c r="V620" s="85">
        <v>669.10699999999997</v>
      </c>
      <c r="W620" s="87">
        <v>6810</v>
      </c>
      <c r="X620" s="85">
        <v>668.654</v>
      </c>
      <c r="Y620" s="87">
        <v>6810</v>
      </c>
      <c r="Z620" s="85">
        <v>667.04899999999998</v>
      </c>
      <c r="AA620" s="87">
        <v>6810</v>
      </c>
      <c r="AB620" s="85">
        <v>667.21100000000001</v>
      </c>
      <c r="AC620" s="87">
        <v>6800</v>
      </c>
      <c r="AD620" s="85">
        <v>591.048</v>
      </c>
      <c r="AE620" s="87">
        <v>6810</v>
      </c>
      <c r="AF620" s="85">
        <v>592.60500000000002</v>
      </c>
      <c r="AG620" s="87">
        <v>6790</v>
      </c>
      <c r="AH620" s="85">
        <v>151.27099999999999</v>
      </c>
      <c r="AI620" s="87">
        <v>6790</v>
      </c>
      <c r="AJ620" s="85">
        <v>159.15799999999999</v>
      </c>
    </row>
    <row r="621" spans="1:36" ht="14.25" customHeight="1">
      <c r="A621" s="88">
        <v>6820</v>
      </c>
      <c r="B621" s="84">
        <v>330.572</v>
      </c>
      <c r="C621" s="88">
        <v>6830</v>
      </c>
      <c r="D621" s="85">
        <v>328.07</v>
      </c>
      <c r="E621" s="86">
        <v>6820</v>
      </c>
      <c r="F621" s="85">
        <v>753.80899999999997</v>
      </c>
      <c r="G621" s="87">
        <v>6820</v>
      </c>
      <c r="H621" s="85">
        <v>753.76199999999994</v>
      </c>
      <c r="I621" s="87">
        <v>6820</v>
      </c>
      <c r="J621" s="85">
        <v>667.31</v>
      </c>
      <c r="K621" s="87">
        <v>6820</v>
      </c>
      <c r="L621" s="85">
        <v>666.81799999999998</v>
      </c>
      <c r="M621" s="87">
        <v>6820</v>
      </c>
      <c r="N621" s="85">
        <v>667.15200000000004</v>
      </c>
      <c r="O621" s="87">
        <v>6800</v>
      </c>
      <c r="P621" s="85">
        <v>668.26</v>
      </c>
      <c r="Q621" s="87">
        <v>6820</v>
      </c>
      <c r="R621" s="85">
        <v>667.88199999999995</v>
      </c>
      <c r="S621" s="87">
        <v>6820</v>
      </c>
      <c r="T621" s="85">
        <v>668.54200000000003</v>
      </c>
      <c r="U621" s="87">
        <v>6810</v>
      </c>
      <c r="V621" s="85">
        <v>667.89700000000005</v>
      </c>
      <c r="W621" s="87">
        <v>6820</v>
      </c>
      <c r="X621" s="85">
        <v>667.44299999999998</v>
      </c>
      <c r="Y621" s="87">
        <v>6820</v>
      </c>
      <c r="Z621" s="85">
        <v>665.83799999999997</v>
      </c>
      <c r="AA621" s="87">
        <v>6820</v>
      </c>
      <c r="AB621" s="85">
        <v>666.00099999999998</v>
      </c>
      <c r="AC621" s="87">
        <v>6810</v>
      </c>
      <c r="AD621" s="85">
        <v>589.83799999999997</v>
      </c>
      <c r="AE621" s="87">
        <v>6820</v>
      </c>
      <c r="AF621" s="85">
        <v>591.39499999999998</v>
      </c>
      <c r="AG621" s="87">
        <v>6800</v>
      </c>
      <c r="AH621" s="85">
        <v>150.88999999999999</v>
      </c>
      <c r="AI621" s="87">
        <v>6800</v>
      </c>
      <c r="AJ621" s="85">
        <v>158.76300000000001</v>
      </c>
    </row>
    <row r="622" spans="1:36" ht="14.25" customHeight="1">
      <c r="A622" s="88">
        <v>6830</v>
      </c>
      <c r="B622" s="84">
        <v>329.82</v>
      </c>
      <c r="C622" s="88">
        <v>6840</v>
      </c>
      <c r="D622" s="85">
        <v>327.32299999999998</v>
      </c>
      <c r="E622" s="86">
        <v>6830</v>
      </c>
      <c r="F622" s="85">
        <v>752.33399999999995</v>
      </c>
      <c r="G622" s="87">
        <v>6830</v>
      </c>
      <c r="H622" s="85">
        <v>752.28899999999999</v>
      </c>
      <c r="I622" s="87">
        <v>6830</v>
      </c>
      <c r="J622" s="85">
        <v>666.09799999999996</v>
      </c>
      <c r="K622" s="87">
        <v>6830</v>
      </c>
      <c r="L622" s="85">
        <v>665.60500000000002</v>
      </c>
      <c r="M622" s="87">
        <v>6830</v>
      </c>
      <c r="N622" s="85">
        <v>665.94</v>
      </c>
      <c r="O622" s="87">
        <v>6810</v>
      </c>
      <c r="P622" s="85">
        <v>667.048</v>
      </c>
      <c r="Q622" s="87">
        <v>6830</v>
      </c>
      <c r="R622" s="85">
        <v>666.66899999999998</v>
      </c>
      <c r="S622" s="87">
        <v>6830</v>
      </c>
      <c r="T622" s="85">
        <v>667.33</v>
      </c>
      <c r="U622" s="87">
        <v>6820</v>
      </c>
      <c r="V622" s="85">
        <v>666.68700000000001</v>
      </c>
      <c r="W622" s="87">
        <v>6830</v>
      </c>
      <c r="X622" s="85">
        <v>666.23199999999997</v>
      </c>
      <c r="Y622" s="87">
        <v>6830</v>
      </c>
      <c r="Z622" s="85">
        <v>664.62699999999995</v>
      </c>
      <c r="AA622" s="87">
        <v>6830</v>
      </c>
      <c r="AB622" s="85">
        <v>664.79100000000005</v>
      </c>
      <c r="AC622" s="87">
        <v>6820</v>
      </c>
      <c r="AD622" s="85">
        <v>588.62699999999995</v>
      </c>
      <c r="AE622" s="87">
        <v>6830</v>
      </c>
      <c r="AF622" s="85">
        <v>590.18499999999995</v>
      </c>
      <c r="AG622" s="87">
        <v>6810</v>
      </c>
      <c r="AH622" s="85">
        <v>150.51</v>
      </c>
      <c r="AI622" s="87">
        <v>6810</v>
      </c>
      <c r="AJ622" s="85">
        <v>158.369</v>
      </c>
    </row>
    <row r="623" spans="1:36" ht="14.25" customHeight="1">
      <c r="A623" s="88">
        <v>6840</v>
      </c>
      <c r="B623" s="84">
        <v>329.06900000000002</v>
      </c>
      <c r="C623" s="88">
        <v>6850</v>
      </c>
      <c r="D623" s="85">
        <v>326.577</v>
      </c>
      <c r="E623" s="86">
        <v>6840</v>
      </c>
      <c r="F623" s="85">
        <v>750.85900000000004</v>
      </c>
      <c r="G623" s="87">
        <v>6840</v>
      </c>
      <c r="H623" s="85">
        <v>750.81600000000003</v>
      </c>
      <c r="I623" s="87">
        <v>6840</v>
      </c>
      <c r="J623" s="85">
        <v>664.88599999999997</v>
      </c>
      <c r="K623" s="87">
        <v>6840</v>
      </c>
      <c r="L623" s="85">
        <v>664.39099999999996</v>
      </c>
      <c r="M623" s="87">
        <v>6840</v>
      </c>
      <c r="N623" s="85">
        <v>664.72799999999995</v>
      </c>
      <c r="O623" s="87">
        <v>6820</v>
      </c>
      <c r="P623" s="85">
        <v>665.83500000000004</v>
      </c>
      <c r="Q623" s="87">
        <v>6840</v>
      </c>
      <c r="R623" s="85">
        <v>665.45699999999999</v>
      </c>
      <c r="S623" s="87">
        <v>6840</v>
      </c>
      <c r="T623" s="85">
        <v>666.11800000000005</v>
      </c>
      <c r="U623" s="87">
        <v>6830</v>
      </c>
      <c r="V623" s="85">
        <v>665.47699999999998</v>
      </c>
      <c r="W623" s="87">
        <v>6840</v>
      </c>
      <c r="X623" s="85">
        <v>665.02099999999996</v>
      </c>
      <c r="Y623" s="87">
        <v>6840</v>
      </c>
      <c r="Z623" s="85">
        <v>663.41600000000005</v>
      </c>
      <c r="AA623" s="87">
        <v>6840</v>
      </c>
      <c r="AB623" s="85">
        <v>663.58100000000002</v>
      </c>
      <c r="AC623" s="87">
        <v>6830</v>
      </c>
      <c r="AD623" s="85">
        <v>587.41600000000005</v>
      </c>
      <c r="AE623" s="87">
        <v>6840</v>
      </c>
      <c r="AF623" s="85">
        <v>588.97500000000002</v>
      </c>
      <c r="AG623" s="87">
        <v>6820</v>
      </c>
      <c r="AH623" s="85">
        <v>150.12899999999999</v>
      </c>
      <c r="AI623" s="87">
        <v>6820</v>
      </c>
      <c r="AJ623" s="85">
        <v>157.97399999999999</v>
      </c>
    </row>
    <row r="624" spans="1:36" ht="14.25" customHeight="1">
      <c r="A624" s="88">
        <v>6850</v>
      </c>
      <c r="B624" s="84">
        <v>328.31799999999998</v>
      </c>
      <c r="C624" s="88">
        <v>6860</v>
      </c>
      <c r="D624" s="85">
        <v>325.83</v>
      </c>
      <c r="E624" s="86">
        <v>6850</v>
      </c>
      <c r="F624" s="85">
        <v>749.38499999999999</v>
      </c>
      <c r="G624" s="87">
        <v>6850</v>
      </c>
      <c r="H624" s="85">
        <v>749.34299999999996</v>
      </c>
      <c r="I624" s="87">
        <v>6850</v>
      </c>
      <c r="J624" s="85">
        <v>663.673</v>
      </c>
      <c r="K624" s="87">
        <v>6850</v>
      </c>
      <c r="L624" s="85">
        <v>663.178</v>
      </c>
      <c r="M624" s="87">
        <v>6850</v>
      </c>
      <c r="N624" s="85">
        <v>663.51499999999999</v>
      </c>
      <c r="O624" s="87">
        <v>6830</v>
      </c>
      <c r="P624" s="85">
        <v>664.62199999999996</v>
      </c>
      <c r="Q624" s="87">
        <v>6850</v>
      </c>
      <c r="R624" s="85">
        <v>664.24400000000003</v>
      </c>
      <c r="S624" s="87">
        <v>6850</v>
      </c>
      <c r="T624" s="85">
        <v>664.90499999999997</v>
      </c>
      <c r="U624" s="87">
        <v>6840</v>
      </c>
      <c r="V624" s="85">
        <v>664.26700000000005</v>
      </c>
      <c r="W624" s="87">
        <v>6850</v>
      </c>
      <c r="X624" s="85">
        <v>663.81</v>
      </c>
      <c r="Y624" s="87">
        <v>6850</v>
      </c>
      <c r="Z624" s="85">
        <v>662.20399999999995</v>
      </c>
      <c r="AA624" s="87">
        <v>6850</v>
      </c>
      <c r="AB624" s="85">
        <v>662.37099999999998</v>
      </c>
      <c r="AC624" s="87">
        <v>6840</v>
      </c>
      <c r="AD624" s="85">
        <v>586.20600000000002</v>
      </c>
      <c r="AE624" s="87">
        <v>6850</v>
      </c>
      <c r="AF624" s="85">
        <v>587.76499999999999</v>
      </c>
      <c r="AG624" s="87">
        <v>6830</v>
      </c>
      <c r="AH624" s="85">
        <v>149.749</v>
      </c>
      <c r="AI624" s="87">
        <v>6830</v>
      </c>
      <c r="AJ624" s="85">
        <v>157.58000000000001</v>
      </c>
    </row>
    <row r="625" spans="1:36" ht="14.25" customHeight="1">
      <c r="A625" s="88">
        <v>6860</v>
      </c>
      <c r="B625" s="84">
        <v>327.56700000000001</v>
      </c>
      <c r="C625" s="88">
        <v>6870</v>
      </c>
      <c r="D625" s="85">
        <v>325.084</v>
      </c>
      <c r="E625" s="86">
        <v>6860</v>
      </c>
      <c r="F625" s="85">
        <v>747.91</v>
      </c>
      <c r="G625" s="87">
        <v>6860</v>
      </c>
      <c r="H625" s="85">
        <v>747.87</v>
      </c>
      <c r="I625" s="87">
        <v>6860</v>
      </c>
      <c r="J625" s="85">
        <v>662.46100000000001</v>
      </c>
      <c r="K625" s="87">
        <v>6860</v>
      </c>
      <c r="L625" s="85">
        <v>661.96400000000006</v>
      </c>
      <c r="M625" s="87">
        <v>6860</v>
      </c>
      <c r="N625" s="85">
        <v>662.303</v>
      </c>
      <c r="O625" s="87">
        <v>6840</v>
      </c>
      <c r="P625" s="85">
        <v>663.41</v>
      </c>
      <c r="Q625" s="87">
        <v>6860</v>
      </c>
      <c r="R625" s="85">
        <v>663.03200000000004</v>
      </c>
      <c r="S625" s="87">
        <v>6860</v>
      </c>
      <c r="T625" s="85">
        <v>663.69299999999998</v>
      </c>
      <c r="U625" s="87">
        <v>6850</v>
      </c>
      <c r="V625" s="85">
        <v>663.05700000000002</v>
      </c>
      <c r="W625" s="87">
        <v>6860</v>
      </c>
      <c r="X625" s="85">
        <v>662.59900000000005</v>
      </c>
      <c r="Y625" s="87">
        <v>6860</v>
      </c>
      <c r="Z625" s="85">
        <v>660.99300000000005</v>
      </c>
      <c r="AA625" s="87">
        <v>6860</v>
      </c>
      <c r="AB625" s="85">
        <v>661.16099999999994</v>
      </c>
      <c r="AC625" s="87">
        <v>6850</v>
      </c>
      <c r="AD625" s="85">
        <v>584.995</v>
      </c>
      <c r="AE625" s="87">
        <v>6860</v>
      </c>
      <c r="AF625" s="85">
        <v>586.55499999999995</v>
      </c>
      <c r="AG625" s="87">
        <v>6840</v>
      </c>
      <c r="AH625" s="85">
        <v>149.369</v>
      </c>
      <c r="AI625" s="87">
        <v>6840</v>
      </c>
      <c r="AJ625" s="85">
        <v>157.185</v>
      </c>
    </row>
    <row r="626" spans="1:36" ht="14.25" customHeight="1">
      <c r="A626" s="88">
        <v>6870</v>
      </c>
      <c r="B626" s="84">
        <v>326.81599999999997</v>
      </c>
      <c r="C626" s="88">
        <v>6880</v>
      </c>
      <c r="D626" s="85">
        <v>324.33800000000002</v>
      </c>
      <c r="E626" s="86">
        <v>6870</v>
      </c>
      <c r="F626" s="85">
        <v>746.43600000000004</v>
      </c>
      <c r="G626" s="87">
        <v>6870</v>
      </c>
      <c r="H626" s="85">
        <v>746.39700000000005</v>
      </c>
      <c r="I626" s="87">
        <v>6870</v>
      </c>
      <c r="J626" s="85">
        <v>661.24800000000005</v>
      </c>
      <c r="K626" s="87">
        <v>6870</v>
      </c>
      <c r="L626" s="85">
        <v>660.75</v>
      </c>
      <c r="M626" s="87">
        <v>6870</v>
      </c>
      <c r="N626" s="85">
        <v>661.09</v>
      </c>
      <c r="O626" s="87">
        <v>6850</v>
      </c>
      <c r="P626" s="85">
        <v>662.197</v>
      </c>
      <c r="Q626" s="87">
        <v>6870</v>
      </c>
      <c r="R626" s="85">
        <v>661.81899999999996</v>
      </c>
      <c r="S626" s="87">
        <v>6870</v>
      </c>
      <c r="T626" s="85">
        <v>662.48099999999999</v>
      </c>
      <c r="U626" s="87">
        <v>6860</v>
      </c>
      <c r="V626" s="85">
        <v>661.846</v>
      </c>
      <c r="W626" s="87">
        <v>6870</v>
      </c>
      <c r="X626" s="85">
        <v>661.38800000000003</v>
      </c>
      <c r="Y626" s="87">
        <v>6870</v>
      </c>
      <c r="Z626" s="85">
        <v>659.78200000000004</v>
      </c>
      <c r="AA626" s="87">
        <v>6870</v>
      </c>
      <c r="AB626" s="85">
        <v>659.95100000000002</v>
      </c>
      <c r="AC626" s="87">
        <v>6860</v>
      </c>
      <c r="AD626" s="85">
        <v>583.78499999999997</v>
      </c>
      <c r="AE626" s="87">
        <v>6870</v>
      </c>
      <c r="AF626" s="85">
        <v>585.34500000000003</v>
      </c>
      <c r="AG626" s="87">
        <v>6850</v>
      </c>
      <c r="AH626" s="85">
        <v>148.989</v>
      </c>
      <c r="AI626" s="87">
        <v>6850</v>
      </c>
      <c r="AJ626" s="85">
        <v>156.791</v>
      </c>
    </row>
    <row r="627" spans="1:36" ht="14.25" customHeight="1">
      <c r="A627" s="88">
        <v>6880</v>
      </c>
      <c r="B627" s="84">
        <v>326.06599999999997</v>
      </c>
      <c r="C627" s="88">
        <v>6890</v>
      </c>
      <c r="D627" s="85">
        <v>323.59199999999998</v>
      </c>
      <c r="E627" s="86">
        <v>6880</v>
      </c>
      <c r="F627" s="85">
        <v>744.96199999999999</v>
      </c>
      <c r="G627" s="87">
        <v>6880</v>
      </c>
      <c r="H627" s="85">
        <v>744.92499999999995</v>
      </c>
      <c r="I627" s="87">
        <v>6880</v>
      </c>
      <c r="J627" s="85">
        <v>660.03599999999994</v>
      </c>
      <c r="K627" s="87">
        <v>6880</v>
      </c>
      <c r="L627" s="85">
        <v>659.53700000000003</v>
      </c>
      <c r="M627" s="87">
        <v>6880</v>
      </c>
      <c r="N627" s="85">
        <v>659.87800000000004</v>
      </c>
      <c r="O627" s="87">
        <v>6860</v>
      </c>
      <c r="P627" s="85">
        <v>660.98400000000004</v>
      </c>
      <c r="Q627" s="87">
        <v>6880</v>
      </c>
      <c r="R627" s="85">
        <v>660.60699999999997</v>
      </c>
      <c r="S627" s="87">
        <v>6880</v>
      </c>
      <c r="T627" s="85">
        <v>661.26900000000001</v>
      </c>
      <c r="U627" s="87">
        <v>6870</v>
      </c>
      <c r="V627" s="85">
        <v>660.63599999999997</v>
      </c>
      <c r="W627" s="87">
        <v>6880</v>
      </c>
      <c r="X627" s="85">
        <v>660.17700000000002</v>
      </c>
      <c r="Y627" s="87">
        <v>6880</v>
      </c>
      <c r="Z627" s="85">
        <v>658.57100000000003</v>
      </c>
      <c r="AA627" s="87">
        <v>6880</v>
      </c>
      <c r="AB627" s="85">
        <v>658.74099999999999</v>
      </c>
      <c r="AC627" s="87">
        <v>6870</v>
      </c>
      <c r="AD627" s="85">
        <v>582.57399999999996</v>
      </c>
      <c r="AE627" s="87">
        <v>6880</v>
      </c>
      <c r="AF627" s="85">
        <v>584.13599999999997</v>
      </c>
      <c r="AG627" s="87">
        <v>6860</v>
      </c>
      <c r="AH627" s="85">
        <v>148.60900000000001</v>
      </c>
      <c r="AI627" s="87">
        <v>6860</v>
      </c>
      <c r="AJ627" s="85">
        <v>156.39699999999999</v>
      </c>
    </row>
    <row r="628" spans="1:36" ht="14.25" customHeight="1">
      <c r="A628" s="88">
        <v>6890</v>
      </c>
      <c r="B628" s="84">
        <v>325.31599999999997</v>
      </c>
      <c r="C628" s="88">
        <v>6900</v>
      </c>
      <c r="D628" s="85">
        <v>322.84699999999998</v>
      </c>
      <c r="E628" s="86">
        <v>6890</v>
      </c>
      <c r="F628" s="85">
        <v>743.48800000000006</v>
      </c>
      <c r="G628" s="87">
        <v>6890</v>
      </c>
      <c r="H628" s="85">
        <v>743.452</v>
      </c>
      <c r="I628" s="87">
        <v>6890</v>
      </c>
      <c r="J628" s="85">
        <v>658.82399999999996</v>
      </c>
      <c r="K628" s="87">
        <v>6890</v>
      </c>
      <c r="L628" s="85">
        <v>658.32299999999998</v>
      </c>
      <c r="M628" s="87">
        <v>6890</v>
      </c>
      <c r="N628" s="85">
        <v>658.66600000000005</v>
      </c>
      <c r="O628" s="87">
        <v>6870</v>
      </c>
      <c r="P628" s="85">
        <v>659.77200000000005</v>
      </c>
      <c r="Q628" s="87">
        <v>6890</v>
      </c>
      <c r="R628" s="85">
        <v>659.39499999999998</v>
      </c>
      <c r="S628" s="87">
        <v>6890</v>
      </c>
      <c r="T628" s="85">
        <v>660.05700000000002</v>
      </c>
      <c r="U628" s="87">
        <v>6880</v>
      </c>
      <c r="V628" s="85">
        <v>659.42600000000004</v>
      </c>
      <c r="W628" s="87">
        <v>6890</v>
      </c>
      <c r="X628" s="85">
        <v>658.96699999999998</v>
      </c>
      <c r="Y628" s="87">
        <v>6890</v>
      </c>
      <c r="Z628" s="85">
        <v>657.36</v>
      </c>
      <c r="AA628" s="87">
        <v>6890</v>
      </c>
      <c r="AB628" s="85">
        <v>657.53099999999995</v>
      </c>
      <c r="AC628" s="87">
        <v>6880</v>
      </c>
      <c r="AD628" s="85">
        <v>581.36300000000006</v>
      </c>
      <c r="AE628" s="87">
        <v>6890</v>
      </c>
      <c r="AF628" s="85">
        <v>582.92600000000004</v>
      </c>
      <c r="AG628" s="87">
        <v>6870</v>
      </c>
      <c r="AH628" s="85">
        <v>148.22999999999999</v>
      </c>
      <c r="AI628" s="87">
        <v>6870</v>
      </c>
      <c r="AJ628" s="85">
        <v>156.00299999999999</v>
      </c>
    </row>
    <row r="629" spans="1:36" ht="14.25" customHeight="1">
      <c r="A629" s="88">
        <v>6900</v>
      </c>
      <c r="B629" s="84">
        <v>324.56599999999997</v>
      </c>
      <c r="C629" s="88">
        <v>6910</v>
      </c>
      <c r="D629" s="85">
        <v>322.101</v>
      </c>
      <c r="E629" s="86">
        <v>6900</v>
      </c>
      <c r="F629" s="85">
        <v>742.01400000000001</v>
      </c>
      <c r="G629" s="87">
        <v>6900</v>
      </c>
      <c r="H629" s="85">
        <v>741.98</v>
      </c>
      <c r="I629" s="87">
        <v>6900</v>
      </c>
      <c r="J629" s="85">
        <v>657.61099999999999</v>
      </c>
      <c r="K629" s="87">
        <v>6900</v>
      </c>
      <c r="L629" s="85">
        <v>657.11</v>
      </c>
      <c r="M629" s="87">
        <v>6900</v>
      </c>
      <c r="N629" s="85">
        <v>657.45299999999997</v>
      </c>
      <c r="O629" s="87">
        <v>6880</v>
      </c>
      <c r="P629" s="85">
        <v>658.55899999999997</v>
      </c>
      <c r="Q629" s="87">
        <v>6900</v>
      </c>
      <c r="R629" s="85">
        <v>658.18200000000002</v>
      </c>
      <c r="S629" s="87">
        <v>6900</v>
      </c>
      <c r="T629" s="85">
        <v>658.84400000000005</v>
      </c>
      <c r="U629" s="87">
        <v>6890</v>
      </c>
      <c r="V629" s="85">
        <v>658.21600000000001</v>
      </c>
      <c r="W629" s="87">
        <v>6900</v>
      </c>
      <c r="X629" s="85">
        <v>657.75599999999997</v>
      </c>
      <c r="Y629" s="87">
        <v>6900</v>
      </c>
      <c r="Z629" s="85">
        <v>656.149</v>
      </c>
      <c r="AA629" s="87">
        <v>6900</v>
      </c>
      <c r="AB629" s="85">
        <v>656.32100000000003</v>
      </c>
      <c r="AC629" s="87">
        <v>6890</v>
      </c>
      <c r="AD629" s="85">
        <v>580.15300000000002</v>
      </c>
      <c r="AE629" s="87">
        <v>6900</v>
      </c>
      <c r="AF629" s="85">
        <v>581.71600000000001</v>
      </c>
      <c r="AG629" s="87">
        <v>6880</v>
      </c>
      <c r="AH629" s="85">
        <v>147.85</v>
      </c>
      <c r="AI629" s="87">
        <v>6880</v>
      </c>
      <c r="AJ629" s="85">
        <v>155.60900000000001</v>
      </c>
    </row>
    <row r="630" spans="1:36" ht="14.25" customHeight="1">
      <c r="A630" s="88">
        <v>6910</v>
      </c>
      <c r="B630" s="84">
        <v>323.81599999999997</v>
      </c>
      <c r="C630" s="88">
        <v>6920</v>
      </c>
      <c r="D630" s="85">
        <v>321.35599999999999</v>
      </c>
      <c r="E630" s="86">
        <v>6910</v>
      </c>
      <c r="F630" s="85">
        <v>740.54</v>
      </c>
      <c r="G630" s="87">
        <v>6910</v>
      </c>
      <c r="H630" s="85">
        <v>740.50800000000004</v>
      </c>
      <c r="I630" s="87">
        <v>6910</v>
      </c>
      <c r="J630" s="85">
        <v>656.399</v>
      </c>
      <c r="K630" s="87">
        <v>6910</v>
      </c>
      <c r="L630" s="85">
        <v>655.89599999999996</v>
      </c>
      <c r="M630" s="87">
        <v>6910</v>
      </c>
      <c r="N630" s="85">
        <v>656.24099999999999</v>
      </c>
      <c r="O630" s="87">
        <v>6890</v>
      </c>
      <c r="P630" s="85">
        <v>657.346</v>
      </c>
      <c r="Q630" s="87">
        <v>6910</v>
      </c>
      <c r="R630" s="85">
        <v>656.97</v>
      </c>
      <c r="S630" s="87">
        <v>6910</v>
      </c>
      <c r="T630" s="85">
        <v>657.63199999999995</v>
      </c>
      <c r="U630" s="87">
        <v>6900</v>
      </c>
      <c r="V630" s="85">
        <v>657.00599999999997</v>
      </c>
      <c r="W630" s="87">
        <v>6910</v>
      </c>
      <c r="X630" s="85">
        <v>656.54499999999996</v>
      </c>
      <c r="Y630" s="87">
        <v>6910</v>
      </c>
      <c r="Z630" s="85">
        <v>654.93700000000001</v>
      </c>
      <c r="AA630" s="87">
        <v>6910</v>
      </c>
      <c r="AB630" s="85">
        <v>655.11099999999999</v>
      </c>
      <c r="AC630" s="87">
        <v>6900</v>
      </c>
      <c r="AD630" s="85">
        <v>578.94200000000001</v>
      </c>
      <c r="AE630" s="87">
        <v>6910</v>
      </c>
      <c r="AF630" s="85">
        <v>580.50599999999997</v>
      </c>
      <c r="AG630" s="87">
        <v>6890</v>
      </c>
      <c r="AH630" s="85">
        <v>147.471</v>
      </c>
      <c r="AI630" s="87">
        <v>6890</v>
      </c>
      <c r="AJ630" s="85">
        <v>155.215</v>
      </c>
    </row>
    <row r="631" spans="1:36" ht="14.25" customHeight="1">
      <c r="A631" s="88">
        <v>6920</v>
      </c>
      <c r="B631" s="84">
        <v>323.06599999999997</v>
      </c>
      <c r="C631" s="88">
        <v>6930</v>
      </c>
      <c r="D631" s="85">
        <v>320.61099999999999</v>
      </c>
      <c r="E631" s="86">
        <v>6920</v>
      </c>
      <c r="F631" s="85">
        <v>739.06600000000003</v>
      </c>
      <c r="G631" s="87">
        <v>6920</v>
      </c>
      <c r="H631" s="85">
        <v>739.03499999999997</v>
      </c>
      <c r="I631" s="87">
        <v>6920</v>
      </c>
      <c r="J631" s="85">
        <v>655.18600000000004</v>
      </c>
      <c r="K631" s="87">
        <v>6920</v>
      </c>
      <c r="L631" s="85">
        <v>654.68200000000002</v>
      </c>
      <c r="M631" s="87">
        <v>6920</v>
      </c>
      <c r="N631" s="85">
        <v>655.029</v>
      </c>
      <c r="O631" s="87">
        <v>6900</v>
      </c>
      <c r="P631" s="85">
        <v>656.13400000000001</v>
      </c>
      <c r="Q631" s="87">
        <v>6920</v>
      </c>
      <c r="R631" s="85">
        <v>655.75699999999995</v>
      </c>
      <c r="S631" s="87">
        <v>6920</v>
      </c>
      <c r="T631" s="85">
        <v>656.42</v>
      </c>
      <c r="U631" s="87">
        <v>6910</v>
      </c>
      <c r="V631" s="85">
        <v>655.79600000000005</v>
      </c>
      <c r="W631" s="87">
        <v>6920</v>
      </c>
      <c r="X631" s="85">
        <v>655.33399999999995</v>
      </c>
      <c r="Y631" s="87">
        <v>6920</v>
      </c>
      <c r="Z631" s="85">
        <v>653.726</v>
      </c>
      <c r="AA631" s="87">
        <v>6920</v>
      </c>
      <c r="AB631" s="85">
        <v>653.90099999999995</v>
      </c>
      <c r="AC631" s="87">
        <v>6910</v>
      </c>
      <c r="AD631" s="85">
        <v>577.73199999999997</v>
      </c>
      <c r="AE631" s="87">
        <v>6920</v>
      </c>
      <c r="AF631" s="85">
        <v>579.29600000000005</v>
      </c>
      <c r="AG631" s="87">
        <v>6900</v>
      </c>
      <c r="AH631" s="85">
        <v>147.09100000000001</v>
      </c>
      <c r="AI631" s="87">
        <v>6900</v>
      </c>
      <c r="AJ631" s="85">
        <v>154.822</v>
      </c>
    </row>
    <row r="632" spans="1:36" ht="14.25" customHeight="1">
      <c r="A632" s="88">
        <v>6930</v>
      </c>
      <c r="B632" s="84">
        <v>322.31700000000001</v>
      </c>
      <c r="C632" s="88">
        <v>6940</v>
      </c>
      <c r="D632" s="85">
        <v>319.86599999999999</v>
      </c>
      <c r="E632" s="86">
        <v>6930</v>
      </c>
      <c r="F632" s="85">
        <v>737.59299999999996</v>
      </c>
      <c r="G632" s="87">
        <v>6930</v>
      </c>
      <c r="H632" s="85">
        <v>737.56299999999999</v>
      </c>
      <c r="I632" s="87">
        <v>6930</v>
      </c>
      <c r="J632" s="85">
        <v>653.97400000000005</v>
      </c>
      <c r="K632" s="87">
        <v>6930</v>
      </c>
      <c r="L632" s="85">
        <v>653.46900000000005</v>
      </c>
      <c r="M632" s="87">
        <v>6930</v>
      </c>
      <c r="N632" s="85">
        <v>653.81600000000003</v>
      </c>
      <c r="O632" s="87">
        <v>6910</v>
      </c>
      <c r="P632" s="85">
        <v>654.92100000000005</v>
      </c>
      <c r="Q632" s="87">
        <v>6930</v>
      </c>
      <c r="R632" s="85">
        <v>654.54499999999996</v>
      </c>
      <c r="S632" s="87">
        <v>6930</v>
      </c>
      <c r="T632" s="85">
        <v>655.20799999999997</v>
      </c>
      <c r="U632" s="87">
        <v>6920</v>
      </c>
      <c r="V632" s="85">
        <v>654.58600000000001</v>
      </c>
      <c r="W632" s="87">
        <v>6930</v>
      </c>
      <c r="X632" s="85">
        <v>654.12300000000005</v>
      </c>
      <c r="Y632" s="87">
        <v>6930</v>
      </c>
      <c r="Z632" s="85">
        <v>652.51499999999999</v>
      </c>
      <c r="AA632" s="87">
        <v>6930</v>
      </c>
      <c r="AB632" s="85">
        <v>652.69100000000003</v>
      </c>
      <c r="AC632" s="87">
        <v>6920</v>
      </c>
      <c r="AD632" s="85">
        <v>576.52099999999996</v>
      </c>
      <c r="AE632" s="87">
        <v>6930</v>
      </c>
      <c r="AF632" s="85">
        <v>578.08600000000001</v>
      </c>
      <c r="AG632" s="87">
        <v>6910</v>
      </c>
      <c r="AH632" s="85">
        <v>146.71199999999999</v>
      </c>
      <c r="AI632" s="87">
        <v>6910</v>
      </c>
      <c r="AJ632" s="85">
        <v>154.428</v>
      </c>
    </row>
    <row r="633" spans="1:36" ht="14.25" customHeight="1">
      <c r="A633" s="88">
        <v>6940</v>
      </c>
      <c r="B633" s="84">
        <v>321.36799999999999</v>
      </c>
      <c r="C633" s="88">
        <v>6950</v>
      </c>
      <c r="D633" s="85">
        <v>319.12200000000001</v>
      </c>
      <c r="E633" s="86">
        <v>6940</v>
      </c>
      <c r="F633" s="85">
        <v>736.11900000000003</v>
      </c>
      <c r="G633" s="87">
        <v>6940</v>
      </c>
      <c r="H633" s="85">
        <v>736.09100000000001</v>
      </c>
      <c r="I633" s="87">
        <v>6940</v>
      </c>
      <c r="J633" s="85">
        <v>652.76199999999994</v>
      </c>
      <c r="K633" s="87">
        <v>6940</v>
      </c>
      <c r="L633" s="85">
        <v>652.255</v>
      </c>
      <c r="M633" s="87">
        <v>6940</v>
      </c>
      <c r="N633" s="85">
        <v>652.60400000000004</v>
      </c>
      <c r="O633" s="87">
        <v>6920</v>
      </c>
      <c r="P633" s="85">
        <v>653.70899999999995</v>
      </c>
      <c r="Q633" s="87">
        <v>6940</v>
      </c>
      <c r="R633" s="85">
        <v>653.33199999999999</v>
      </c>
      <c r="S633" s="87">
        <v>6940</v>
      </c>
      <c r="T633" s="85">
        <v>653.99599999999998</v>
      </c>
      <c r="U633" s="87">
        <v>6930</v>
      </c>
      <c r="V633" s="85">
        <v>653.37599999999998</v>
      </c>
      <c r="W633" s="87">
        <v>6940</v>
      </c>
      <c r="X633" s="85">
        <v>652.91200000000003</v>
      </c>
      <c r="Y633" s="87">
        <v>6940</v>
      </c>
      <c r="Z633" s="85">
        <v>651.30399999999997</v>
      </c>
      <c r="AA633" s="87">
        <v>6940</v>
      </c>
      <c r="AB633" s="85">
        <v>651.48099999999999</v>
      </c>
      <c r="AC633" s="87">
        <v>6930</v>
      </c>
      <c r="AD633" s="85">
        <v>575.31100000000004</v>
      </c>
      <c r="AE633" s="87">
        <v>6940</v>
      </c>
      <c r="AF633" s="85">
        <v>576.87599999999998</v>
      </c>
      <c r="AG633" s="87">
        <v>6920</v>
      </c>
      <c r="AH633" s="85">
        <v>146.333</v>
      </c>
      <c r="AI633" s="87">
        <v>6920</v>
      </c>
      <c r="AJ633" s="85">
        <v>154.035</v>
      </c>
    </row>
    <row r="634" spans="1:36" ht="14.25" customHeight="1">
      <c r="A634" s="88">
        <v>6950</v>
      </c>
      <c r="B634" s="84">
        <v>320.81900000000002</v>
      </c>
      <c r="C634" s="88">
        <v>6960</v>
      </c>
      <c r="D634" s="85">
        <v>318.37700000000001</v>
      </c>
      <c r="E634" s="86">
        <v>6950</v>
      </c>
      <c r="F634" s="85">
        <v>734.64599999999996</v>
      </c>
      <c r="G634" s="87">
        <v>6950</v>
      </c>
      <c r="H634" s="85">
        <v>734.61900000000003</v>
      </c>
      <c r="I634" s="87">
        <v>6950</v>
      </c>
      <c r="J634" s="85">
        <v>651.54899999999998</v>
      </c>
      <c r="K634" s="87">
        <v>6950</v>
      </c>
      <c r="L634" s="85">
        <v>651.04200000000003</v>
      </c>
      <c r="M634" s="87">
        <v>6950</v>
      </c>
      <c r="N634" s="85">
        <v>651.39099999999996</v>
      </c>
      <c r="O634" s="87">
        <v>6930</v>
      </c>
      <c r="P634" s="85">
        <v>652.49599999999998</v>
      </c>
      <c r="Q634" s="87">
        <v>6950</v>
      </c>
      <c r="R634" s="85">
        <v>652.12</v>
      </c>
      <c r="S634" s="87">
        <v>6950</v>
      </c>
      <c r="T634" s="85">
        <v>652.78300000000002</v>
      </c>
      <c r="U634" s="87">
        <v>6940</v>
      </c>
      <c r="V634" s="85">
        <v>652.16600000000005</v>
      </c>
      <c r="W634" s="87">
        <v>6950</v>
      </c>
      <c r="X634" s="85">
        <v>651.70100000000002</v>
      </c>
      <c r="Y634" s="87">
        <v>6950</v>
      </c>
      <c r="Z634" s="85">
        <v>650.09299999999996</v>
      </c>
      <c r="AA634" s="87">
        <v>6950</v>
      </c>
      <c r="AB634" s="85">
        <v>650.27099999999996</v>
      </c>
      <c r="AC634" s="87">
        <v>6940</v>
      </c>
      <c r="AD634" s="85">
        <v>574.1</v>
      </c>
      <c r="AE634" s="87">
        <v>6950</v>
      </c>
      <c r="AF634" s="85">
        <v>575.66600000000005</v>
      </c>
      <c r="AG634" s="87">
        <v>6930</v>
      </c>
      <c r="AH634" s="85">
        <v>145.95400000000001</v>
      </c>
      <c r="AI634" s="87">
        <v>6930</v>
      </c>
      <c r="AJ634" s="85">
        <v>153.64099999999999</v>
      </c>
    </row>
    <row r="635" spans="1:36" ht="14.25" customHeight="1">
      <c r="A635" s="88">
        <v>6960</v>
      </c>
      <c r="B635" s="84">
        <v>320.07</v>
      </c>
      <c r="C635" s="88">
        <v>6970</v>
      </c>
      <c r="D635" s="85">
        <v>317.63299999999998</v>
      </c>
      <c r="E635" s="86">
        <v>6960</v>
      </c>
      <c r="F635" s="85">
        <v>733.173</v>
      </c>
      <c r="G635" s="87">
        <v>6960</v>
      </c>
      <c r="H635" s="85">
        <v>733.14800000000002</v>
      </c>
      <c r="I635" s="87">
        <v>6960</v>
      </c>
      <c r="J635" s="85">
        <v>650.33699999999999</v>
      </c>
      <c r="K635" s="87">
        <v>6960</v>
      </c>
      <c r="L635" s="85">
        <v>649.82799999999997</v>
      </c>
      <c r="M635" s="87">
        <v>6960</v>
      </c>
      <c r="N635" s="85">
        <v>650.17899999999997</v>
      </c>
      <c r="O635" s="87">
        <v>6940</v>
      </c>
      <c r="P635" s="85">
        <v>651.28300000000002</v>
      </c>
      <c r="Q635" s="87">
        <v>6960</v>
      </c>
      <c r="R635" s="85">
        <v>650.90800000000002</v>
      </c>
      <c r="S635" s="87">
        <v>6960</v>
      </c>
      <c r="T635" s="85">
        <v>651.57100000000003</v>
      </c>
      <c r="U635" s="87">
        <v>6950</v>
      </c>
      <c r="V635" s="85">
        <v>650.95600000000002</v>
      </c>
      <c r="W635" s="87">
        <v>6960</v>
      </c>
      <c r="X635" s="85">
        <v>650.49</v>
      </c>
      <c r="Y635" s="87">
        <v>6960</v>
      </c>
      <c r="Z635" s="85">
        <v>648.88099999999997</v>
      </c>
      <c r="AA635" s="87">
        <v>6960</v>
      </c>
      <c r="AB635" s="85">
        <v>649.06100000000004</v>
      </c>
      <c r="AC635" s="87">
        <v>6950</v>
      </c>
      <c r="AD635" s="85">
        <v>572.89</v>
      </c>
      <c r="AE635" s="87">
        <v>6960</v>
      </c>
      <c r="AF635" s="85">
        <v>574.45600000000002</v>
      </c>
      <c r="AG635" s="87">
        <v>6940</v>
      </c>
      <c r="AH635" s="85">
        <v>145.57499999999999</v>
      </c>
      <c r="AI635" s="87">
        <v>6940</v>
      </c>
      <c r="AJ635" s="85">
        <v>153.24799999999999</v>
      </c>
    </row>
    <row r="636" spans="1:36" ht="14.25" customHeight="1">
      <c r="A636" s="88">
        <v>6970</v>
      </c>
      <c r="B636" s="84">
        <v>319.32100000000003</v>
      </c>
      <c r="C636" s="88">
        <v>6980</v>
      </c>
      <c r="D636" s="85">
        <v>316.88900000000001</v>
      </c>
      <c r="E636" s="86">
        <v>6970</v>
      </c>
      <c r="F636" s="85">
        <v>731.7</v>
      </c>
      <c r="G636" s="87">
        <v>6970</v>
      </c>
      <c r="H636" s="85">
        <v>731.67600000000004</v>
      </c>
      <c r="I636" s="87">
        <v>6970</v>
      </c>
      <c r="J636" s="85">
        <v>649.12400000000002</v>
      </c>
      <c r="K636" s="87">
        <v>6970</v>
      </c>
      <c r="L636" s="85">
        <v>648.61500000000001</v>
      </c>
      <c r="M636" s="87">
        <v>6970</v>
      </c>
      <c r="N636" s="85">
        <v>648.96699999999998</v>
      </c>
      <c r="O636" s="87">
        <v>6950</v>
      </c>
      <c r="P636" s="85">
        <v>650.07100000000003</v>
      </c>
      <c r="Q636" s="87">
        <v>6970</v>
      </c>
      <c r="R636" s="85">
        <v>649.69500000000005</v>
      </c>
      <c r="S636" s="87">
        <v>6970</v>
      </c>
      <c r="T636" s="85">
        <v>650.35900000000004</v>
      </c>
      <c r="U636" s="87">
        <v>6960</v>
      </c>
      <c r="V636" s="85">
        <v>649.74599999999998</v>
      </c>
      <c r="W636" s="87">
        <v>6970</v>
      </c>
      <c r="X636" s="85">
        <v>649.279</v>
      </c>
      <c r="Y636" s="87">
        <v>6970</v>
      </c>
      <c r="Z636" s="85">
        <v>647.66999999999996</v>
      </c>
      <c r="AA636" s="87">
        <v>6970</v>
      </c>
      <c r="AB636" s="85">
        <v>647.851</v>
      </c>
      <c r="AC636" s="87">
        <v>6960</v>
      </c>
      <c r="AD636" s="85">
        <v>571.67899999999997</v>
      </c>
      <c r="AE636" s="87">
        <v>6970</v>
      </c>
      <c r="AF636" s="85">
        <v>573.24599999999998</v>
      </c>
      <c r="AG636" s="87">
        <v>6950</v>
      </c>
      <c r="AH636" s="85">
        <v>145.196</v>
      </c>
      <c r="AI636" s="87">
        <v>6950</v>
      </c>
      <c r="AJ636" s="85">
        <v>152.85499999999999</v>
      </c>
    </row>
    <row r="637" spans="1:36" ht="14.25" customHeight="1">
      <c r="A637" s="88">
        <v>6980</v>
      </c>
      <c r="B637" s="84">
        <v>318.57299999999998</v>
      </c>
      <c r="C637" s="88">
        <v>6990</v>
      </c>
      <c r="D637" s="85">
        <v>316.14600000000002</v>
      </c>
      <c r="E637" s="86">
        <v>6980</v>
      </c>
      <c r="F637" s="85">
        <v>730.22699999999998</v>
      </c>
      <c r="G637" s="87">
        <v>6980</v>
      </c>
      <c r="H637" s="85">
        <v>730.20399999999995</v>
      </c>
      <c r="I637" s="87">
        <v>6980</v>
      </c>
      <c r="J637" s="85">
        <v>647.91200000000003</v>
      </c>
      <c r="K637" s="87">
        <v>6980</v>
      </c>
      <c r="L637" s="85">
        <v>647.40099999999995</v>
      </c>
      <c r="M637" s="87">
        <v>6980</v>
      </c>
      <c r="N637" s="85">
        <v>647.75400000000002</v>
      </c>
      <c r="O637" s="87">
        <v>6960</v>
      </c>
      <c r="P637" s="85">
        <v>648.85799999999995</v>
      </c>
      <c r="Q637" s="87">
        <v>6980</v>
      </c>
      <c r="R637" s="85">
        <v>648.48299999999995</v>
      </c>
      <c r="S637" s="87">
        <v>6980</v>
      </c>
      <c r="T637" s="85">
        <v>649.14700000000005</v>
      </c>
      <c r="U637" s="87">
        <v>6970</v>
      </c>
      <c r="V637" s="85">
        <v>648.53599999999994</v>
      </c>
      <c r="W637" s="87">
        <v>6980</v>
      </c>
      <c r="X637" s="85">
        <v>648.06799999999998</v>
      </c>
      <c r="Y637" s="87">
        <v>6980</v>
      </c>
      <c r="Z637" s="85">
        <v>646.45899999999995</v>
      </c>
      <c r="AA637" s="87">
        <v>6980</v>
      </c>
      <c r="AB637" s="85">
        <v>646.64099999999996</v>
      </c>
      <c r="AC637" s="87">
        <v>6970</v>
      </c>
      <c r="AD637" s="85">
        <v>570.46900000000005</v>
      </c>
      <c r="AE637" s="87">
        <v>6980</v>
      </c>
      <c r="AF637" s="85">
        <v>572.03599999999994</v>
      </c>
      <c r="AG637" s="87">
        <v>6960</v>
      </c>
      <c r="AH637" s="85">
        <v>144.81700000000001</v>
      </c>
      <c r="AI637" s="87">
        <v>6960</v>
      </c>
      <c r="AJ637" s="85">
        <v>152.46199999999999</v>
      </c>
    </row>
    <row r="638" spans="1:36" ht="14.25" customHeight="1">
      <c r="A638" s="88">
        <v>6990</v>
      </c>
      <c r="B638" s="84">
        <v>317.82499999999999</v>
      </c>
      <c r="C638" s="88">
        <v>7000</v>
      </c>
      <c r="D638" s="85">
        <v>315.40199999999999</v>
      </c>
      <c r="E638" s="86">
        <v>6990</v>
      </c>
      <c r="F638" s="85">
        <v>728.75400000000002</v>
      </c>
      <c r="G638" s="87">
        <v>6990</v>
      </c>
      <c r="H638" s="85">
        <v>728.73299999999995</v>
      </c>
      <c r="I638" s="87">
        <v>6990</v>
      </c>
      <c r="J638" s="85">
        <v>646.70000000000005</v>
      </c>
      <c r="K638" s="87">
        <v>6990</v>
      </c>
      <c r="L638" s="85">
        <v>646.18700000000001</v>
      </c>
      <c r="M638" s="87">
        <v>6990</v>
      </c>
      <c r="N638" s="85">
        <v>646.54200000000003</v>
      </c>
      <c r="O638" s="87">
        <v>6970</v>
      </c>
      <c r="P638" s="85">
        <v>647.64599999999996</v>
      </c>
      <c r="Q638" s="87">
        <v>6990</v>
      </c>
      <c r="R638" s="85">
        <v>647.27</v>
      </c>
      <c r="S638" s="87">
        <v>6990</v>
      </c>
      <c r="T638" s="85">
        <v>647.93499999999995</v>
      </c>
      <c r="U638" s="87">
        <v>6980</v>
      </c>
      <c r="V638" s="85">
        <v>647.32600000000002</v>
      </c>
      <c r="W638" s="87">
        <v>6990</v>
      </c>
      <c r="X638" s="85">
        <v>646.85699999999997</v>
      </c>
      <c r="Y638" s="87">
        <v>6990</v>
      </c>
      <c r="Z638" s="85">
        <v>645.24800000000005</v>
      </c>
      <c r="AA638" s="87">
        <v>6990</v>
      </c>
      <c r="AB638" s="85">
        <v>645.43100000000004</v>
      </c>
      <c r="AC638" s="87">
        <v>6980</v>
      </c>
      <c r="AD638" s="85">
        <v>569.25800000000004</v>
      </c>
      <c r="AE638" s="87">
        <v>6990</v>
      </c>
      <c r="AF638" s="85">
        <v>570.827</v>
      </c>
      <c r="AG638" s="87">
        <v>6970</v>
      </c>
      <c r="AH638" s="85">
        <v>144.43899999999999</v>
      </c>
      <c r="AI638" s="87">
        <v>6970</v>
      </c>
      <c r="AJ638" s="85">
        <v>152.06899999999999</v>
      </c>
    </row>
    <row r="639" spans="1:36" ht="14.25" customHeight="1">
      <c r="A639" s="88">
        <v>7000</v>
      </c>
      <c r="B639" s="84">
        <v>317.077</v>
      </c>
      <c r="C639" s="88">
        <v>7010</v>
      </c>
      <c r="D639" s="85">
        <v>314.65899999999999</v>
      </c>
      <c r="E639" s="86">
        <v>7000</v>
      </c>
      <c r="F639" s="85">
        <v>727.28099999999995</v>
      </c>
      <c r="G639" s="87">
        <v>7000</v>
      </c>
      <c r="H639" s="85">
        <v>727.26199999999994</v>
      </c>
      <c r="I639" s="87">
        <v>7000</v>
      </c>
      <c r="J639" s="85">
        <v>645.48699999999997</v>
      </c>
      <c r="K639" s="87">
        <v>7000</v>
      </c>
      <c r="L639" s="85">
        <v>644.97400000000005</v>
      </c>
      <c r="M639" s="87">
        <v>7000</v>
      </c>
      <c r="N639" s="85">
        <v>645.33000000000004</v>
      </c>
      <c r="O639" s="87">
        <v>6980</v>
      </c>
      <c r="P639" s="85">
        <v>646.43299999999999</v>
      </c>
      <c r="Q639" s="87">
        <v>7000</v>
      </c>
      <c r="R639" s="85">
        <v>646.05799999999999</v>
      </c>
      <c r="S639" s="87">
        <v>7000</v>
      </c>
      <c r="T639" s="85">
        <v>646.72299999999996</v>
      </c>
      <c r="U639" s="87">
        <v>6990</v>
      </c>
      <c r="V639" s="85">
        <v>646.11500000000001</v>
      </c>
      <c r="W639" s="87">
        <v>7000</v>
      </c>
      <c r="X639" s="85">
        <v>645.64599999999996</v>
      </c>
      <c r="Y639" s="87">
        <v>7000</v>
      </c>
      <c r="Z639" s="85">
        <v>644.03700000000003</v>
      </c>
      <c r="AA639" s="87">
        <v>7000</v>
      </c>
      <c r="AB639" s="85">
        <v>644.22</v>
      </c>
      <c r="AC639" s="87">
        <v>6990</v>
      </c>
      <c r="AD639" s="85">
        <v>568.048</v>
      </c>
      <c r="AE639" s="87">
        <v>7000</v>
      </c>
      <c r="AF639" s="85">
        <v>569.61699999999996</v>
      </c>
      <c r="AG639" s="87">
        <v>6980</v>
      </c>
      <c r="AH639" s="85">
        <v>144.06</v>
      </c>
      <c r="AI639" s="87">
        <v>6980</v>
      </c>
      <c r="AJ639" s="85">
        <v>151.67699999999999</v>
      </c>
    </row>
    <row r="640" spans="1:36" ht="14.25" customHeight="1">
      <c r="A640" s="88">
        <v>7010</v>
      </c>
      <c r="B640" s="84">
        <v>316.32900000000001</v>
      </c>
      <c r="C640" s="88">
        <v>7020</v>
      </c>
      <c r="D640" s="85">
        <v>313.916</v>
      </c>
      <c r="E640" s="86">
        <v>7010</v>
      </c>
      <c r="F640" s="85">
        <v>725.80799999999999</v>
      </c>
      <c r="G640" s="87">
        <v>7010</v>
      </c>
      <c r="H640" s="85">
        <v>725.79</v>
      </c>
      <c r="I640" s="87">
        <v>7010</v>
      </c>
      <c r="J640" s="85">
        <v>644.27499999999998</v>
      </c>
      <c r="K640" s="87">
        <v>7010</v>
      </c>
      <c r="L640" s="85">
        <v>643.76</v>
      </c>
      <c r="M640" s="87">
        <v>7010</v>
      </c>
      <c r="N640" s="85">
        <v>644.11699999999996</v>
      </c>
      <c r="O640" s="87">
        <v>6990</v>
      </c>
      <c r="P640" s="85">
        <v>645.22</v>
      </c>
      <c r="Q640" s="87">
        <v>7010</v>
      </c>
      <c r="R640" s="85">
        <v>644.846</v>
      </c>
      <c r="S640" s="87">
        <v>7010</v>
      </c>
      <c r="T640" s="85">
        <v>645.51</v>
      </c>
      <c r="U640" s="87">
        <v>7000</v>
      </c>
      <c r="V640" s="85">
        <v>644.90499999999997</v>
      </c>
      <c r="W640" s="87">
        <v>7010</v>
      </c>
      <c r="X640" s="85">
        <v>644.43499999999995</v>
      </c>
      <c r="Y640" s="87">
        <v>7010</v>
      </c>
      <c r="Z640" s="85">
        <v>642.82600000000002</v>
      </c>
      <c r="AA640" s="87">
        <v>7010</v>
      </c>
      <c r="AB640" s="85">
        <v>643.01</v>
      </c>
      <c r="AC640" s="87">
        <v>7000</v>
      </c>
      <c r="AD640" s="85">
        <v>566.83699999999999</v>
      </c>
      <c r="AE640" s="87">
        <v>7010</v>
      </c>
      <c r="AF640" s="85">
        <v>568.40700000000004</v>
      </c>
      <c r="AG640" s="87">
        <v>6990</v>
      </c>
      <c r="AH640" s="85">
        <v>143.68199999999999</v>
      </c>
      <c r="AI640" s="87">
        <v>6990</v>
      </c>
      <c r="AJ640" s="85">
        <v>151.28399999999999</v>
      </c>
    </row>
    <row r="641" spans="1:36" ht="14.25" customHeight="1">
      <c r="A641" s="88">
        <v>7020</v>
      </c>
      <c r="B641" s="84">
        <v>315.58199999999999</v>
      </c>
      <c r="C641" s="88">
        <v>7030</v>
      </c>
      <c r="D641" s="85">
        <v>313.173</v>
      </c>
      <c r="E641" s="86">
        <v>7020</v>
      </c>
      <c r="F641" s="85">
        <v>724.33600000000001</v>
      </c>
      <c r="G641" s="87">
        <v>7020</v>
      </c>
      <c r="H641" s="85">
        <v>724.31899999999996</v>
      </c>
      <c r="I641" s="87">
        <v>7020</v>
      </c>
      <c r="J641" s="92">
        <v>643.06299999999999</v>
      </c>
      <c r="K641" s="87">
        <v>7020</v>
      </c>
      <c r="L641" s="85">
        <v>642.54700000000003</v>
      </c>
      <c r="M641" s="87">
        <v>7020</v>
      </c>
      <c r="N641" s="85">
        <v>642.90499999999997</v>
      </c>
      <c r="O641" s="87">
        <v>7000</v>
      </c>
      <c r="P641" s="85">
        <v>644.00800000000004</v>
      </c>
      <c r="Q641" s="87">
        <v>7020</v>
      </c>
      <c r="R641" s="85">
        <v>643.63300000000004</v>
      </c>
      <c r="S641" s="87">
        <v>7020</v>
      </c>
      <c r="T641" s="85">
        <v>644.298</v>
      </c>
      <c r="U641" s="87">
        <v>7010</v>
      </c>
      <c r="V641" s="85">
        <v>643.69500000000005</v>
      </c>
      <c r="W641" s="87">
        <v>7020</v>
      </c>
      <c r="X641" s="85">
        <v>643.22400000000005</v>
      </c>
      <c r="Y641" s="87">
        <v>7020</v>
      </c>
      <c r="Z641" s="85">
        <v>641.61400000000003</v>
      </c>
      <c r="AA641" s="87">
        <v>7020</v>
      </c>
      <c r="AB641" s="85">
        <v>641.79999999999995</v>
      </c>
      <c r="AC641" s="87">
        <v>7010</v>
      </c>
      <c r="AD641" s="85">
        <v>565.62699999999995</v>
      </c>
      <c r="AE641" s="87">
        <v>7020</v>
      </c>
      <c r="AF641" s="85">
        <v>567.197</v>
      </c>
      <c r="AG641" s="87">
        <v>7000</v>
      </c>
      <c r="AH641" s="85">
        <v>143.304</v>
      </c>
      <c r="AI641" s="87">
        <v>7000</v>
      </c>
      <c r="AJ641" s="85">
        <v>150.89099999999999</v>
      </c>
    </row>
    <row r="642" spans="1:36" ht="14.25" customHeight="1">
      <c r="A642" s="88">
        <v>7030</v>
      </c>
      <c r="B642" s="84">
        <v>314.834</v>
      </c>
      <c r="C642" s="88">
        <v>7040</v>
      </c>
      <c r="D642" s="85">
        <v>312.43</v>
      </c>
      <c r="E642" s="86">
        <v>7030</v>
      </c>
      <c r="F642" s="85">
        <v>722.86300000000006</v>
      </c>
      <c r="G642" s="87">
        <v>7030</v>
      </c>
      <c r="H642" s="85">
        <v>722.84799999999996</v>
      </c>
      <c r="I642" s="87">
        <v>7030</v>
      </c>
      <c r="J642" s="85">
        <v>641.85</v>
      </c>
      <c r="K642" s="87">
        <v>7030</v>
      </c>
      <c r="L642" s="85">
        <v>641.33299999999997</v>
      </c>
      <c r="M642" s="87">
        <v>7030</v>
      </c>
      <c r="N642" s="85">
        <v>641.69299999999998</v>
      </c>
      <c r="O642" s="87">
        <v>7010</v>
      </c>
      <c r="P642" s="85">
        <v>642.79499999999996</v>
      </c>
      <c r="Q642" s="87">
        <v>7030</v>
      </c>
      <c r="R642" s="85">
        <v>642.42100000000005</v>
      </c>
      <c r="S642" s="87">
        <v>7030</v>
      </c>
      <c r="T642" s="85">
        <v>643.08600000000001</v>
      </c>
      <c r="U642" s="87">
        <v>7020</v>
      </c>
      <c r="V642" s="85">
        <v>642.48500000000001</v>
      </c>
      <c r="W642" s="87">
        <v>7030</v>
      </c>
      <c r="X642" s="85">
        <v>642.01300000000003</v>
      </c>
      <c r="Y642" s="87">
        <v>7030</v>
      </c>
      <c r="Z642" s="85">
        <v>640.40300000000002</v>
      </c>
      <c r="AA642" s="87">
        <v>7030</v>
      </c>
      <c r="AB642" s="85">
        <v>640.59</v>
      </c>
      <c r="AC642" s="87">
        <v>7020</v>
      </c>
      <c r="AD642" s="85">
        <v>564.41600000000005</v>
      </c>
      <c r="AE642" s="87">
        <v>7030</v>
      </c>
      <c r="AF642" s="85">
        <v>565.98699999999997</v>
      </c>
      <c r="AG642" s="87">
        <v>7010</v>
      </c>
      <c r="AH642" s="85">
        <v>142.92599999999999</v>
      </c>
      <c r="AI642" s="87">
        <v>7010</v>
      </c>
      <c r="AJ642" s="85">
        <v>150.499</v>
      </c>
    </row>
    <row r="643" spans="1:36" ht="14.25" customHeight="1">
      <c r="A643" s="88">
        <v>7040</v>
      </c>
      <c r="B643" s="84">
        <v>314.08699999999999</v>
      </c>
      <c r="C643" s="88">
        <v>7050</v>
      </c>
      <c r="D643" s="85">
        <v>311.68700000000001</v>
      </c>
      <c r="E643" s="86">
        <v>7040</v>
      </c>
      <c r="F643" s="85">
        <v>721.39099999999996</v>
      </c>
      <c r="G643" s="87">
        <v>7040</v>
      </c>
      <c r="H643" s="85">
        <v>721.37699999999995</v>
      </c>
      <c r="I643" s="87">
        <v>7040</v>
      </c>
      <c r="J643" s="85">
        <v>640.63800000000003</v>
      </c>
      <c r="K643" s="87">
        <v>7040</v>
      </c>
      <c r="L643" s="85">
        <v>640.12</v>
      </c>
      <c r="M643" s="87">
        <v>7040</v>
      </c>
      <c r="N643" s="85">
        <v>640.48</v>
      </c>
      <c r="O643" s="87">
        <v>7020</v>
      </c>
      <c r="P643" s="85">
        <v>641.58299999999997</v>
      </c>
      <c r="Q643" s="87">
        <v>7040</v>
      </c>
      <c r="R643" s="85">
        <v>641.20799999999997</v>
      </c>
      <c r="S643" s="87">
        <v>7040</v>
      </c>
      <c r="T643" s="85">
        <v>641.87400000000002</v>
      </c>
      <c r="U643" s="87">
        <v>7030</v>
      </c>
      <c r="V643" s="85">
        <v>641.27499999999998</v>
      </c>
      <c r="W643" s="87">
        <v>7040</v>
      </c>
      <c r="X643" s="85">
        <v>640.80200000000002</v>
      </c>
      <c r="Y643" s="87">
        <v>7040</v>
      </c>
      <c r="Z643" s="85">
        <v>639.19200000000001</v>
      </c>
      <c r="AA643" s="87">
        <v>7040</v>
      </c>
      <c r="AB643" s="85">
        <v>639.38</v>
      </c>
      <c r="AC643" s="87">
        <v>7030</v>
      </c>
      <c r="AD643" s="85">
        <v>563.20600000000002</v>
      </c>
      <c r="AE643" s="87">
        <v>7040</v>
      </c>
      <c r="AF643" s="85">
        <v>564.77700000000004</v>
      </c>
      <c r="AG643" s="87">
        <v>7020</v>
      </c>
      <c r="AH643" s="85">
        <v>142.548</v>
      </c>
      <c r="AI643" s="87">
        <v>7020</v>
      </c>
      <c r="AJ643" s="85">
        <v>150.107</v>
      </c>
    </row>
    <row r="644" spans="1:36" ht="14.25" customHeight="1">
      <c r="A644" s="88">
        <v>7050</v>
      </c>
      <c r="B644" s="84">
        <v>313.33999999999997</v>
      </c>
      <c r="C644" s="88">
        <v>7060</v>
      </c>
      <c r="D644" s="85">
        <v>310.94499999999999</v>
      </c>
      <c r="E644" s="86">
        <v>7050</v>
      </c>
      <c r="F644" s="85">
        <v>719.91899999999998</v>
      </c>
      <c r="G644" s="87">
        <v>7050</v>
      </c>
      <c r="H644" s="85">
        <v>719.90599999999995</v>
      </c>
      <c r="I644" s="87">
        <v>7050</v>
      </c>
      <c r="J644" s="85">
        <v>639.42600000000004</v>
      </c>
      <c r="K644" s="87">
        <v>7050</v>
      </c>
      <c r="L644" s="85">
        <v>638.90599999999995</v>
      </c>
      <c r="M644" s="87">
        <v>7050</v>
      </c>
      <c r="N644" s="85">
        <v>639.26800000000003</v>
      </c>
      <c r="O644" s="87">
        <v>7030</v>
      </c>
      <c r="P644" s="85">
        <v>640.37</v>
      </c>
      <c r="Q644" s="87">
        <v>7050</v>
      </c>
      <c r="R644" s="85">
        <v>639.99599999999998</v>
      </c>
      <c r="S644" s="87">
        <v>7050</v>
      </c>
      <c r="T644" s="85">
        <v>640.66200000000003</v>
      </c>
      <c r="U644" s="87">
        <v>7040</v>
      </c>
      <c r="V644" s="85">
        <v>640.06500000000005</v>
      </c>
      <c r="W644" s="87">
        <v>7050</v>
      </c>
      <c r="X644" s="85">
        <v>639.59100000000001</v>
      </c>
      <c r="Y644" s="87">
        <v>7050</v>
      </c>
      <c r="Z644" s="85">
        <v>637.98099999999999</v>
      </c>
      <c r="AA644" s="87">
        <v>7050</v>
      </c>
      <c r="AB644" s="85">
        <v>638.16999999999996</v>
      </c>
      <c r="AC644" s="87">
        <v>7040</v>
      </c>
      <c r="AD644" s="85">
        <v>561.99599999999998</v>
      </c>
      <c r="AE644" s="87">
        <v>7050</v>
      </c>
      <c r="AF644" s="85">
        <v>563.56700000000001</v>
      </c>
      <c r="AG644" s="87">
        <v>7030</v>
      </c>
      <c r="AH644" s="85">
        <v>142.16999999999999</v>
      </c>
      <c r="AI644" s="87">
        <v>7030</v>
      </c>
      <c r="AJ644" s="85">
        <v>149.715</v>
      </c>
    </row>
    <row r="645" spans="1:36" ht="14.25" customHeight="1">
      <c r="A645" s="88">
        <v>7060</v>
      </c>
      <c r="B645" s="84">
        <v>312.39400000000001</v>
      </c>
      <c r="C645" s="88">
        <v>7070</v>
      </c>
      <c r="D645" s="85">
        <v>310.20299999999997</v>
      </c>
      <c r="E645" s="86">
        <v>7060</v>
      </c>
      <c r="F645" s="85">
        <v>718.447</v>
      </c>
      <c r="G645" s="87">
        <v>7060</v>
      </c>
      <c r="H645" s="85">
        <v>718.43499999999995</v>
      </c>
      <c r="I645" s="87">
        <v>7060</v>
      </c>
      <c r="J645" s="85">
        <v>638.21299999999997</v>
      </c>
      <c r="K645" s="87">
        <v>7060</v>
      </c>
      <c r="L645" s="85">
        <v>637.69200000000001</v>
      </c>
      <c r="M645" s="87">
        <v>7060</v>
      </c>
      <c r="N645" s="85">
        <v>638.05600000000004</v>
      </c>
      <c r="O645" s="87">
        <v>7040</v>
      </c>
      <c r="P645" s="85">
        <v>639.15700000000004</v>
      </c>
      <c r="Q645" s="87">
        <v>7060</v>
      </c>
      <c r="R645" s="85">
        <v>638.78399999999999</v>
      </c>
      <c r="S645" s="87">
        <v>7060</v>
      </c>
      <c r="T645" s="85">
        <v>639.44899999999996</v>
      </c>
      <c r="U645" s="87">
        <v>7050</v>
      </c>
      <c r="V645" s="85">
        <v>638.85500000000002</v>
      </c>
      <c r="W645" s="87">
        <v>7060</v>
      </c>
      <c r="X645" s="85">
        <v>638.38</v>
      </c>
      <c r="Y645" s="87">
        <v>7060</v>
      </c>
      <c r="Z645" s="85">
        <v>636.77</v>
      </c>
      <c r="AA645" s="87">
        <v>7060</v>
      </c>
      <c r="AB645" s="85">
        <v>636.96</v>
      </c>
      <c r="AC645" s="87">
        <v>7050</v>
      </c>
      <c r="AD645" s="85">
        <v>560.78499999999997</v>
      </c>
      <c r="AE645" s="87">
        <v>7060</v>
      </c>
      <c r="AF645" s="85">
        <v>562.35799999999995</v>
      </c>
      <c r="AG645" s="87">
        <v>7040</v>
      </c>
      <c r="AH645" s="85">
        <v>141.792</v>
      </c>
      <c r="AI645" s="87">
        <v>7040</v>
      </c>
      <c r="AJ645" s="85">
        <v>149.32300000000001</v>
      </c>
    </row>
    <row r="646" spans="1:36" ht="14.25" customHeight="1">
      <c r="A646" s="88">
        <v>7070</v>
      </c>
      <c r="B646" s="84">
        <v>311.84699999999998</v>
      </c>
      <c r="C646" s="88">
        <v>7080</v>
      </c>
      <c r="D646" s="85">
        <v>309.46100000000001</v>
      </c>
      <c r="E646" s="86">
        <v>7070</v>
      </c>
      <c r="F646" s="85">
        <v>716.97500000000002</v>
      </c>
      <c r="G646" s="87">
        <v>7070</v>
      </c>
      <c r="H646" s="85">
        <v>716.96500000000003</v>
      </c>
      <c r="I646" s="87">
        <v>7070</v>
      </c>
      <c r="J646" s="85">
        <v>637.00099999999998</v>
      </c>
      <c r="K646" s="87">
        <v>7070</v>
      </c>
      <c r="L646" s="85">
        <v>636.47900000000004</v>
      </c>
      <c r="M646" s="87">
        <v>7070</v>
      </c>
      <c r="N646" s="85">
        <v>636.84299999999996</v>
      </c>
      <c r="O646" s="87">
        <v>7050</v>
      </c>
      <c r="P646" s="85">
        <v>637.94500000000005</v>
      </c>
      <c r="Q646" s="87">
        <v>7070</v>
      </c>
      <c r="R646" s="85">
        <v>637.57100000000003</v>
      </c>
      <c r="S646" s="87">
        <v>7070</v>
      </c>
      <c r="T646" s="85">
        <v>638.23699999999997</v>
      </c>
      <c r="U646" s="87">
        <v>7060</v>
      </c>
      <c r="V646" s="85">
        <v>637.64499999999998</v>
      </c>
      <c r="W646" s="87">
        <v>7070</v>
      </c>
      <c r="X646" s="85">
        <v>637.16899999999998</v>
      </c>
      <c r="Y646" s="87">
        <v>7070</v>
      </c>
      <c r="Z646" s="85">
        <v>635.55899999999997</v>
      </c>
      <c r="AA646" s="87">
        <v>7070</v>
      </c>
      <c r="AB646" s="85">
        <v>635.75</v>
      </c>
      <c r="AC646" s="87">
        <v>7060</v>
      </c>
      <c r="AD646" s="85">
        <v>559.57500000000005</v>
      </c>
      <c r="AE646" s="87">
        <v>7070</v>
      </c>
      <c r="AF646" s="85">
        <v>561.14800000000002</v>
      </c>
      <c r="AG646" s="87">
        <v>7050</v>
      </c>
      <c r="AH646" s="85">
        <v>141.41399999999999</v>
      </c>
      <c r="AI646" s="87">
        <v>7050</v>
      </c>
      <c r="AJ646" s="85">
        <v>148.93100000000001</v>
      </c>
    </row>
    <row r="647" spans="1:36" ht="14.25" customHeight="1">
      <c r="A647" s="88">
        <v>7080</v>
      </c>
      <c r="B647" s="84">
        <v>311.101</v>
      </c>
      <c r="C647" s="88">
        <v>7090</v>
      </c>
      <c r="D647" s="85">
        <v>308.71899999999999</v>
      </c>
      <c r="E647" s="86">
        <v>7080</v>
      </c>
      <c r="F647" s="85">
        <v>715.50300000000004</v>
      </c>
      <c r="G647" s="87">
        <v>7080</v>
      </c>
      <c r="H647" s="85">
        <v>715.49400000000003</v>
      </c>
      <c r="I647" s="87">
        <v>7080</v>
      </c>
      <c r="J647" s="85">
        <v>635.78800000000001</v>
      </c>
      <c r="K647" s="87">
        <v>7080</v>
      </c>
      <c r="L647" s="85">
        <v>635.26499999999999</v>
      </c>
      <c r="M647" s="87">
        <v>7080</v>
      </c>
      <c r="N647" s="85">
        <v>635.63099999999997</v>
      </c>
      <c r="O647" s="87">
        <v>7060</v>
      </c>
      <c r="P647" s="85">
        <v>636.73199999999997</v>
      </c>
      <c r="Q647" s="87">
        <v>7080</v>
      </c>
      <c r="R647" s="85">
        <v>636.35900000000004</v>
      </c>
      <c r="S647" s="87">
        <v>7080</v>
      </c>
      <c r="T647" s="85">
        <v>637.02499999999998</v>
      </c>
      <c r="U647" s="87">
        <v>7070</v>
      </c>
      <c r="V647" s="85">
        <v>636.43499999999995</v>
      </c>
      <c r="W647" s="87">
        <v>7080</v>
      </c>
      <c r="X647" s="85">
        <v>635.95899999999995</v>
      </c>
      <c r="Y647" s="87">
        <v>7080</v>
      </c>
      <c r="Z647" s="85">
        <v>634.34699999999998</v>
      </c>
      <c r="AA647" s="87">
        <v>7080</v>
      </c>
      <c r="AB647" s="85">
        <v>634.54</v>
      </c>
      <c r="AC647" s="87">
        <v>7070</v>
      </c>
      <c r="AD647" s="85">
        <v>558.36400000000003</v>
      </c>
      <c r="AE647" s="87">
        <v>7080</v>
      </c>
      <c r="AF647" s="85">
        <v>559.93799999999999</v>
      </c>
      <c r="AG647" s="87">
        <v>7060</v>
      </c>
      <c r="AH647" s="85">
        <v>141.03700000000001</v>
      </c>
      <c r="AI647" s="87">
        <v>7060</v>
      </c>
      <c r="AJ647" s="85">
        <v>148.53899999999999</v>
      </c>
    </row>
    <row r="648" spans="1:36" ht="14.25" customHeight="1">
      <c r="A648" s="88">
        <v>7090</v>
      </c>
      <c r="B648" s="84">
        <v>310.35500000000002</v>
      </c>
      <c r="C648" s="88">
        <v>7100</v>
      </c>
      <c r="D648" s="85">
        <v>307.97800000000001</v>
      </c>
      <c r="E648" s="86">
        <v>7090</v>
      </c>
      <c r="F648" s="85">
        <v>714.03099999999995</v>
      </c>
      <c r="G648" s="87">
        <v>7090</v>
      </c>
      <c r="H648" s="85">
        <v>714.024</v>
      </c>
      <c r="I648" s="87">
        <v>7090</v>
      </c>
      <c r="J648" s="85">
        <v>634.57600000000002</v>
      </c>
      <c r="K648" s="87">
        <v>7090</v>
      </c>
      <c r="L648" s="85">
        <v>634.05200000000002</v>
      </c>
      <c r="M648" s="87">
        <v>7090</v>
      </c>
      <c r="N648" s="85">
        <v>634.41899999999998</v>
      </c>
      <c r="O648" s="87">
        <v>7070</v>
      </c>
      <c r="P648" s="85">
        <v>635.51900000000001</v>
      </c>
      <c r="Q648" s="87">
        <v>7090</v>
      </c>
      <c r="R648" s="85">
        <v>635.14599999999996</v>
      </c>
      <c r="S648" s="87">
        <v>7090</v>
      </c>
      <c r="T648" s="85">
        <v>635.81299999999999</v>
      </c>
      <c r="U648" s="87">
        <v>7080</v>
      </c>
      <c r="V648" s="85">
        <v>635.22500000000002</v>
      </c>
      <c r="W648" s="87">
        <v>7090</v>
      </c>
      <c r="X648" s="85">
        <v>634.74800000000005</v>
      </c>
      <c r="Y648" s="87">
        <v>7090</v>
      </c>
      <c r="Z648" s="85">
        <v>633.13599999999997</v>
      </c>
      <c r="AA648" s="87">
        <v>7090</v>
      </c>
      <c r="AB648" s="85">
        <v>633.33000000000004</v>
      </c>
      <c r="AC648" s="87">
        <v>7080</v>
      </c>
      <c r="AD648" s="85">
        <v>557.154</v>
      </c>
      <c r="AE648" s="87">
        <v>7090</v>
      </c>
      <c r="AF648" s="85">
        <v>558.72799999999995</v>
      </c>
      <c r="AG648" s="87">
        <v>7070</v>
      </c>
      <c r="AH648" s="85">
        <v>140.65899999999999</v>
      </c>
      <c r="AI648" s="87">
        <v>7070</v>
      </c>
      <c r="AJ648" s="85">
        <v>148.14699999999999</v>
      </c>
    </row>
    <row r="649" spans="1:36" ht="14.25" customHeight="1">
      <c r="A649" s="88">
        <v>7100</v>
      </c>
      <c r="B649" s="84">
        <v>309.60899999999998</v>
      </c>
      <c r="C649" s="88">
        <v>7110</v>
      </c>
      <c r="D649" s="85">
        <v>307.23599999999999</v>
      </c>
      <c r="E649" s="86">
        <v>7100</v>
      </c>
      <c r="F649" s="85">
        <v>712.56</v>
      </c>
      <c r="G649" s="87">
        <v>7100</v>
      </c>
      <c r="H649" s="85">
        <v>712.553</v>
      </c>
      <c r="I649" s="87">
        <v>7100</v>
      </c>
      <c r="J649" s="85">
        <v>633.36400000000003</v>
      </c>
      <c r="K649" s="87">
        <v>7100</v>
      </c>
      <c r="L649" s="85">
        <v>632.83799999999997</v>
      </c>
      <c r="M649" s="87">
        <v>7100</v>
      </c>
      <c r="N649" s="85">
        <v>633.20600000000002</v>
      </c>
      <c r="O649" s="87">
        <v>7080</v>
      </c>
      <c r="P649" s="85">
        <v>634.30700000000002</v>
      </c>
      <c r="Q649" s="87">
        <v>7100</v>
      </c>
      <c r="R649" s="85">
        <v>633.93399999999997</v>
      </c>
      <c r="S649" s="87">
        <v>7100</v>
      </c>
      <c r="T649" s="85">
        <v>634.601</v>
      </c>
      <c r="U649" s="87">
        <v>7090</v>
      </c>
      <c r="V649" s="85">
        <v>634.01400000000001</v>
      </c>
      <c r="W649" s="87">
        <v>7100</v>
      </c>
      <c r="X649" s="85">
        <v>633.53700000000003</v>
      </c>
      <c r="Y649" s="87">
        <v>7100</v>
      </c>
      <c r="Z649" s="85">
        <v>631.92499999999995</v>
      </c>
      <c r="AA649" s="87">
        <v>7100</v>
      </c>
      <c r="AB649" s="85">
        <v>632.12</v>
      </c>
      <c r="AC649" s="87">
        <v>7090</v>
      </c>
      <c r="AD649" s="85">
        <v>555.94399999999996</v>
      </c>
      <c r="AE649" s="87">
        <v>7100</v>
      </c>
      <c r="AF649" s="85">
        <v>557.51800000000003</v>
      </c>
      <c r="AG649" s="87">
        <v>7080</v>
      </c>
      <c r="AH649" s="85">
        <v>140.28200000000001</v>
      </c>
      <c r="AI649" s="87">
        <v>7080</v>
      </c>
      <c r="AJ649" s="85">
        <v>147.755</v>
      </c>
    </row>
    <row r="650" spans="1:36" ht="14.25" customHeight="1">
      <c r="A650" s="88">
        <v>7110</v>
      </c>
      <c r="B650" s="84">
        <v>308.863</v>
      </c>
      <c r="C650" s="88">
        <v>7120</v>
      </c>
      <c r="D650" s="85">
        <v>306.495</v>
      </c>
      <c r="E650" s="86">
        <v>7110</v>
      </c>
      <c r="F650" s="85">
        <v>711.08799999999997</v>
      </c>
      <c r="G650" s="87">
        <v>7110</v>
      </c>
      <c r="H650" s="85">
        <v>711.08299999999997</v>
      </c>
      <c r="I650" s="87">
        <v>7110</v>
      </c>
      <c r="J650" s="85">
        <v>632.15099999999995</v>
      </c>
      <c r="K650" s="87">
        <v>7110</v>
      </c>
      <c r="L650" s="85">
        <v>631.625</v>
      </c>
      <c r="M650" s="87">
        <v>7110</v>
      </c>
      <c r="N650" s="85">
        <v>631.99400000000003</v>
      </c>
      <c r="O650" s="87">
        <v>7090</v>
      </c>
      <c r="P650" s="85">
        <v>633.09400000000005</v>
      </c>
      <c r="Q650" s="87">
        <v>7110</v>
      </c>
      <c r="R650" s="85">
        <v>632.72199999999998</v>
      </c>
      <c r="S650" s="87">
        <v>7110</v>
      </c>
      <c r="T650" s="85">
        <v>633.38800000000003</v>
      </c>
      <c r="U650" s="87">
        <v>7100</v>
      </c>
      <c r="V650" s="85">
        <v>632.80399999999997</v>
      </c>
      <c r="W650" s="87">
        <v>7110</v>
      </c>
      <c r="X650" s="85">
        <v>632.32600000000002</v>
      </c>
      <c r="Y650" s="87">
        <v>7110</v>
      </c>
      <c r="Z650" s="85">
        <v>630.71400000000006</v>
      </c>
      <c r="AA650" s="87">
        <v>7110</v>
      </c>
      <c r="AB650" s="85">
        <v>630.91</v>
      </c>
      <c r="AC650" s="87">
        <v>7100</v>
      </c>
      <c r="AD650" s="85">
        <v>554.73299999999995</v>
      </c>
      <c r="AE650" s="87">
        <v>7110</v>
      </c>
      <c r="AF650" s="85">
        <v>556.30899999999997</v>
      </c>
      <c r="AG650" s="87">
        <v>7090</v>
      </c>
      <c r="AH650" s="85">
        <v>139.905</v>
      </c>
      <c r="AI650" s="87">
        <v>7090</v>
      </c>
      <c r="AJ650" s="85">
        <v>147.364</v>
      </c>
    </row>
    <row r="651" spans="1:36" ht="14.25" customHeight="1">
      <c r="A651" s="88">
        <v>7120</v>
      </c>
      <c r="B651" s="84">
        <v>308.11799999999999</v>
      </c>
      <c r="C651" s="88">
        <v>7130</v>
      </c>
      <c r="D651" s="85">
        <v>305.75400000000002</v>
      </c>
      <c r="E651" s="86">
        <v>7120</v>
      </c>
      <c r="F651" s="85">
        <v>709.61699999999996</v>
      </c>
      <c r="G651" s="87">
        <v>7120</v>
      </c>
      <c r="H651" s="85">
        <v>709.61300000000006</v>
      </c>
      <c r="I651" s="87">
        <v>7120</v>
      </c>
      <c r="J651" s="85">
        <v>630.93899999999996</v>
      </c>
      <c r="K651" s="87">
        <v>7120</v>
      </c>
      <c r="L651" s="85">
        <v>630.41099999999994</v>
      </c>
      <c r="M651" s="87">
        <v>7120</v>
      </c>
      <c r="N651" s="85">
        <v>630.78200000000004</v>
      </c>
      <c r="O651" s="87">
        <v>7100</v>
      </c>
      <c r="P651" s="85">
        <v>631.88199999999995</v>
      </c>
      <c r="Q651" s="87">
        <v>7120</v>
      </c>
      <c r="R651" s="85">
        <v>631.50900000000001</v>
      </c>
      <c r="S651" s="87">
        <v>7120</v>
      </c>
      <c r="T651" s="85">
        <v>632.17600000000004</v>
      </c>
      <c r="U651" s="87">
        <v>7110</v>
      </c>
      <c r="V651" s="85">
        <v>631.59400000000005</v>
      </c>
      <c r="W651" s="87">
        <v>7120</v>
      </c>
      <c r="X651" s="85">
        <v>631.11500000000001</v>
      </c>
      <c r="Y651" s="87">
        <v>7120</v>
      </c>
      <c r="Z651" s="85">
        <v>629.50300000000004</v>
      </c>
      <c r="AA651" s="87">
        <v>7120</v>
      </c>
      <c r="AB651" s="85">
        <v>629.70000000000005</v>
      </c>
      <c r="AC651" s="87">
        <v>7110</v>
      </c>
      <c r="AD651" s="85">
        <v>553.52300000000002</v>
      </c>
      <c r="AE651" s="87">
        <v>7120</v>
      </c>
      <c r="AF651" s="85">
        <v>555.09900000000005</v>
      </c>
      <c r="AG651" s="87">
        <v>7100</v>
      </c>
      <c r="AH651" s="85">
        <v>139.52799999999999</v>
      </c>
      <c r="AI651" s="87">
        <v>7100</v>
      </c>
      <c r="AJ651" s="85">
        <v>146.97300000000001</v>
      </c>
    </row>
    <row r="652" spans="1:36" ht="14.25" customHeight="1">
      <c r="A652" s="88">
        <v>7130</v>
      </c>
      <c r="B652" s="84">
        <v>307.37299999999999</v>
      </c>
      <c r="C652" s="88">
        <v>7140</v>
      </c>
      <c r="D652" s="85">
        <v>305.01400000000001</v>
      </c>
      <c r="E652" s="86">
        <v>7130</v>
      </c>
      <c r="F652" s="85">
        <v>708.14599999999996</v>
      </c>
      <c r="G652" s="87">
        <v>7130</v>
      </c>
      <c r="H652" s="85">
        <v>708.14300000000003</v>
      </c>
      <c r="I652" s="87">
        <v>7130</v>
      </c>
      <c r="J652" s="85">
        <v>629.72699999999998</v>
      </c>
      <c r="K652" s="87">
        <v>7130</v>
      </c>
      <c r="L652" s="85">
        <v>629.19799999999998</v>
      </c>
      <c r="M652" s="87">
        <v>7130</v>
      </c>
      <c r="N652" s="85">
        <v>629.57000000000005</v>
      </c>
      <c r="O652" s="87">
        <v>7110</v>
      </c>
      <c r="P652" s="85">
        <v>630.66899999999998</v>
      </c>
      <c r="Q652" s="87">
        <v>7130</v>
      </c>
      <c r="R652" s="85">
        <v>630.29700000000003</v>
      </c>
      <c r="S652" s="87">
        <v>7130</v>
      </c>
      <c r="T652" s="85">
        <v>630.96400000000006</v>
      </c>
      <c r="U652" s="87">
        <v>7120</v>
      </c>
      <c r="V652" s="85">
        <v>630.38400000000001</v>
      </c>
      <c r="W652" s="87">
        <v>7130</v>
      </c>
      <c r="X652" s="85">
        <v>629.904</v>
      </c>
      <c r="Y652" s="87">
        <v>7130</v>
      </c>
      <c r="Z652" s="85">
        <v>628.29200000000003</v>
      </c>
      <c r="AA652" s="87">
        <v>7130</v>
      </c>
      <c r="AB652" s="85">
        <v>628.49</v>
      </c>
      <c r="AC652" s="87">
        <v>7120</v>
      </c>
      <c r="AD652" s="85">
        <v>552.31299999999999</v>
      </c>
      <c r="AE652" s="87">
        <v>7130</v>
      </c>
      <c r="AF652" s="85">
        <v>553.88900000000001</v>
      </c>
      <c r="AG652" s="87">
        <v>7110</v>
      </c>
      <c r="AH652" s="85">
        <v>139.15100000000001</v>
      </c>
      <c r="AI652" s="87">
        <v>7110</v>
      </c>
      <c r="AJ652" s="85">
        <v>146.58099999999999</v>
      </c>
    </row>
    <row r="653" spans="1:36" ht="14.25" customHeight="1">
      <c r="A653" s="88">
        <v>7140</v>
      </c>
      <c r="B653" s="84">
        <v>306.62799999999999</v>
      </c>
      <c r="C653" s="88">
        <v>7150</v>
      </c>
      <c r="D653" s="85">
        <v>304.27300000000002</v>
      </c>
      <c r="E653" s="86">
        <v>7140</v>
      </c>
      <c r="F653" s="85">
        <v>706.67399999999998</v>
      </c>
      <c r="G653" s="87">
        <v>7140</v>
      </c>
      <c r="H653" s="85">
        <v>706.673</v>
      </c>
      <c r="I653" s="87">
        <v>7140</v>
      </c>
      <c r="J653" s="85">
        <v>628.51400000000001</v>
      </c>
      <c r="K653" s="87">
        <v>7140</v>
      </c>
      <c r="L653" s="85">
        <v>627.98400000000004</v>
      </c>
      <c r="M653" s="87">
        <v>7140</v>
      </c>
      <c r="N653" s="85">
        <v>628.35699999999997</v>
      </c>
      <c r="O653" s="87">
        <v>7120</v>
      </c>
      <c r="P653" s="85">
        <v>629.45699999999999</v>
      </c>
      <c r="Q653" s="87">
        <v>7140</v>
      </c>
      <c r="R653" s="85">
        <v>629.08399999999995</v>
      </c>
      <c r="S653" s="87">
        <v>7140</v>
      </c>
      <c r="T653" s="85">
        <v>629.75199999999995</v>
      </c>
      <c r="U653" s="87">
        <v>7130</v>
      </c>
      <c r="V653" s="85">
        <v>629.17399999999998</v>
      </c>
      <c r="W653" s="87">
        <v>7140</v>
      </c>
      <c r="X653" s="85">
        <v>628.69299999999998</v>
      </c>
      <c r="Y653" s="87">
        <v>7140</v>
      </c>
      <c r="Z653" s="85">
        <v>627.08100000000002</v>
      </c>
      <c r="AA653" s="87">
        <v>7140</v>
      </c>
      <c r="AB653" s="85">
        <v>627.28</v>
      </c>
      <c r="AC653" s="87">
        <v>7130</v>
      </c>
      <c r="AD653" s="85">
        <v>551.10199999999998</v>
      </c>
      <c r="AE653" s="87">
        <v>7140</v>
      </c>
      <c r="AF653" s="85">
        <v>552.67899999999997</v>
      </c>
      <c r="AG653" s="87">
        <v>7120</v>
      </c>
      <c r="AH653" s="85">
        <v>138.774</v>
      </c>
      <c r="AI653" s="87">
        <v>7120</v>
      </c>
      <c r="AJ653" s="85">
        <v>146.19</v>
      </c>
    </row>
    <row r="654" spans="1:36" ht="14.25" customHeight="1">
      <c r="A654" s="88">
        <v>7150</v>
      </c>
      <c r="B654" s="84">
        <v>305.88299999999998</v>
      </c>
      <c r="C654" s="88">
        <v>7160</v>
      </c>
      <c r="D654" s="85">
        <v>303.53300000000002</v>
      </c>
      <c r="E654" s="86">
        <v>7150</v>
      </c>
      <c r="F654" s="85">
        <v>705.20299999999997</v>
      </c>
      <c r="G654" s="87">
        <v>7150</v>
      </c>
      <c r="H654" s="85">
        <v>705.20299999999997</v>
      </c>
      <c r="I654" s="87">
        <v>7150</v>
      </c>
      <c r="J654" s="85">
        <v>627.30200000000002</v>
      </c>
      <c r="K654" s="87">
        <v>7150</v>
      </c>
      <c r="L654" s="85">
        <v>626.77</v>
      </c>
      <c r="M654" s="87">
        <v>7150</v>
      </c>
      <c r="N654" s="85">
        <v>627.14499999999998</v>
      </c>
      <c r="O654" s="87">
        <v>7130</v>
      </c>
      <c r="P654" s="85">
        <v>628.24400000000003</v>
      </c>
      <c r="Q654" s="87">
        <v>7150</v>
      </c>
      <c r="R654" s="85">
        <v>627.87199999999996</v>
      </c>
      <c r="S654" s="87">
        <v>7150</v>
      </c>
      <c r="T654" s="85">
        <v>628.54</v>
      </c>
      <c r="U654" s="87">
        <v>7140</v>
      </c>
      <c r="V654" s="85">
        <v>627.96400000000006</v>
      </c>
      <c r="W654" s="87">
        <v>7150</v>
      </c>
      <c r="X654" s="85">
        <v>627.48199999999997</v>
      </c>
      <c r="Y654" s="87">
        <v>7150</v>
      </c>
      <c r="Z654" s="85">
        <v>625.86900000000003</v>
      </c>
      <c r="AA654" s="87">
        <v>7150</v>
      </c>
      <c r="AB654" s="85">
        <v>626.07000000000005</v>
      </c>
      <c r="AC654" s="87">
        <v>7140</v>
      </c>
      <c r="AD654" s="85">
        <v>549.89200000000005</v>
      </c>
      <c r="AE654" s="87">
        <v>7150</v>
      </c>
      <c r="AF654" s="85">
        <v>551.47</v>
      </c>
      <c r="AG654" s="87">
        <v>7130</v>
      </c>
      <c r="AH654" s="85">
        <v>138.39699999999999</v>
      </c>
      <c r="AI654" s="87">
        <v>7130</v>
      </c>
      <c r="AJ654" s="85">
        <v>145.79900000000001</v>
      </c>
    </row>
    <row r="655" spans="1:36" ht="14.25" customHeight="1">
      <c r="A655" s="88">
        <v>7160</v>
      </c>
      <c r="B655" s="84">
        <v>305.13799999999998</v>
      </c>
      <c r="C655" s="88">
        <v>7170</v>
      </c>
      <c r="D655" s="85">
        <v>302.79300000000001</v>
      </c>
      <c r="E655" s="86">
        <v>7160</v>
      </c>
      <c r="F655" s="85">
        <v>703.73199999999997</v>
      </c>
      <c r="G655" s="87">
        <v>7160</v>
      </c>
      <c r="H655" s="85">
        <v>703.73299999999995</v>
      </c>
      <c r="I655" s="87">
        <v>7160</v>
      </c>
      <c r="J655" s="85">
        <v>626.09</v>
      </c>
      <c r="K655" s="87">
        <v>7160</v>
      </c>
      <c r="L655" s="85">
        <v>625.55700000000002</v>
      </c>
      <c r="M655" s="87">
        <v>7160</v>
      </c>
      <c r="N655" s="85">
        <v>625.93299999999999</v>
      </c>
      <c r="O655" s="87">
        <v>7140</v>
      </c>
      <c r="P655" s="85">
        <v>627.03099999999995</v>
      </c>
      <c r="Q655" s="87">
        <v>7160</v>
      </c>
      <c r="R655" s="85">
        <v>626.66</v>
      </c>
      <c r="S655" s="87">
        <v>7160</v>
      </c>
      <c r="T655" s="85">
        <v>627.327</v>
      </c>
      <c r="U655" s="87">
        <v>7150</v>
      </c>
      <c r="V655" s="85">
        <v>626.75400000000002</v>
      </c>
      <c r="W655" s="87">
        <v>7160</v>
      </c>
      <c r="X655" s="85">
        <v>626.27099999999996</v>
      </c>
      <c r="Y655" s="87">
        <v>7160</v>
      </c>
      <c r="Z655" s="85">
        <v>624.65800000000002</v>
      </c>
      <c r="AA655" s="87">
        <v>7160</v>
      </c>
      <c r="AB655" s="85">
        <v>624.86</v>
      </c>
      <c r="AC655" s="87">
        <v>7150</v>
      </c>
      <c r="AD655" s="85">
        <v>548.68200000000002</v>
      </c>
      <c r="AE655" s="87">
        <v>7160</v>
      </c>
      <c r="AF655" s="85">
        <v>550.26</v>
      </c>
      <c r="AG655" s="87">
        <v>7140</v>
      </c>
      <c r="AH655" s="85">
        <v>138.02099999999999</v>
      </c>
      <c r="AI655" s="87">
        <v>7140</v>
      </c>
      <c r="AJ655" s="85">
        <v>145.40799999999999</v>
      </c>
    </row>
    <row r="656" spans="1:36" ht="14.25" customHeight="1">
      <c r="A656" s="88">
        <v>7170</v>
      </c>
      <c r="B656" s="84">
        <v>304.39400000000001</v>
      </c>
      <c r="C656" s="88">
        <v>7180</v>
      </c>
      <c r="D656" s="85">
        <v>302.053</v>
      </c>
      <c r="E656" s="86">
        <v>7170</v>
      </c>
      <c r="F656" s="85">
        <v>702.26199999999994</v>
      </c>
      <c r="G656" s="87">
        <v>7170</v>
      </c>
      <c r="H656" s="85">
        <v>702.26400000000001</v>
      </c>
      <c r="I656" s="87">
        <v>7170</v>
      </c>
      <c r="J656" s="85">
        <v>624.87699999999995</v>
      </c>
      <c r="K656" s="87">
        <v>7170</v>
      </c>
      <c r="L656" s="85">
        <v>624.34299999999996</v>
      </c>
      <c r="M656" s="87">
        <v>7170</v>
      </c>
      <c r="N656" s="85">
        <v>624.72</v>
      </c>
      <c r="O656" s="87">
        <v>7150</v>
      </c>
      <c r="P656" s="85">
        <v>625.81899999999996</v>
      </c>
      <c r="Q656" s="87">
        <v>7170</v>
      </c>
      <c r="R656" s="85">
        <v>625.447</v>
      </c>
      <c r="S656" s="87">
        <v>7170</v>
      </c>
      <c r="T656" s="85">
        <v>626.11500000000001</v>
      </c>
      <c r="U656" s="87">
        <v>7160</v>
      </c>
      <c r="V656" s="85">
        <v>625.54399999999998</v>
      </c>
      <c r="W656" s="87">
        <v>7170</v>
      </c>
      <c r="X656" s="85">
        <v>625.05999999999995</v>
      </c>
      <c r="Y656" s="87">
        <v>7170</v>
      </c>
      <c r="Z656" s="85">
        <v>623.447</v>
      </c>
      <c r="AA656" s="87">
        <v>7170</v>
      </c>
      <c r="AB656" s="85">
        <v>623.65</v>
      </c>
      <c r="AC656" s="87">
        <v>7160</v>
      </c>
      <c r="AD656" s="85">
        <v>547.47199999999998</v>
      </c>
      <c r="AE656" s="87">
        <v>7170</v>
      </c>
      <c r="AF656" s="85">
        <v>549.04999999999995</v>
      </c>
      <c r="AG656" s="87">
        <v>7150</v>
      </c>
      <c r="AH656" s="85">
        <v>137.64400000000001</v>
      </c>
      <c r="AI656" s="87">
        <v>7150</v>
      </c>
      <c r="AJ656" s="85">
        <v>145.017</v>
      </c>
    </row>
    <row r="657" spans="1:36" ht="14.25" customHeight="1">
      <c r="A657" s="88">
        <v>7180</v>
      </c>
      <c r="B657" s="84">
        <v>303.64999999999998</v>
      </c>
      <c r="C657" s="88">
        <v>7190</v>
      </c>
      <c r="D657" s="85">
        <v>301.31299999999999</v>
      </c>
      <c r="E657" s="86">
        <v>7180</v>
      </c>
      <c r="F657" s="85">
        <v>700.79100000000005</v>
      </c>
      <c r="G657" s="87">
        <v>7180</v>
      </c>
      <c r="H657" s="85">
        <v>700.79399999999998</v>
      </c>
      <c r="I657" s="87">
        <v>7180</v>
      </c>
      <c r="J657" s="85">
        <v>623.66499999999996</v>
      </c>
      <c r="K657" s="87">
        <v>7180</v>
      </c>
      <c r="L657" s="85">
        <v>623.13</v>
      </c>
      <c r="M657" s="87">
        <v>7180</v>
      </c>
      <c r="N657" s="85">
        <v>623.50800000000004</v>
      </c>
      <c r="O657" s="87">
        <v>7160</v>
      </c>
      <c r="P657" s="85">
        <v>624.60599999999999</v>
      </c>
      <c r="Q657" s="87">
        <v>7180</v>
      </c>
      <c r="R657" s="85">
        <v>624.23500000000001</v>
      </c>
      <c r="S657" s="87">
        <v>7180</v>
      </c>
      <c r="T657" s="85">
        <v>624.90300000000002</v>
      </c>
      <c r="U657" s="87">
        <v>7170</v>
      </c>
      <c r="V657" s="85">
        <v>624.33399999999995</v>
      </c>
      <c r="W657" s="87">
        <v>7180</v>
      </c>
      <c r="X657" s="85">
        <v>623.84900000000005</v>
      </c>
      <c r="Y657" s="87">
        <v>7180</v>
      </c>
      <c r="Z657" s="85">
        <v>622.23599999999999</v>
      </c>
      <c r="AA657" s="87">
        <v>7180</v>
      </c>
      <c r="AB657" s="85">
        <v>622.44000000000005</v>
      </c>
      <c r="AC657" s="87">
        <v>7170</v>
      </c>
      <c r="AD657" s="85">
        <v>546.26099999999997</v>
      </c>
      <c r="AE657" s="87">
        <v>7180</v>
      </c>
      <c r="AF657" s="85">
        <v>547.84100000000001</v>
      </c>
      <c r="AG657" s="87">
        <v>7160</v>
      </c>
      <c r="AH657" s="85">
        <v>137.268</v>
      </c>
      <c r="AI657" s="87">
        <v>7160</v>
      </c>
      <c r="AJ657" s="85">
        <v>144.62700000000001</v>
      </c>
    </row>
    <row r="658" spans="1:36" ht="14.25" customHeight="1">
      <c r="A658" s="88">
        <v>7190</v>
      </c>
      <c r="B658" s="84">
        <v>302.90600000000001</v>
      </c>
      <c r="C658" s="88">
        <v>7200</v>
      </c>
      <c r="D658" s="85">
        <v>300.57400000000001</v>
      </c>
      <c r="E658" s="86">
        <v>7190</v>
      </c>
      <c r="F658" s="85">
        <v>699.32</v>
      </c>
      <c r="G658" s="87">
        <v>7190</v>
      </c>
      <c r="H658" s="85">
        <v>699.32500000000005</v>
      </c>
      <c r="I658" s="87">
        <v>7190</v>
      </c>
      <c r="J658" s="85">
        <v>622.45299999999997</v>
      </c>
      <c r="K658" s="87">
        <v>7190</v>
      </c>
      <c r="L658" s="85">
        <v>621.91600000000005</v>
      </c>
      <c r="M658" s="87">
        <v>7190</v>
      </c>
      <c r="N658" s="85">
        <v>622.29600000000005</v>
      </c>
      <c r="O658" s="87">
        <v>7170</v>
      </c>
      <c r="P658" s="85">
        <v>623.39400000000001</v>
      </c>
      <c r="Q658" s="87">
        <v>7190</v>
      </c>
      <c r="R658" s="85">
        <v>623.02300000000002</v>
      </c>
      <c r="S658" s="87">
        <v>7190</v>
      </c>
      <c r="T658" s="85">
        <v>623.69100000000003</v>
      </c>
      <c r="U658" s="87">
        <v>7180</v>
      </c>
      <c r="V658" s="85">
        <v>623.12300000000005</v>
      </c>
      <c r="W658" s="87">
        <v>7190</v>
      </c>
      <c r="X658" s="85">
        <v>622.63800000000003</v>
      </c>
      <c r="Y658" s="87">
        <v>7190</v>
      </c>
      <c r="Z658" s="85">
        <v>621.02499999999998</v>
      </c>
      <c r="AA658" s="87">
        <v>7190</v>
      </c>
      <c r="AB658" s="85">
        <v>621.23</v>
      </c>
      <c r="AC658" s="87">
        <v>7180</v>
      </c>
      <c r="AD658" s="85">
        <v>545.05100000000004</v>
      </c>
      <c r="AE658" s="87">
        <v>7190</v>
      </c>
      <c r="AF658" s="85">
        <v>546.63099999999997</v>
      </c>
      <c r="AG658" s="87">
        <v>7170</v>
      </c>
      <c r="AH658" s="85">
        <v>136.892</v>
      </c>
      <c r="AI658" s="87">
        <v>7170</v>
      </c>
      <c r="AJ658" s="85">
        <v>144.23599999999999</v>
      </c>
    </row>
    <row r="659" spans="1:36" ht="14.25" customHeight="1">
      <c r="A659" s="88">
        <v>7200</v>
      </c>
      <c r="B659" s="84">
        <v>302.16199999999998</v>
      </c>
      <c r="C659" s="88">
        <v>7210</v>
      </c>
      <c r="D659" s="85">
        <v>299.83499999999998</v>
      </c>
      <c r="E659" s="86">
        <v>7200</v>
      </c>
      <c r="F659" s="85">
        <v>697.85</v>
      </c>
      <c r="G659" s="87">
        <v>7200</v>
      </c>
      <c r="H659" s="85">
        <v>697.85599999999999</v>
      </c>
      <c r="I659" s="87">
        <v>7200</v>
      </c>
      <c r="J659" s="85">
        <v>621.24</v>
      </c>
      <c r="K659" s="87">
        <v>7200</v>
      </c>
      <c r="L659" s="85">
        <v>620.70299999999997</v>
      </c>
      <c r="M659" s="87">
        <v>7200</v>
      </c>
      <c r="N659" s="85">
        <v>621.08299999999997</v>
      </c>
      <c r="O659" s="87">
        <v>7180</v>
      </c>
      <c r="P659" s="85">
        <v>622.18100000000004</v>
      </c>
      <c r="Q659" s="87">
        <v>7200</v>
      </c>
      <c r="R659" s="85">
        <v>621.80999999999995</v>
      </c>
      <c r="S659" s="87">
        <v>7200</v>
      </c>
      <c r="T659" s="85">
        <v>622.47900000000004</v>
      </c>
      <c r="U659" s="87">
        <v>7190</v>
      </c>
      <c r="V659" s="85">
        <v>621.91300000000001</v>
      </c>
      <c r="W659" s="87">
        <v>7200</v>
      </c>
      <c r="X659" s="85">
        <v>621.42700000000002</v>
      </c>
      <c r="Y659" s="87">
        <v>7200</v>
      </c>
      <c r="Z659" s="85">
        <v>619.81399999999996</v>
      </c>
      <c r="AA659" s="87">
        <v>7200</v>
      </c>
      <c r="AB659" s="85">
        <v>620.02</v>
      </c>
      <c r="AC659" s="87">
        <v>7190</v>
      </c>
      <c r="AD659" s="85">
        <v>543.84100000000001</v>
      </c>
      <c r="AE659" s="87">
        <v>7200</v>
      </c>
      <c r="AF659" s="85">
        <v>545.42100000000005</v>
      </c>
      <c r="AG659" s="87">
        <v>7180</v>
      </c>
      <c r="AH659" s="85">
        <v>136.51599999999999</v>
      </c>
      <c r="AI659" s="87">
        <v>7180</v>
      </c>
      <c r="AJ659" s="85">
        <v>143.846</v>
      </c>
    </row>
    <row r="660" spans="1:36" ht="14.25" customHeight="1">
      <c r="A660" s="88">
        <v>7210</v>
      </c>
      <c r="B660" s="84">
        <v>301.41899999999998</v>
      </c>
      <c r="C660" s="88">
        <v>7220</v>
      </c>
      <c r="D660" s="85">
        <v>299.096</v>
      </c>
      <c r="E660" s="86">
        <v>7210</v>
      </c>
      <c r="F660" s="85">
        <v>696.37900000000002</v>
      </c>
      <c r="G660" s="87">
        <v>7210</v>
      </c>
      <c r="H660" s="85">
        <v>696.38599999999997</v>
      </c>
      <c r="I660" s="87">
        <v>7210</v>
      </c>
      <c r="J660" s="85">
        <v>620.02800000000002</v>
      </c>
      <c r="K660" s="87">
        <v>7210</v>
      </c>
      <c r="L660" s="85">
        <v>619.48900000000003</v>
      </c>
      <c r="M660" s="87">
        <v>7210</v>
      </c>
      <c r="N660" s="85">
        <v>619.87099999999998</v>
      </c>
      <c r="O660" s="87">
        <v>7190</v>
      </c>
      <c r="P660" s="85">
        <v>620.96900000000005</v>
      </c>
      <c r="Q660" s="87">
        <v>7210</v>
      </c>
      <c r="R660" s="85">
        <v>620.59799999999996</v>
      </c>
      <c r="S660" s="87">
        <v>7210</v>
      </c>
      <c r="T660" s="85">
        <v>621.26700000000005</v>
      </c>
      <c r="U660" s="87">
        <v>7200</v>
      </c>
      <c r="V660" s="85">
        <v>620.70299999999997</v>
      </c>
      <c r="W660" s="87">
        <v>7210</v>
      </c>
      <c r="X660" s="85">
        <v>620.21600000000001</v>
      </c>
      <c r="Y660" s="87">
        <v>7210</v>
      </c>
      <c r="Z660" s="85">
        <v>618.60199999999998</v>
      </c>
      <c r="AA660" s="87">
        <v>7210</v>
      </c>
      <c r="AB660" s="85">
        <v>618.80999999999995</v>
      </c>
      <c r="AC660" s="87">
        <v>7200</v>
      </c>
      <c r="AD660" s="85">
        <v>542.63099999999997</v>
      </c>
      <c r="AE660" s="87">
        <v>7210</v>
      </c>
      <c r="AF660" s="85">
        <v>544.21100000000001</v>
      </c>
      <c r="AG660" s="87">
        <v>7190</v>
      </c>
      <c r="AH660" s="85">
        <v>136.13999999999999</v>
      </c>
      <c r="AI660" s="87">
        <v>7190</v>
      </c>
      <c r="AJ660" s="85">
        <v>143.45599999999999</v>
      </c>
    </row>
    <row r="661" spans="1:36" ht="14.25" customHeight="1">
      <c r="A661" s="88">
        <v>7220</v>
      </c>
      <c r="B661" s="84">
        <v>300.67500000000001</v>
      </c>
      <c r="C661" s="88">
        <v>7230</v>
      </c>
      <c r="D661" s="85">
        <v>298.35700000000003</v>
      </c>
      <c r="E661" s="86">
        <v>7220</v>
      </c>
      <c r="F661" s="85">
        <v>694.90899999999999</v>
      </c>
      <c r="G661" s="87">
        <v>7220</v>
      </c>
      <c r="H661" s="85">
        <v>694.91700000000003</v>
      </c>
      <c r="I661" s="87">
        <v>7220</v>
      </c>
      <c r="J661" s="85">
        <v>618.81600000000003</v>
      </c>
      <c r="K661" s="87">
        <v>7220</v>
      </c>
      <c r="L661" s="85">
        <v>618.27499999999998</v>
      </c>
      <c r="M661" s="87">
        <v>7220</v>
      </c>
      <c r="N661" s="85">
        <v>618.65899999999999</v>
      </c>
      <c r="O661" s="87">
        <v>7200</v>
      </c>
      <c r="P661" s="85">
        <v>619.75599999999997</v>
      </c>
      <c r="Q661" s="87">
        <v>7220</v>
      </c>
      <c r="R661" s="85">
        <v>619.38599999999997</v>
      </c>
      <c r="S661" s="87">
        <v>7220</v>
      </c>
      <c r="T661" s="85">
        <v>620.05399999999997</v>
      </c>
      <c r="U661" s="87">
        <v>7210</v>
      </c>
      <c r="V661" s="85">
        <v>619.49300000000005</v>
      </c>
      <c r="W661" s="87">
        <v>7220</v>
      </c>
      <c r="X661" s="85">
        <v>619.005</v>
      </c>
      <c r="Y661" s="87">
        <v>7220</v>
      </c>
      <c r="Z661" s="85">
        <v>617.39099999999996</v>
      </c>
      <c r="AA661" s="87">
        <v>7220</v>
      </c>
      <c r="AB661" s="85">
        <v>617.6</v>
      </c>
      <c r="AC661" s="87">
        <v>7210</v>
      </c>
      <c r="AD661" s="85">
        <v>541.42100000000005</v>
      </c>
      <c r="AE661" s="87">
        <v>7220</v>
      </c>
      <c r="AF661" s="85">
        <v>543.00199999999995</v>
      </c>
      <c r="AG661" s="87">
        <v>7200</v>
      </c>
      <c r="AH661" s="85">
        <v>135.76400000000001</v>
      </c>
      <c r="AI661" s="87">
        <v>7200</v>
      </c>
      <c r="AJ661" s="85">
        <v>143.066</v>
      </c>
    </row>
    <row r="662" spans="1:36" ht="14.25" customHeight="1">
      <c r="A662" s="88">
        <v>7230</v>
      </c>
      <c r="B662" s="84">
        <v>299.93200000000002</v>
      </c>
      <c r="C662" s="88">
        <v>7240</v>
      </c>
      <c r="D662" s="85">
        <v>297.61799999999999</v>
      </c>
      <c r="E662" s="86">
        <v>7230</v>
      </c>
      <c r="F662" s="85">
        <v>693.43899999999996</v>
      </c>
      <c r="G662" s="87">
        <v>7230</v>
      </c>
      <c r="H662" s="85">
        <v>693.44799999999998</v>
      </c>
      <c r="I662" s="87">
        <v>7230</v>
      </c>
      <c r="J662" s="85">
        <v>617.60400000000004</v>
      </c>
      <c r="K662" s="87">
        <v>7230</v>
      </c>
      <c r="L662" s="85">
        <v>617.06200000000001</v>
      </c>
      <c r="M662" s="87">
        <v>7230</v>
      </c>
      <c r="N662" s="85">
        <v>617.44600000000003</v>
      </c>
      <c r="O662" s="87">
        <v>7210</v>
      </c>
      <c r="P662" s="85">
        <v>618.54300000000001</v>
      </c>
      <c r="Q662" s="87">
        <v>7230</v>
      </c>
      <c r="R662" s="85">
        <v>618.173</v>
      </c>
      <c r="S662" s="87">
        <v>7230</v>
      </c>
      <c r="T662" s="85">
        <v>618.84199999999998</v>
      </c>
      <c r="U662" s="87">
        <v>7220</v>
      </c>
      <c r="V662" s="85">
        <v>618.28300000000002</v>
      </c>
      <c r="W662" s="87">
        <v>7230</v>
      </c>
      <c r="X662" s="85">
        <v>617.79399999999998</v>
      </c>
      <c r="Y662" s="87">
        <v>7230</v>
      </c>
      <c r="Z662" s="85">
        <v>616.17999999999995</v>
      </c>
      <c r="AA662" s="87">
        <v>7230</v>
      </c>
      <c r="AB662" s="85">
        <v>616.39</v>
      </c>
      <c r="AC662" s="87">
        <v>7220</v>
      </c>
      <c r="AD662" s="85">
        <v>540.21100000000001</v>
      </c>
      <c r="AE662" s="87">
        <v>7230</v>
      </c>
      <c r="AF662" s="85">
        <v>541.79200000000003</v>
      </c>
      <c r="AG662" s="87">
        <v>7210</v>
      </c>
      <c r="AH662" s="85">
        <v>135.38900000000001</v>
      </c>
      <c r="AI662" s="87">
        <v>7210</v>
      </c>
      <c r="AJ662" s="85">
        <v>142.67599999999999</v>
      </c>
    </row>
    <row r="663" spans="1:36" ht="14.25" customHeight="1">
      <c r="A663" s="88">
        <v>7240</v>
      </c>
      <c r="B663" s="84">
        <v>299.19</v>
      </c>
      <c r="C663" s="88">
        <v>7250</v>
      </c>
      <c r="D663" s="85">
        <v>296.88</v>
      </c>
      <c r="E663" s="86">
        <v>7240</v>
      </c>
      <c r="F663" s="85">
        <v>691.96900000000005</v>
      </c>
      <c r="G663" s="87">
        <v>7240</v>
      </c>
      <c r="H663" s="85">
        <v>691.97900000000004</v>
      </c>
      <c r="I663" s="87">
        <v>7240</v>
      </c>
      <c r="J663" s="85">
        <v>616.39099999999996</v>
      </c>
      <c r="K663" s="87">
        <v>7240</v>
      </c>
      <c r="L663" s="85">
        <v>615.84799999999996</v>
      </c>
      <c r="M663" s="87">
        <v>7240</v>
      </c>
      <c r="N663" s="85">
        <v>616.23400000000004</v>
      </c>
      <c r="O663" s="87">
        <v>7220</v>
      </c>
      <c r="P663" s="85">
        <v>617.33100000000002</v>
      </c>
      <c r="Q663" s="87">
        <v>7240</v>
      </c>
      <c r="R663" s="85">
        <v>616.96100000000001</v>
      </c>
      <c r="S663" s="87">
        <v>7240</v>
      </c>
      <c r="T663" s="85">
        <v>617.63</v>
      </c>
      <c r="U663" s="87">
        <v>7230</v>
      </c>
      <c r="V663" s="85">
        <v>617.07299999999998</v>
      </c>
      <c r="W663" s="87">
        <v>7240</v>
      </c>
      <c r="X663" s="85">
        <v>616.58299999999997</v>
      </c>
      <c r="Y663" s="87">
        <v>7240</v>
      </c>
      <c r="Z663" s="85">
        <v>614.96900000000005</v>
      </c>
      <c r="AA663" s="87">
        <v>7240</v>
      </c>
      <c r="AB663" s="85">
        <v>615.17999999999995</v>
      </c>
      <c r="AC663" s="87">
        <v>7230</v>
      </c>
      <c r="AD663" s="85">
        <v>539.00099999999998</v>
      </c>
      <c r="AE663" s="87">
        <v>7240</v>
      </c>
      <c r="AF663" s="85">
        <v>540.58299999999997</v>
      </c>
      <c r="AG663" s="87">
        <v>7220</v>
      </c>
      <c r="AH663" s="85">
        <v>135.01400000000001</v>
      </c>
      <c r="AI663" s="87">
        <v>7220</v>
      </c>
      <c r="AJ663" s="85">
        <v>142.286</v>
      </c>
    </row>
    <row r="664" spans="1:36" ht="14.25" customHeight="1">
      <c r="A664" s="88">
        <v>7250</v>
      </c>
      <c r="B664" s="84">
        <v>298.447</v>
      </c>
      <c r="C664" s="88">
        <v>7260</v>
      </c>
      <c r="D664" s="85">
        <v>296.14100000000002</v>
      </c>
      <c r="E664" s="86">
        <v>7250</v>
      </c>
      <c r="F664" s="85">
        <v>690.49900000000002</v>
      </c>
      <c r="G664" s="87">
        <v>7250</v>
      </c>
      <c r="H664" s="85">
        <v>690.51</v>
      </c>
      <c r="I664" s="87">
        <v>7250</v>
      </c>
      <c r="J664" s="85">
        <v>615.17899999999997</v>
      </c>
      <c r="K664" s="87">
        <v>7250</v>
      </c>
      <c r="L664" s="85">
        <v>614.63499999999999</v>
      </c>
      <c r="M664" s="87">
        <v>7250</v>
      </c>
      <c r="N664" s="85">
        <v>615.02200000000005</v>
      </c>
      <c r="O664" s="87">
        <v>7230</v>
      </c>
      <c r="P664" s="85">
        <v>616.11800000000005</v>
      </c>
      <c r="Q664" s="87">
        <v>7250</v>
      </c>
      <c r="R664" s="85">
        <v>615.74800000000005</v>
      </c>
      <c r="S664" s="87">
        <v>7250</v>
      </c>
      <c r="T664" s="85">
        <v>616.41800000000001</v>
      </c>
      <c r="U664" s="87">
        <v>7240</v>
      </c>
      <c r="V664" s="85">
        <v>615.86300000000006</v>
      </c>
      <c r="W664" s="87">
        <v>7250</v>
      </c>
      <c r="X664" s="85">
        <v>615.37199999999996</v>
      </c>
      <c r="Y664" s="87">
        <v>7250</v>
      </c>
      <c r="Z664" s="85">
        <v>613.75800000000004</v>
      </c>
      <c r="AA664" s="87">
        <v>7250</v>
      </c>
      <c r="AB664" s="85">
        <v>613.97</v>
      </c>
      <c r="AC664" s="87">
        <v>7240</v>
      </c>
      <c r="AD664" s="85">
        <v>537.79100000000005</v>
      </c>
      <c r="AE664" s="87">
        <v>7250</v>
      </c>
      <c r="AF664" s="85">
        <v>539.37300000000005</v>
      </c>
      <c r="AG664" s="87">
        <v>7230</v>
      </c>
      <c r="AH664" s="85">
        <v>134.63800000000001</v>
      </c>
      <c r="AI664" s="87">
        <v>7230</v>
      </c>
      <c r="AJ664" s="85">
        <v>141.89599999999999</v>
      </c>
    </row>
    <row r="665" spans="1:36" ht="14.25" customHeight="1">
      <c r="A665" s="88">
        <v>7260</v>
      </c>
      <c r="B665" s="84">
        <v>297.70400000000001</v>
      </c>
      <c r="C665" s="88">
        <v>7270</v>
      </c>
      <c r="D665" s="85">
        <v>295.40300000000002</v>
      </c>
      <c r="E665" s="86">
        <v>7260</v>
      </c>
      <c r="F665" s="85">
        <v>689.029</v>
      </c>
      <c r="G665" s="87">
        <v>7260</v>
      </c>
      <c r="H665" s="85">
        <v>689.04200000000003</v>
      </c>
      <c r="I665" s="87">
        <v>7260</v>
      </c>
      <c r="J665" s="85">
        <v>613.96699999999998</v>
      </c>
      <c r="K665" s="87">
        <v>7260</v>
      </c>
      <c r="L665" s="85">
        <v>613.42100000000005</v>
      </c>
      <c r="M665" s="87">
        <v>7260</v>
      </c>
      <c r="N665" s="85">
        <v>613.80999999999995</v>
      </c>
      <c r="O665" s="87">
        <v>7240</v>
      </c>
      <c r="P665" s="85">
        <v>614.90599999999995</v>
      </c>
      <c r="Q665" s="87">
        <v>7260</v>
      </c>
      <c r="R665" s="85">
        <v>614.53599999999994</v>
      </c>
      <c r="S665" s="87">
        <v>7260</v>
      </c>
      <c r="T665" s="85">
        <v>615.20600000000002</v>
      </c>
      <c r="U665" s="87">
        <v>7250</v>
      </c>
      <c r="V665" s="85">
        <v>614.65300000000002</v>
      </c>
      <c r="W665" s="87">
        <v>7260</v>
      </c>
      <c r="X665" s="85">
        <v>614.16099999999994</v>
      </c>
      <c r="Y665" s="87">
        <v>7260</v>
      </c>
      <c r="Z665" s="85">
        <v>612.54700000000003</v>
      </c>
      <c r="AA665" s="87">
        <v>7260</v>
      </c>
      <c r="AB665" s="85">
        <v>612.76</v>
      </c>
      <c r="AC665" s="87">
        <v>7250</v>
      </c>
      <c r="AD665" s="85">
        <v>536.58000000000004</v>
      </c>
      <c r="AE665" s="87">
        <v>7260</v>
      </c>
      <c r="AF665" s="85">
        <v>538.16399999999999</v>
      </c>
      <c r="AG665" s="87">
        <v>7240</v>
      </c>
      <c r="AH665" s="85">
        <v>134.26300000000001</v>
      </c>
      <c r="AI665" s="87">
        <v>7240</v>
      </c>
      <c r="AJ665" s="85">
        <v>141.50700000000001</v>
      </c>
    </row>
    <row r="666" spans="1:36" ht="14.25" customHeight="1">
      <c r="A666" s="88">
        <v>7270</v>
      </c>
      <c r="B666" s="84">
        <v>296.96199999999999</v>
      </c>
      <c r="C666" s="88">
        <v>7280</v>
      </c>
      <c r="D666" s="85">
        <v>294.66500000000002</v>
      </c>
      <c r="E666" s="86">
        <v>7270</v>
      </c>
      <c r="F666" s="85">
        <v>687.56</v>
      </c>
      <c r="G666" s="87">
        <v>7270</v>
      </c>
      <c r="H666" s="85">
        <v>687.57299999999998</v>
      </c>
      <c r="I666" s="87">
        <v>7270</v>
      </c>
      <c r="J666" s="85">
        <v>612.75400000000002</v>
      </c>
      <c r="K666" s="87">
        <v>7270</v>
      </c>
      <c r="L666" s="85">
        <v>612.20799999999997</v>
      </c>
      <c r="M666" s="87">
        <v>7270</v>
      </c>
      <c r="N666" s="85">
        <v>612.59699999999998</v>
      </c>
      <c r="O666" s="87">
        <v>7250</v>
      </c>
      <c r="P666" s="85">
        <v>613.69299999999998</v>
      </c>
      <c r="Q666" s="87">
        <v>7270</v>
      </c>
      <c r="R666" s="85">
        <v>613.32399999999996</v>
      </c>
      <c r="S666" s="87">
        <v>7270</v>
      </c>
      <c r="T666" s="85">
        <v>613.99400000000003</v>
      </c>
      <c r="U666" s="87">
        <v>7260</v>
      </c>
      <c r="V666" s="85">
        <v>613.44200000000001</v>
      </c>
      <c r="W666" s="87">
        <v>7270</v>
      </c>
      <c r="X666" s="85">
        <v>612.95000000000005</v>
      </c>
      <c r="Y666" s="87">
        <v>7270</v>
      </c>
      <c r="Z666" s="85">
        <v>611.33600000000001</v>
      </c>
      <c r="AA666" s="87">
        <v>7270</v>
      </c>
      <c r="AB666" s="85">
        <v>611.54999999999995</v>
      </c>
      <c r="AC666" s="87">
        <v>7260</v>
      </c>
      <c r="AD666" s="85">
        <v>535.37</v>
      </c>
      <c r="AE666" s="87">
        <v>7270</v>
      </c>
      <c r="AF666" s="85">
        <v>536.95399999999995</v>
      </c>
      <c r="AG666" s="87">
        <v>7250</v>
      </c>
      <c r="AH666" s="85">
        <v>133.88900000000001</v>
      </c>
      <c r="AI666" s="87">
        <v>7250</v>
      </c>
      <c r="AJ666" s="85">
        <v>141.11799999999999</v>
      </c>
    </row>
    <row r="667" spans="1:36" ht="14.25" customHeight="1">
      <c r="A667" s="88">
        <v>7280</v>
      </c>
      <c r="B667" s="84">
        <v>296.22000000000003</v>
      </c>
      <c r="C667" s="88">
        <v>7290</v>
      </c>
      <c r="D667" s="85">
        <v>293.928</v>
      </c>
      <c r="E667" s="86">
        <v>7280</v>
      </c>
      <c r="F667" s="85">
        <v>686.09</v>
      </c>
      <c r="G667" s="87">
        <v>7280</v>
      </c>
      <c r="H667" s="85">
        <v>686.10500000000002</v>
      </c>
      <c r="I667" s="87">
        <v>7280</v>
      </c>
      <c r="J667" s="85">
        <v>611.54200000000003</v>
      </c>
      <c r="K667" s="87">
        <v>7280</v>
      </c>
      <c r="L667" s="85">
        <v>610.99400000000003</v>
      </c>
      <c r="M667" s="87">
        <v>7280</v>
      </c>
      <c r="N667" s="85">
        <v>611.38499999999999</v>
      </c>
      <c r="O667" s="87">
        <v>7260</v>
      </c>
      <c r="P667" s="85">
        <v>612.48099999999999</v>
      </c>
      <c r="Q667" s="87">
        <v>7280</v>
      </c>
      <c r="R667" s="85">
        <v>612.11199999999997</v>
      </c>
      <c r="S667" s="87">
        <v>7280</v>
      </c>
      <c r="T667" s="85">
        <v>612.78099999999995</v>
      </c>
      <c r="U667" s="87">
        <v>7270</v>
      </c>
      <c r="V667" s="85">
        <v>612.23199999999997</v>
      </c>
      <c r="W667" s="87">
        <v>7280</v>
      </c>
      <c r="X667" s="85">
        <v>611.73900000000003</v>
      </c>
      <c r="Y667" s="87">
        <v>7280</v>
      </c>
      <c r="Z667" s="85">
        <v>610.125</v>
      </c>
      <c r="AA667" s="87">
        <v>7280</v>
      </c>
      <c r="AB667" s="85">
        <v>610.34</v>
      </c>
      <c r="AC667" s="87">
        <v>7270</v>
      </c>
      <c r="AD667" s="85">
        <v>534.16</v>
      </c>
      <c r="AE667" s="87">
        <v>7280</v>
      </c>
      <c r="AF667" s="85">
        <v>535.74400000000003</v>
      </c>
      <c r="AG667" s="87">
        <v>7260</v>
      </c>
      <c r="AH667" s="85">
        <v>133.51400000000001</v>
      </c>
      <c r="AI667" s="87">
        <v>7260</v>
      </c>
      <c r="AJ667" s="85">
        <v>140.72900000000001</v>
      </c>
    </row>
    <row r="668" spans="1:36" ht="14.25" customHeight="1">
      <c r="A668" s="88">
        <v>7290</v>
      </c>
      <c r="B668" s="84">
        <v>295.47800000000001</v>
      </c>
      <c r="C668" s="88">
        <v>7300</v>
      </c>
      <c r="D668" s="85">
        <v>293.19</v>
      </c>
      <c r="E668" s="86">
        <v>7290</v>
      </c>
      <c r="F668" s="85">
        <v>684.62099999999998</v>
      </c>
      <c r="G668" s="87">
        <v>7290</v>
      </c>
      <c r="H668" s="85">
        <v>684.63599999999997</v>
      </c>
      <c r="I668" s="87">
        <v>7290</v>
      </c>
      <c r="J668" s="85">
        <v>610.33000000000004</v>
      </c>
      <c r="K668" s="87">
        <v>7290</v>
      </c>
      <c r="L668" s="85">
        <v>609.78099999999995</v>
      </c>
      <c r="M668" s="87">
        <v>7290</v>
      </c>
      <c r="N668" s="85">
        <v>610.173</v>
      </c>
      <c r="O668" s="87">
        <v>7270</v>
      </c>
      <c r="P668" s="85">
        <v>611.26800000000003</v>
      </c>
      <c r="Q668" s="87">
        <v>7290</v>
      </c>
      <c r="R668" s="85">
        <v>610.899</v>
      </c>
      <c r="S668" s="87">
        <v>7290</v>
      </c>
      <c r="T668" s="85">
        <v>611.56899999999996</v>
      </c>
      <c r="U668" s="87">
        <v>7280</v>
      </c>
      <c r="V668" s="85">
        <v>611.02200000000005</v>
      </c>
      <c r="W668" s="87">
        <v>7290</v>
      </c>
      <c r="X668" s="85">
        <v>610.52800000000002</v>
      </c>
      <c r="Y668" s="87">
        <v>7290</v>
      </c>
      <c r="Z668" s="85">
        <v>608.91300000000001</v>
      </c>
      <c r="AA668" s="87">
        <v>7290</v>
      </c>
      <c r="AB668" s="85">
        <v>609.13</v>
      </c>
      <c r="AC668" s="87">
        <v>7280</v>
      </c>
      <c r="AD668" s="85">
        <v>532.95000000000005</v>
      </c>
      <c r="AE668" s="87">
        <v>7290</v>
      </c>
      <c r="AF668" s="85">
        <v>534.53499999999997</v>
      </c>
      <c r="AG668" s="87">
        <v>7270</v>
      </c>
      <c r="AH668" s="85">
        <v>133.13999999999999</v>
      </c>
      <c r="AI668" s="87">
        <v>7270</v>
      </c>
      <c r="AJ668" s="85">
        <v>140.34</v>
      </c>
    </row>
    <row r="669" spans="1:36" ht="14.25" customHeight="1">
      <c r="A669" s="88">
        <v>7300</v>
      </c>
      <c r="B669" s="84">
        <v>294.73700000000002</v>
      </c>
      <c r="C669" s="88">
        <v>7310</v>
      </c>
      <c r="D669" s="85">
        <v>292.45299999999997</v>
      </c>
      <c r="E669" s="86">
        <v>7300</v>
      </c>
      <c r="F669" s="85">
        <v>683.15099999999995</v>
      </c>
      <c r="G669" s="87">
        <v>7300</v>
      </c>
      <c r="H669" s="85">
        <v>683.16800000000001</v>
      </c>
      <c r="I669" s="87">
        <v>7300</v>
      </c>
      <c r="J669" s="85">
        <v>609.11800000000005</v>
      </c>
      <c r="K669" s="87">
        <v>7300</v>
      </c>
      <c r="L669" s="85">
        <v>608.56700000000001</v>
      </c>
      <c r="M669" s="87">
        <v>7300</v>
      </c>
      <c r="N669" s="85">
        <v>608.96100000000001</v>
      </c>
      <c r="O669" s="87">
        <v>7280</v>
      </c>
      <c r="P669" s="85">
        <v>610.05600000000004</v>
      </c>
      <c r="Q669" s="87">
        <v>7300</v>
      </c>
      <c r="R669" s="85">
        <v>609.68700000000001</v>
      </c>
      <c r="S669" s="87">
        <v>7300</v>
      </c>
      <c r="T669" s="85">
        <v>610.35699999999997</v>
      </c>
      <c r="U669" s="87">
        <v>7290</v>
      </c>
      <c r="V669" s="85">
        <v>609.81200000000001</v>
      </c>
      <c r="W669" s="87">
        <v>7300</v>
      </c>
      <c r="X669" s="85">
        <v>609.31700000000001</v>
      </c>
      <c r="Y669" s="87">
        <v>7300</v>
      </c>
      <c r="Z669" s="85">
        <v>607.702</v>
      </c>
      <c r="AA669" s="87">
        <v>7300</v>
      </c>
      <c r="AB669" s="85">
        <v>607.91999999999996</v>
      </c>
      <c r="AC669" s="87">
        <v>7290</v>
      </c>
      <c r="AD669" s="85">
        <v>531.74099999999999</v>
      </c>
      <c r="AE669" s="87">
        <v>7300</v>
      </c>
      <c r="AF669" s="85">
        <v>533.32500000000005</v>
      </c>
      <c r="AG669" s="87">
        <v>7280</v>
      </c>
      <c r="AH669" s="85">
        <v>132.76599999999999</v>
      </c>
      <c r="AI669" s="87">
        <v>7280</v>
      </c>
      <c r="AJ669" s="85">
        <v>139.95099999999999</v>
      </c>
    </row>
    <row r="670" spans="1:36" ht="14.25" customHeight="1">
      <c r="A670" s="88">
        <v>7310</v>
      </c>
      <c r="B670" s="84">
        <v>293.995</v>
      </c>
      <c r="C670" s="88">
        <v>7320</v>
      </c>
      <c r="D670" s="85">
        <v>291.71600000000001</v>
      </c>
      <c r="E670" s="86">
        <v>7310</v>
      </c>
      <c r="F670" s="85">
        <v>681.68200000000002</v>
      </c>
      <c r="G670" s="87">
        <v>7310</v>
      </c>
      <c r="H670" s="85">
        <v>681.7</v>
      </c>
      <c r="I670" s="87">
        <v>7310</v>
      </c>
      <c r="J670" s="85">
        <v>607.90499999999997</v>
      </c>
      <c r="K670" s="87">
        <v>7310</v>
      </c>
      <c r="L670" s="85">
        <v>607.35299999999995</v>
      </c>
      <c r="M670" s="87">
        <v>7310</v>
      </c>
      <c r="N670" s="85">
        <v>607.74800000000005</v>
      </c>
      <c r="O670" s="87">
        <v>7290</v>
      </c>
      <c r="P670" s="85">
        <v>608.84299999999996</v>
      </c>
      <c r="Q670" s="87">
        <v>7310</v>
      </c>
      <c r="R670" s="85">
        <v>608.47500000000002</v>
      </c>
      <c r="S670" s="87">
        <v>7310</v>
      </c>
      <c r="T670" s="85">
        <v>609.14499999999998</v>
      </c>
      <c r="U670" s="87">
        <v>7300</v>
      </c>
      <c r="V670" s="85">
        <v>608.60199999999998</v>
      </c>
      <c r="W670" s="87">
        <v>7310</v>
      </c>
      <c r="X670" s="85">
        <v>608.10599999999999</v>
      </c>
      <c r="Y670" s="87">
        <v>7310</v>
      </c>
      <c r="Z670" s="85">
        <v>606.49099999999999</v>
      </c>
      <c r="AA670" s="87">
        <v>7310</v>
      </c>
      <c r="AB670" s="85">
        <v>606.71</v>
      </c>
      <c r="AC670" s="87">
        <v>7300</v>
      </c>
      <c r="AD670" s="85">
        <v>530.53099999999995</v>
      </c>
      <c r="AE670" s="87">
        <v>7310</v>
      </c>
      <c r="AF670" s="85">
        <v>532.11599999999999</v>
      </c>
      <c r="AG670" s="87">
        <v>7290</v>
      </c>
      <c r="AH670" s="85">
        <v>132.392</v>
      </c>
      <c r="AI670" s="87">
        <v>7290</v>
      </c>
      <c r="AJ670" s="85">
        <v>139.56299999999999</v>
      </c>
    </row>
    <row r="671" spans="1:36" ht="14.25" customHeight="1">
      <c r="A671" s="88">
        <v>7320</v>
      </c>
      <c r="B671" s="84">
        <v>293.25400000000002</v>
      </c>
      <c r="C671" s="88">
        <v>7330</v>
      </c>
      <c r="D671" s="85">
        <v>290.97899999999998</v>
      </c>
      <c r="E671" s="86">
        <v>7320</v>
      </c>
      <c r="F671" s="85">
        <v>680.21299999999997</v>
      </c>
      <c r="G671" s="87">
        <v>7320</v>
      </c>
      <c r="H671" s="85">
        <v>680.23199999999997</v>
      </c>
      <c r="I671" s="87">
        <v>7320</v>
      </c>
      <c r="J671" s="85">
        <v>606.69299999999998</v>
      </c>
      <c r="K671" s="87">
        <v>7320</v>
      </c>
      <c r="L671" s="85">
        <v>606.14</v>
      </c>
      <c r="M671" s="87">
        <v>7320</v>
      </c>
      <c r="N671" s="85">
        <v>606.53599999999994</v>
      </c>
      <c r="O671" s="87">
        <v>7300</v>
      </c>
      <c r="P671" s="85">
        <v>607.63099999999997</v>
      </c>
      <c r="Q671" s="87">
        <v>7320</v>
      </c>
      <c r="R671" s="85">
        <v>607.26199999999994</v>
      </c>
      <c r="S671" s="87">
        <v>7320</v>
      </c>
      <c r="T671" s="85">
        <v>607.93299999999999</v>
      </c>
      <c r="U671" s="87">
        <v>7310</v>
      </c>
      <c r="V671" s="85">
        <v>607.39200000000005</v>
      </c>
      <c r="W671" s="87">
        <v>7320</v>
      </c>
      <c r="X671" s="85">
        <v>606.89499999999998</v>
      </c>
      <c r="Y671" s="87">
        <v>7320</v>
      </c>
      <c r="Z671" s="85">
        <v>605.28</v>
      </c>
      <c r="AA671" s="87">
        <v>7320</v>
      </c>
      <c r="AB671" s="85">
        <v>605.5</v>
      </c>
      <c r="AC671" s="87">
        <v>7310</v>
      </c>
      <c r="AD671" s="85">
        <v>529.32100000000003</v>
      </c>
      <c r="AE671" s="87">
        <v>7320</v>
      </c>
      <c r="AF671" s="85">
        <v>530.90700000000004</v>
      </c>
      <c r="AG671" s="87">
        <v>7300</v>
      </c>
      <c r="AH671" s="85">
        <v>132.018</v>
      </c>
      <c r="AI671" s="87">
        <v>7300</v>
      </c>
      <c r="AJ671" s="85">
        <v>139.17500000000001</v>
      </c>
    </row>
    <row r="672" spans="1:36" ht="14.25" customHeight="1">
      <c r="A672" s="88">
        <v>7330</v>
      </c>
      <c r="B672" s="84">
        <v>292.51299999999998</v>
      </c>
      <c r="C672" s="88">
        <v>7340</v>
      </c>
      <c r="D672" s="85">
        <v>290.24299999999999</v>
      </c>
      <c r="E672" s="86">
        <v>7330</v>
      </c>
      <c r="F672" s="85">
        <v>678.74400000000003</v>
      </c>
      <c r="G672" s="87">
        <v>7330</v>
      </c>
      <c r="H672" s="85">
        <v>678.76400000000001</v>
      </c>
      <c r="I672" s="87">
        <v>7330</v>
      </c>
      <c r="J672" s="85">
        <v>605.48099999999999</v>
      </c>
      <c r="K672" s="87">
        <v>7330</v>
      </c>
      <c r="L672" s="85">
        <v>604.92600000000004</v>
      </c>
      <c r="M672" s="87">
        <v>7330</v>
      </c>
      <c r="N672" s="85">
        <v>605.32399999999996</v>
      </c>
      <c r="O672" s="87">
        <v>7310</v>
      </c>
      <c r="P672" s="85">
        <v>606.41800000000001</v>
      </c>
      <c r="Q672" s="87">
        <v>7330</v>
      </c>
      <c r="R672" s="85">
        <v>606.04999999999995</v>
      </c>
      <c r="S672" s="87">
        <v>7330</v>
      </c>
      <c r="T672" s="85">
        <v>606.72</v>
      </c>
      <c r="U672" s="87">
        <v>7320</v>
      </c>
      <c r="V672" s="85">
        <v>606.18200000000002</v>
      </c>
      <c r="W672" s="87">
        <v>7330</v>
      </c>
      <c r="X672" s="85">
        <v>605.68399999999997</v>
      </c>
      <c r="Y672" s="87">
        <v>7330</v>
      </c>
      <c r="Z672" s="85">
        <v>604.06899999999996</v>
      </c>
      <c r="AA672" s="87">
        <v>7330</v>
      </c>
      <c r="AB672" s="85">
        <v>604.28899999999999</v>
      </c>
      <c r="AC672" s="87">
        <v>7320</v>
      </c>
      <c r="AD672" s="85">
        <v>528.11099999999999</v>
      </c>
      <c r="AE672" s="87">
        <v>7330</v>
      </c>
      <c r="AF672" s="85">
        <v>529.697</v>
      </c>
      <c r="AG672" s="87">
        <v>7310</v>
      </c>
      <c r="AH672" s="85">
        <v>131.64400000000001</v>
      </c>
      <c r="AI672" s="87">
        <v>7310</v>
      </c>
      <c r="AJ672" s="85">
        <v>138.78700000000001</v>
      </c>
    </row>
    <row r="673" spans="1:36" ht="14.25" customHeight="1">
      <c r="A673" s="88">
        <v>7340</v>
      </c>
      <c r="B673" s="84">
        <v>291.77300000000002</v>
      </c>
      <c r="C673" s="88">
        <v>7350</v>
      </c>
      <c r="D673" s="85">
        <v>289.50700000000001</v>
      </c>
      <c r="E673" s="86">
        <v>7340</v>
      </c>
      <c r="F673" s="85">
        <v>677.27499999999998</v>
      </c>
      <c r="G673" s="87">
        <v>7340</v>
      </c>
      <c r="H673" s="85">
        <v>677.29600000000005</v>
      </c>
      <c r="I673" s="87">
        <v>7340</v>
      </c>
      <c r="J673" s="85">
        <v>604.26900000000001</v>
      </c>
      <c r="K673" s="87">
        <v>7340</v>
      </c>
      <c r="L673" s="85">
        <v>603.71299999999997</v>
      </c>
      <c r="M673" s="87">
        <v>7340</v>
      </c>
      <c r="N673" s="85">
        <v>604.11199999999997</v>
      </c>
      <c r="O673" s="87">
        <v>7320</v>
      </c>
      <c r="P673" s="85">
        <v>605.20600000000002</v>
      </c>
      <c r="Q673" s="87">
        <v>7340</v>
      </c>
      <c r="R673" s="85">
        <v>604.83799999999997</v>
      </c>
      <c r="S673" s="87">
        <v>7340</v>
      </c>
      <c r="T673" s="85">
        <v>605.50800000000004</v>
      </c>
      <c r="U673" s="87">
        <v>7330</v>
      </c>
      <c r="V673" s="85">
        <v>604.97199999999998</v>
      </c>
      <c r="W673" s="87">
        <v>7340</v>
      </c>
      <c r="X673" s="85">
        <v>604.47299999999996</v>
      </c>
      <c r="Y673" s="87">
        <v>7340</v>
      </c>
      <c r="Z673" s="85">
        <v>602.85799999999995</v>
      </c>
      <c r="AA673" s="87">
        <v>7340</v>
      </c>
      <c r="AB673" s="85">
        <v>603.07899999999995</v>
      </c>
      <c r="AC673" s="87">
        <v>7330</v>
      </c>
      <c r="AD673" s="85">
        <v>526.90099999999995</v>
      </c>
      <c r="AE673" s="87">
        <v>7340</v>
      </c>
      <c r="AF673" s="85">
        <v>528.48800000000006</v>
      </c>
      <c r="AG673" s="87">
        <v>7320</v>
      </c>
      <c r="AH673" s="85">
        <v>131.27099999999999</v>
      </c>
      <c r="AI673" s="87">
        <v>7320</v>
      </c>
      <c r="AJ673" s="85">
        <v>138.399</v>
      </c>
    </row>
    <row r="674" spans="1:36" ht="14.25" customHeight="1">
      <c r="A674" s="88">
        <v>7350</v>
      </c>
      <c r="B674" s="84">
        <v>291.03199999999998</v>
      </c>
      <c r="C674" s="88">
        <v>7360</v>
      </c>
      <c r="D674" s="85">
        <v>288.77</v>
      </c>
      <c r="E674" s="86">
        <v>7350</v>
      </c>
      <c r="F674" s="85">
        <v>675.80700000000002</v>
      </c>
      <c r="G674" s="87">
        <v>7350</v>
      </c>
      <c r="H674" s="85">
        <v>675.82799999999997</v>
      </c>
      <c r="I674" s="87">
        <v>7350</v>
      </c>
      <c r="J674" s="85">
        <v>603.05600000000004</v>
      </c>
      <c r="K674" s="87">
        <v>7350</v>
      </c>
      <c r="L674" s="85">
        <v>602.49900000000002</v>
      </c>
      <c r="M674" s="87">
        <v>7350</v>
      </c>
      <c r="N674" s="85">
        <v>602.899</v>
      </c>
      <c r="O674" s="87">
        <v>7330</v>
      </c>
      <c r="P674" s="85">
        <v>603.99300000000005</v>
      </c>
      <c r="Q674" s="87">
        <v>7350</v>
      </c>
      <c r="R674" s="85">
        <v>603.625</v>
      </c>
      <c r="S674" s="87">
        <v>7350</v>
      </c>
      <c r="T674" s="85">
        <v>604.29600000000005</v>
      </c>
      <c r="U674" s="87">
        <v>7340</v>
      </c>
      <c r="V674" s="85">
        <v>603.76199999999994</v>
      </c>
      <c r="W674" s="87">
        <v>7350</v>
      </c>
      <c r="X674" s="85">
        <v>603.26300000000003</v>
      </c>
      <c r="Y674" s="87">
        <v>7350</v>
      </c>
      <c r="Z674" s="85">
        <v>601.64700000000005</v>
      </c>
      <c r="AA674" s="87">
        <v>7350</v>
      </c>
      <c r="AB674" s="85">
        <v>601.87</v>
      </c>
      <c r="AC674" s="87">
        <v>7340</v>
      </c>
      <c r="AD674" s="85">
        <v>525.69100000000003</v>
      </c>
      <c r="AE674" s="87">
        <v>7350</v>
      </c>
      <c r="AF674" s="85">
        <v>527.27800000000002</v>
      </c>
      <c r="AG674" s="87">
        <v>7330</v>
      </c>
      <c r="AH674" s="85">
        <v>130.898</v>
      </c>
      <c r="AI674" s="87">
        <v>7330</v>
      </c>
      <c r="AJ674" s="85">
        <v>138.012</v>
      </c>
    </row>
    <row r="675" spans="1:36" ht="14.25" customHeight="1">
      <c r="A675" s="88">
        <v>7360</v>
      </c>
      <c r="B675" s="84">
        <v>290.29199999999997</v>
      </c>
      <c r="C675" s="88">
        <v>7370</v>
      </c>
      <c r="D675" s="85">
        <v>288.03399999999999</v>
      </c>
      <c r="E675" s="86">
        <v>7360</v>
      </c>
      <c r="F675" s="85">
        <v>674.33799999999997</v>
      </c>
      <c r="G675" s="87">
        <v>7360</v>
      </c>
      <c r="H675" s="85">
        <v>674.36</v>
      </c>
      <c r="I675" s="87">
        <v>7360</v>
      </c>
      <c r="J675" s="85">
        <v>601.84400000000005</v>
      </c>
      <c r="K675" s="87">
        <v>7360</v>
      </c>
      <c r="L675" s="85">
        <v>601.28599999999994</v>
      </c>
      <c r="M675" s="87">
        <v>7360</v>
      </c>
      <c r="N675" s="85">
        <v>601.68700000000001</v>
      </c>
      <c r="O675" s="87">
        <v>7340</v>
      </c>
      <c r="P675" s="85">
        <v>602.78099999999995</v>
      </c>
      <c r="Q675" s="87">
        <v>7360</v>
      </c>
      <c r="R675" s="85">
        <v>602.41300000000001</v>
      </c>
      <c r="S675" s="87">
        <v>7360</v>
      </c>
      <c r="T675" s="85">
        <v>603.08399999999995</v>
      </c>
      <c r="U675" s="87">
        <v>7350</v>
      </c>
      <c r="V675" s="85">
        <v>602.55100000000004</v>
      </c>
      <c r="W675" s="87">
        <v>7360</v>
      </c>
      <c r="X675" s="85">
        <v>602.05200000000002</v>
      </c>
      <c r="Y675" s="87">
        <v>7360</v>
      </c>
      <c r="Z675" s="85">
        <v>600.43600000000004</v>
      </c>
      <c r="AA675" s="87">
        <v>7360</v>
      </c>
      <c r="AB675" s="85">
        <v>600.66</v>
      </c>
      <c r="AC675" s="87">
        <v>7350</v>
      </c>
      <c r="AD675" s="85">
        <v>524.48199999999997</v>
      </c>
      <c r="AE675" s="87">
        <v>7360</v>
      </c>
      <c r="AF675" s="85">
        <v>526.06899999999996</v>
      </c>
      <c r="AG675" s="87">
        <v>7340</v>
      </c>
      <c r="AH675" s="85">
        <v>130.52500000000001</v>
      </c>
      <c r="AI675" s="87">
        <v>7340</v>
      </c>
      <c r="AJ675" s="85">
        <v>137.625</v>
      </c>
    </row>
    <row r="676" spans="1:36" ht="14.25" customHeight="1">
      <c r="A676" s="88">
        <v>7370</v>
      </c>
      <c r="B676" s="84">
        <v>289.55200000000002</v>
      </c>
      <c r="C676" s="88">
        <v>7380</v>
      </c>
      <c r="D676" s="85">
        <v>287.29899999999998</v>
      </c>
      <c r="E676" s="86">
        <v>7370</v>
      </c>
      <c r="F676" s="85">
        <v>672.86900000000003</v>
      </c>
      <c r="G676" s="87">
        <v>7370</v>
      </c>
      <c r="H676" s="85">
        <v>672.89300000000003</v>
      </c>
      <c r="I676" s="87">
        <v>7370</v>
      </c>
      <c r="J676" s="85">
        <v>600.63199999999995</v>
      </c>
      <c r="K676" s="87">
        <v>7370</v>
      </c>
      <c r="L676" s="85">
        <v>600.072</v>
      </c>
      <c r="M676" s="87">
        <v>7370</v>
      </c>
      <c r="N676" s="85">
        <v>600.47500000000002</v>
      </c>
      <c r="O676" s="87">
        <v>7350</v>
      </c>
      <c r="P676" s="85">
        <v>601.56799999999998</v>
      </c>
      <c r="Q676" s="87">
        <v>7370</v>
      </c>
      <c r="R676" s="85">
        <v>601.20100000000002</v>
      </c>
      <c r="S676" s="87">
        <v>7370</v>
      </c>
      <c r="T676" s="85">
        <v>601.87199999999996</v>
      </c>
      <c r="U676" s="87">
        <v>7360</v>
      </c>
      <c r="V676" s="85">
        <v>601.34100000000001</v>
      </c>
      <c r="W676" s="87">
        <v>7370</v>
      </c>
      <c r="X676" s="85">
        <v>600.84100000000001</v>
      </c>
      <c r="Y676" s="87">
        <v>7370</v>
      </c>
      <c r="Z676" s="85">
        <v>599.22500000000002</v>
      </c>
      <c r="AA676" s="87">
        <v>7370</v>
      </c>
      <c r="AB676" s="85">
        <v>599.45000000000005</v>
      </c>
      <c r="AC676" s="87">
        <v>7360</v>
      </c>
      <c r="AD676" s="85">
        <v>523.27200000000005</v>
      </c>
      <c r="AE676" s="87">
        <v>7370</v>
      </c>
      <c r="AF676" s="85">
        <v>524.86</v>
      </c>
      <c r="AG676" s="87">
        <v>7350</v>
      </c>
      <c r="AH676" s="85">
        <v>130.15299999999999</v>
      </c>
      <c r="AI676" s="87">
        <v>7350</v>
      </c>
      <c r="AJ676" s="85">
        <v>137.23699999999999</v>
      </c>
    </row>
    <row r="677" spans="1:36" ht="14.25" customHeight="1">
      <c r="A677" s="88">
        <v>7380</v>
      </c>
      <c r="B677" s="84">
        <v>288.81200000000001</v>
      </c>
      <c r="C677" s="88">
        <v>7390</v>
      </c>
      <c r="D677" s="85">
        <v>286.56299999999999</v>
      </c>
      <c r="E677" s="86">
        <v>7380</v>
      </c>
      <c r="F677" s="85">
        <v>671.40099999999995</v>
      </c>
      <c r="G677" s="87">
        <v>7380</v>
      </c>
      <c r="H677" s="85">
        <v>671.42499999999995</v>
      </c>
      <c r="I677" s="87">
        <v>7380</v>
      </c>
      <c r="J677" s="85">
        <v>599.41999999999996</v>
      </c>
      <c r="K677" s="87">
        <v>7380</v>
      </c>
      <c r="L677" s="85">
        <v>598.85900000000004</v>
      </c>
      <c r="M677" s="87">
        <v>7380</v>
      </c>
      <c r="N677" s="85">
        <v>599.26300000000003</v>
      </c>
      <c r="O677" s="87">
        <v>7360</v>
      </c>
      <c r="P677" s="85">
        <v>600.35599999999999</v>
      </c>
      <c r="Q677" s="87">
        <v>7380</v>
      </c>
      <c r="R677" s="85">
        <v>599.98900000000003</v>
      </c>
      <c r="S677" s="87">
        <v>7380</v>
      </c>
      <c r="T677" s="85">
        <v>600.66</v>
      </c>
      <c r="U677" s="87">
        <v>7370</v>
      </c>
      <c r="V677" s="85">
        <v>600.13099999999997</v>
      </c>
      <c r="W677" s="87">
        <v>7380</v>
      </c>
      <c r="X677" s="85">
        <v>599.63</v>
      </c>
      <c r="Y677" s="87">
        <v>7380</v>
      </c>
      <c r="Z677" s="85">
        <v>598.01400000000001</v>
      </c>
      <c r="AA677" s="87">
        <v>7380</v>
      </c>
      <c r="AB677" s="85">
        <v>598.24</v>
      </c>
      <c r="AC677" s="87">
        <v>7370</v>
      </c>
      <c r="AD677" s="85">
        <v>522.06200000000001</v>
      </c>
      <c r="AE677" s="87">
        <v>7380</v>
      </c>
      <c r="AF677" s="85">
        <v>523.65099999999995</v>
      </c>
      <c r="AG677" s="87">
        <v>7360</v>
      </c>
      <c r="AH677" s="85">
        <v>129.78</v>
      </c>
      <c r="AI677" s="87">
        <v>7360</v>
      </c>
      <c r="AJ677" s="85">
        <v>136.851</v>
      </c>
    </row>
    <row r="678" spans="1:36" ht="14.25" customHeight="1">
      <c r="A678" s="88">
        <v>7390</v>
      </c>
      <c r="B678" s="84">
        <v>288.072</v>
      </c>
      <c r="C678" s="88">
        <v>7400</v>
      </c>
      <c r="D678" s="85">
        <v>285.82799999999997</v>
      </c>
      <c r="E678" s="86">
        <v>7390</v>
      </c>
      <c r="F678" s="85">
        <v>669.93299999999999</v>
      </c>
      <c r="G678" s="87">
        <v>7390</v>
      </c>
      <c r="H678" s="85">
        <v>669.95799999999997</v>
      </c>
      <c r="I678" s="87">
        <v>7390</v>
      </c>
      <c r="J678" s="85">
        <v>598.20799999999997</v>
      </c>
      <c r="K678" s="87">
        <v>7390</v>
      </c>
      <c r="L678" s="85">
        <v>597.64499999999998</v>
      </c>
      <c r="M678" s="87">
        <v>7390</v>
      </c>
      <c r="N678" s="85">
        <v>598.05100000000004</v>
      </c>
      <c r="O678" s="87">
        <v>7370</v>
      </c>
      <c r="P678" s="85">
        <v>599.14300000000003</v>
      </c>
      <c r="Q678" s="87">
        <v>7390</v>
      </c>
      <c r="R678" s="85">
        <v>598.77599999999995</v>
      </c>
      <c r="S678" s="87">
        <v>7390</v>
      </c>
      <c r="T678" s="85">
        <v>599.44799999999998</v>
      </c>
      <c r="U678" s="87">
        <v>7380</v>
      </c>
      <c r="V678" s="85">
        <v>598.92100000000005</v>
      </c>
      <c r="W678" s="87">
        <v>7390</v>
      </c>
      <c r="X678" s="85">
        <v>598.41899999999998</v>
      </c>
      <c r="Y678" s="87">
        <v>7390</v>
      </c>
      <c r="Z678" s="85">
        <v>596.803</v>
      </c>
      <c r="AA678" s="87">
        <v>7390</v>
      </c>
      <c r="AB678" s="85">
        <v>597.03</v>
      </c>
      <c r="AC678" s="87">
        <v>7380</v>
      </c>
      <c r="AD678" s="85">
        <v>520.85199999999998</v>
      </c>
      <c r="AE678" s="87">
        <v>7390</v>
      </c>
      <c r="AF678" s="85">
        <v>522.44100000000003</v>
      </c>
      <c r="AG678" s="87">
        <v>7370</v>
      </c>
      <c r="AH678" s="85">
        <v>129.40799999999999</v>
      </c>
      <c r="AI678" s="87">
        <v>7370</v>
      </c>
      <c r="AJ678" s="85">
        <v>136.464</v>
      </c>
    </row>
    <row r="679" spans="1:36" ht="14.25" customHeight="1">
      <c r="A679" s="88">
        <v>7400</v>
      </c>
      <c r="B679" s="84">
        <v>287.33300000000003</v>
      </c>
      <c r="C679" s="88">
        <v>7410</v>
      </c>
      <c r="D679" s="85">
        <v>285.09300000000002</v>
      </c>
      <c r="E679" s="86">
        <v>7400</v>
      </c>
      <c r="F679" s="85">
        <v>668.46500000000003</v>
      </c>
      <c r="G679" s="87">
        <v>7400</v>
      </c>
      <c r="H679" s="85">
        <v>668.49099999999999</v>
      </c>
      <c r="I679" s="87">
        <v>7400</v>
      </c>
      <c r="J679" s="85">
        <v>596.99599999999998</v>
      </c>
      <c r="K679" s="87">
        <v>7400</v>
      </c>
      <c r="L679" s="85">
        <v>596.43200000000002</v>
      </c>
      <c r="M679" s="87">
        <v>7400</v>
      </c>
      <c r="N679" s="85">
        <v>596.83799999999997</v>
      </c>
      <c r="O679" s="87">
        <v>7380</v>
      </c>
      <c r="P679" s="85">
        <v>597.93100000000004</v>
      </c>
      <c r="Q679" s="87">
        <v>7400</v>
      </c>
      <c r="R679" s="85">
        <v>597.56399999999996</v>
      </c>
      <c r="S679" s="87">
        <v>7400</v>
      </c>
      <c r="T679" s="85">
        <v>598.23599999999999</v>
      </c>
      <c r="U679" s="87">
        <v>7390</v>
      </c>
      <c r="V679" s="85">
        <v>597.71100000000001</v>
      </c>
      <c r="W679" s="87">
        <v>7400</v>
      </c>
      <c r="X679" s="85">
        <v>597.20799999999997</v>
      </c>
      <c r="Y679" s="87">
        <v>7400</v>
      </c>
      <c r="Z679" s="85">
        <v>595.59199999999998</v>
      </c>
      <c r="AA679" s="87">
        <v>7400</v>
      </c>
      <c r="AB679" s="85">
        <v>595.82000000000005</v>
      </c>
      <c r="AC679" s="87">
        <v>7390</v>
      </c>
      <c r="AD679" s="85">
        <v>519.64300000000003</v>
      </c>
      <c r="AE679" s="87">
        <v>7400</v>
      </c>
      <c r="AF679" s="85">
        <v>521.23199999999997</v>
      </c>
      <c r="AG679" s="87">
        <v>7380</v>
      </c>
      <c r="AH679" s="85">
        <v>129.036</v>
      </c>
      <c r="AI679" s="87">
        <v>7380</v>
      </c>
      <c r="AJ679" s="85">
        <v>136.078</v>
      </c>
    </row>
    <row r="680" spans="1:36" ht="14.25" customHeight="1">
      <c r="A680" s="88">
        <v>7410</v>
      </c>
      <c r="B680" s="84">
        <v>286.59399999999999</v>
      </c>
      <c r="C680" s="88">
        <v>7420</v>
      </c>
      <c r="D680" s="85">
        <v>284.358</v>
      </c>
      <c r="E680" s="86">
        <v>7410</v>
      </c>
      <c r="F680" s="85">
        <v>666.99699999999996</v>
      </c>
      <c r="G680" s="87">
        <v>7410</v>
      </c>
      <c r="H680" s="85">
        <v>667.024</v>
      </c>
      <c r="I680" s="87">
        <v>7410</v>
      </c>
      <c r="J680" s="85">
        <v>595.78300000000002</v>
      </c>
      <c r="K680" s="87">
        <v>7410</v>
      </c>
      <c r="L680" s="85">
        <v>595.21799999999996</v>
      </c>
      <c r="M680" s="87">
        <v>7410</v>
      </c>
      <c r="N680" s="85">
        <v>595.62599999999998</v>
      </c>
      <c r="O680" s="87">
        <v>7390</v>
      </c>
      <c r="P680" s="85">
        <v>596.71799999999996</v>
      </c>
      <c r="Q680" s="87">
        <v>7410</v>
      </c>
      <c r="R680" s="85">
        <v>596.35199999999998</v>
      </c>
      <c r="S680" s="87">
        <v>7410</v>
      </c>
      <c r="T680" s="85">
        <v>597.024</v>
      </c>
      <c r="U680" s="87">
        <v>7400</v>
      </c>
      <c r="V680" s="85">
        <v>596.50099999999998</v>
      </c>
      <c r="W680" s="87">
        <v>7410</v>
      </c>
      <c r="X680" s="85">
        <v>595.99699999999996</v>
      </c>
      <c r="Y680" s="87">
        <v>7410</v>
      </c>
      <c r="Z680" s="85">
        <v>594.38</v>
      </c>
      <c r="AA680" s="87">
        <v>7410</v>
      </c>
      <c r="AB680" s="85">
        <v>594.61</v>
      </c>
      <c r="AC680" s="87">
        <v>7400</v>
      </c>
      <c r="AD680" s="85">
        <v>518.43299999999999</v>
      </c>
      <c r="AE680" s="87">
        <v>7410</v>
      </c>
      <c r="AF680" s="85">
        <v>520.02300000000002</v>
      </c>
      <c r="AG680" s="87">
        <v>7390</v>
      </c>
      <c r="AH680" s="85">
        <v>128.66499999999999</v>
      </c>
      <c r="AI680" s="87">
        <v>7390</v>
      </c>
      <c r="AJ680" s="85">
        <v>135.69200000000001</v>
      </c>
    </row>
    <row r="681" spans="1:36" ht="14.25" customHeight="1">
      <c r="A681" s="88">
        <v>7420</v>
      </c>
      <c r="B681" s="84">
        <v>285.85500000000002</v>
      </c>
      <c r="C681" s="88">
        <v>7430</v>
      </c>
      <c r="D681" s="85">
        <v>283.62299999999999</v>
      </c>
      <c r="E681" s="86">
        <v>7420</v>
      </c>
      <c r="F681" s="85">
        <v>665.529</v>
      </c>
      <c r="G681" s="87">
        <v>7420</v>
      </c>
      <c r="H681" s="85">
        <v>665.55700000000002</v>
      </c>
      <c r="I681" s="87">
        <v>7420</v>
      </c>
      <c r="J681" s="85">
        <v>594.57100000000003</v>
      </c>
      <c r="K681" s="87">
        <v>7420</v>
      </c>
      <c r="L681" s="85">
        <v>594.005</v>
      </c>
      <c r="M681" s="87">
        <v>7420</v>
      </c>
      <c r="N681" s="85">
        <v>594.41399999999999</v>
      </c>
      <c r="O681" s="87">
        <v>7400</v>
      </c>
      <c r="P681" s="85">
        <v>595.50599999999997</v>
      </c>
      <c r="Q681" s="87">
        <v>7420</v>
      </c>
      <c r="R681" s="85">
        <v>595.14</v>
      </c>
      <c r="S681" s="87">
        <v>7420</v>
      </c>
      <c r="T681" s="85">
        <v>595.81100000000004</v>
      </c>
      <c r="U681" s="87">
        <v>7410</v>
      </c>
      <c r="V681" s="85">
        <v>595.29100000000005</v>
      </c>
      <c r="W681" s="87">
        <v>7420</v>
      </c>
      <c r="X681" s="85">
        <v>594.78599999999994</v>
      </c>
      <c r="Y681" s="87">
        <v>7420</v>
      </c>
      <c r="Z681" s="85">
        <v>593.16899999999998</v>
      </c>
      <c r="AA681" s="87">
        <v>7420</v>
      </c>
      <c r="AB681" s="85">
        <v>593.4</v>
      </c>
      <c r="AC681" s="87">
        <v>7410</v>
      </c>
      <c r="AD681" s="85">
        <v>517.22400000000005</v>
      </c>
      <c r="AE681" s="87">
        <v>7420</v>
      </c>
      <c r="AF681" s="85">
        <v>518.81399999999996</v>
      </c>
      <c r="AG681" s="87">
        <v>7400</v>
      </c>
      <c r="AH681" s="85">
        <v>128.29300000000001</v>
      </c>
      <c r="AI681" s="87">
        <v>7400</v>
      </c>
      <c r="AJ681" s="85">
        <v>135.30600000000001</v>
      </c>
    </row>
    <row r="682" spans="1:36" ht="14.25" customHeight="1">
      <c r="A682" s="88">
        <v>7430</v>
      </c>
      <c r="B682" s="84">
        <v>285.11599999999999</v>
      </c>
      <c r="C682" s="88">
        <v>7440</v>
      </c>
      <c r="D682" s="85">
        <v>282.88900000000001</v>
      </c>
      <c r="E682" s="86">
        <v>7430</v>
      </c>
      <c r="F682" s="85">
        <v>664.06100000000004</v>
      </c>
      <c r="G682" s="87">
        <v>7430</v>
      </c>
      <c r="H682" s="85">
        <v>664.09</v>
      </c>
      <c r="I682" s="87">
        <v>7430</v>
      </c>
      <c r="J682" s="85">
        <v>593.35900000000004</v>
      </c>
      <c r="K682" s="87">
        <v>7430</v>
      </c>
      <c r="L682" s="85">
        <v>592.79100000000005</v>
      </c>
      <c r="M682" s="87">
        <v>7430</v>
      </c>
      <c r="N682" s="85">
        <v>593.202</v>
      </c>
      <c r="O682" s="87">
        <v>7410</v>
      </c>
      <c r="P682" s="85">
        <v>594.29300000000001</v>
      </c>
      <c r="Q682" s="87">
        <v>7430</v>
      </c>
      <c r="R682" s="85">
        <v>593.92700000000002</v>
      </c>
      <c r="S682" s="87">
        <v>7430</v>
      </c>
      <c r="T682" s="85">
        <v>594.59900000000005</v>
      </c>
      <c r="U682" s="87">
        <v>7420</v>
      </c>
      <c r="V682" s="85">
        <v>594.08100000000002</v>
      </c>
      <c r="W682" s="87">
        <v>7430</v>
      </c>
      <c r="X682" s="85">
        <v>593.57500000000005</v>
      </c>
      <c r="Y682" s="87">
        <v>7430</v>
      </c>
      <c r="Z682" s="85">
        <v>591.95799999999997</v>
      </c>
      <c r="AA682" s="87">
        <v>7430</v>
      </c>
      <c r="AB682" s="85">
        <v>592.19000000000005</v>
      </c>
      <c r="AC682" s="87">
        <v>7420</v>
      </c>
      <c r="AD682" s="85">
        <v>516.01400000000001</v>
      </c>
      <c r="AE682" s="87">
        <v>7430</v>
      </c>
      <c r="AF682" s="85">
        <v>517.60500000000002</v>
      </c>
      <c r="AG682" s="87">
        <v>7410</v>
      </c>
      <c r="AH682" s="85">
        <v>127.922</v>
      </c>
      <c r="AI682" s="87">
        <v>7410</v>
      </c>
      <c r="AJ682" s="85">
        <v>134.92099999999999</v>
      </c>
    </row>
    <row r="683" spans="1:36" ht="14.25" customHeight="1">
      <c r="A683" s="88">
        <v>7440</v>
      </c>
      <c r="B683" s="84">
        <v>284.37700000000001</v>
      </c>
      <c r="C683" s="88">
        <v>7450</v>
      </c>
      <c r="D683" s="85">
        <v>282.154</v>
      </c>
      <c r="E683" s="86">
        <v>7440</v>
      </c>
      <c r="F683" s="85">
        <v>662.59299999999996</v>
      </c>
      <c r="G683" s="87">
        <v>7440</v>
      </c>
      <c r="H683" s="85">
        <v>662.62300000000005</v>
      </c>
      <c r="I683" s="87">
        <v>7440</v>
      </c>
      <c r="J683" s="85">
        <v>592.14700000000005</v>
      </c>
      <c r="K683" s="87">
        <v>7440</v>
      </c>
      <c r="L683" s="85">
        <v>591.57799999999997</v>
      </c>
      <c r="M683" s="87">
        <v>7440</v>
      </c>
      <c r="N683" s="85">
        <v>591.99</v>
      </c>
      <c r="O683" s="87">
        <v>7420</v>
      </c>
      <c r="P683" s="85">
        <v>593.08100000000002</v>
      </c>
      <c r="Q683" s="87">
        <v>7440</v>
      </c>
      <c r="R683" s="85">
        <v>592.71500000000003</v>
      </c>
      <c r="S683" s="87">
        <v>7440</v>
      </c>
      <c r="T683" s="85">
        <v>593.38699999999994</v>
      </c>
      <c r="U683" s="87">
        <v>7430</v>
      </c>
      <c r="V683" s="85">
        <v>592.87099999999998</v>
      </c>
      <c r="W683" s="87">
        <v>7440</v>
      </c>
      <c r="X683" s="85">
        <v>592.36400000000003</v>
      </c>
      <c r="Y683" s="87">
        <v>7440</v>
      </c>
      <c r="Z683" s="85">
        <v>590.74699999999996</v>
      </c>
      <c r="AA683" s="87">
        <v>7440</v>
      </c>
      <c r="AB683" s="85">
        <v>590.98</v>
      </c>
      <c r="AC683" s="87">
        <v>7430</v>
      </c>
      <c r="AD683" s="85">
        <v>514.80399999999997</v>
      </c>
      <c r="AE683" s="87">
        <v>7440</v>
      </c>
      <c r="AF683" s="85">
        <v>516.39599999999996</v>
      </c>
      <c r="AG683" s="87">
        <v>7420</v>
      </c>
      <c r="AH683" s="85">
        <v>127.55200000000001</v>
      </c>
      <c r="AI683" s="87">
        <v>7420</v>
      </c>
      <c r="AJ683" s="85">
        <v>134.535</v>
      </c>
    </row>
    <row r="684" spans="1:36" ht="14.25" customHeight="1">
      <c r="A684" s="88">
        <v>7450</v>
      </c>
      <c r="B684" s="84">
        <v>283.63900000000001</v>
      </c>
      <c r="C684" s="88">
        <v>7460</v>
      </c>
      <c r="D684" s="85">
        <v>281.42</v>
      </c>
      <c r="E684" s="86">
        <v>7450</v>
      </c>
      <c r="F684" s="85">
        <v>661.12599999999998</v>
      </c>
      <c r="G684" s="87">
        <v>7450</v>
      </c>
      <c r="H684" s="85">
        <v>661.15599999999995</v>
      </c>
      <c r="I684" s="87">
        <v>7450</v>
      </c>
      <c r="J684" s="85">
        <v>590.93499999999995</v>
      </c>
      <c r="K684" s="87">
        <v>7450</v>
      </c>
      <c r="L684" s="85">
        <v>590.36400000000003</v>
      </c>
      <c r="M684" s="87">
        <v>7450</v>
      </c>
      <c r="N684" s="85">
        <v>590.77700000000004</v>
      </c>
      <c r="O684" s="87">
        <v>7430</v>
      </c>
      <c r="P684" s="85">
        <v>591.86900000000003</v>
      </c>
      <c r="Q684" s="87">
        <v>7450</v>
      </c>
      <c r="R684" s="85">
        <v>591.50300000000004</v>
      </c>
      <c r="S684" s="87">
        <v>7450</v>
      </c>
      <c r="T684" s="85">
        <v>592.17499999999995</v>
      </c>
      <c r="U684" s="87">
        <v>7440</v>
      </c>
      <c r="V684" s="85">
        <v>591.66099999999994</v>
      </c>
      <c r="W684" s="87">
        <v>7450</v>
      </c>
      <c r="X684" s="85">
        <v>591.15300000000002</v>
      </c>
      <c r="Y684" s="87">
        <v>7450</v>
      </c>
      <c r="Z684" s="85">
        <v>589.53599999999994</v>
      </c>
      <c r="AA684" s="87">
        <v>7450</v>
      </c>
      <c r="AB684" s="85">
        <v>589.77</v>
      </c>
      <c r="AC684" s="87">
        <v>7440</v>
      </c>
      <c r="AD684" s="85">
        <v>513.59500000000003</v>
      </c>
      <c r="AE684" s="87">
        <v>7450</v>
      </c>
      <c r="AF684" s="85">
        <v>515.18700000000001</v>
      </c>
      <c r="AG684" s="87">
        <v>7430</v>
      </c>
      <c r="AH684" s="85">
        <v>127.181</v>
      </c>
      <c r="AI684" s="87">
        <v>7430</v>
      </c>
      <c r="AJ684" s="85">
        <v>134.15</v>
      </c>
    </row>
    <row r="685" spans="1:36" ht="14.25" customHeight="1">
      <c r="A685" s="88">
        <v>7460</v>
      </c>
      <c r="B685" s="84">
        <v>282.90100000000001</v>
      </c>
      <c r="C685" s="88">
        <v>7470</v>
      </c>
      <c r="D685" s="85">
        <v>280.68700000000001</v>
      </c>
      <c r="E685" s="86">
        <v>7460</v>
      </c>
      <c r="F685" s="85">
        <v>659.65800000000002</v>
      </c>
      <c r="G685" s="87">
        <v>7460</v>
      </c>
      <c r="H685" s="85">
        <v>659.69</v>
      </c>
      <c r="I685" s="87">
        <v>7460</v>
      </c>
      <c r="J685" s="85">
        <v>589.72299999999996</v>
      </c>
      <c r="K685" s="87">
        <v>7460</v>
      </c>
      <c r="L685" s="85">
        <v>589.15099999999995</v>
      </c>
      <c r="M685" s="87">
        <v>7460</v>
      </c>
      <c r="N685" s="85">
        <v>589.56500000000005</v>
      </c>
      <c r="O685" s="87">
        <v>7440</v>
      </c>
      <c r="P685" s="85">
        <v>590.65599999999995</v>
      </c>
      <c r="Q685" s="87">
        <v>7460</v>
      </c>
      <c r="R685" s="85">
        <v>590.29100000000005</v>
      </c>
      <c r="S685" s="87">
        <v>7460</v>
      </c>
      <c r="T685" s="85">
        <v>590.96299999999997</v>
      </c>
      <c r="U685" s="87">
        <v>7450</v>
      </c>
      <c r="V685" s="85">
        <v>590.45100000000002</v>
      </c>
      <c r="W685" s="87">
        <v>7460</v>
      </c>
      <c r="X685" s="85">
        <v>589.94200000000001</v>
      </c>
      <c r="Y685" s="87">
        <v>7460</v>
      </c>
      <c r="Z685" s="85">
        <v>588.32500000000005</v>
      </c>
      <c r="AA685" s="87">
        <v>7460</v>
      </c>
      <c r="AB685" s="85">
        <v>588.55999999999995</v>
      </c>
      <c r="AC685" s="87">
        <v>7450</v>
      </c>
      <c r="AD685" s="85">
        <v>512.38599999999997</v>
      </c>
      <c r="AE685" s="87">
        <v>7460</v>
      </c>
      <c r="AF685" s="85">
        <v>513.97699999999998</v>
      </c>
      <c r="AG685" s="87">
        <v>7440</v>
      </c>
      <c r="AH685" s="85">
        <v>126.81100000000001</v>
      </c>
      <c r="AI685" s="87">
        <v>7440</v>
      </c>
      <c r="AJ685" s="85">
        <v>133.76599999999999</v>
      </c>
    </row>
    <row r="686" spans="1:36" ht="14.25" customHeight="1">
      <c r="A686" s="88">
        <v>7470</v>
      </c>
      <c r="B686" s="84">
        <v>282.16300000000001</v>
      </c>
      <c r="C686" s="88">
        <v>7480</v>
      </c>
      <c r="D686" s="85">
        <v>279.95299999999997</v>
      </c>
      <c r="E686" s="86">
        <v>7470</v>
      </c>
      <c r="F686" s="85">
        <v>658.19100000000003</v>
      </c>
      <c r="G686" s="87">
        <v>7470</v>
      </c>
      <c r="H686" s="85">
        <v>658.22299999999996</v>
      </c>
      <c r="I686" s="87">
        <v>7470</v>
      </c>
      <c r="J686" s="85">
        <v>588.51</v>
      </c>
      <c r="K686" s="87">
        <v>7470</v>
      </c>
      <c r="L686" s="85">
        <v>587.93700000000001</v>
      </c>
      <c r="M686" s="87">
        <v>7470</v>
      </c>
      <c r="N686" s="85">
        <v>588.35299999999995</v>
      </c>
      <c r="O686" s="87">
        <v>7450</v>
      </c>
      <c r="P686" s="85">
        <v>589.44399999999996</v>
      </c>
      <c r="Q686" s="87">
        <v>7470</v>
      </c>
      <c r="R686" s="85">
        <v>589.07799999999997</v>
      </c>
      <c r="S686" s="87">
        <v>7470</v>
      </c>
      <c r="T686" s="85">
        <v>589.75099999999998</v>
      </c>
      <c r="U686" s="87">
        <v>7460</v>
      </c>
      <c r="V686" s="85">
        <v>589.24</v>
      </c>
      <c r="W686" s="87">
        <v>7470</v>
      </c>
      <c r="X686" s="85">
        <v>588.73099999999999</v>
      </c>
      <c r="Y686" s="87">
        <v>7470</v>
      </c>
      <c r="Z686" s="85">
        <v>587.11400000000003</v>
      </c>
      <c r="AA686" s="87">
        <v>7470</v>
      </c>
      <c r="AB686" s="85">
        <v>587.35</v>
      </c>
      <c r="AC686" s="87">
        <v>7460</v>
      </c>
      <c r="AD686" s="85">
        <v>511.17599999999999</v>
      </c>
      <c r="AE686" s="87">
        <v>7470</v>
      </c>
      <c r="AF686" s="85">
        <v>512.76800000000003</v>
      </c>
      <c r="AG686" s="87">
        <v>7450</v>
      </c>
      <c r="AH686" s="85">
        <v>126.441</v>
      </c>
      <c r="AI686" s="87">
        <v>7450</v>
      </c>
      <c r="AJ686" s="85">
        <v>133.381</v>
      </c>
    </row>
    <row r="687" spans="1:36" ht="14.25" customHeight="1">
      <c r="A687" s="88">
        <v>7480</v>
      </c>
      <c r="B687" s="84">
        <v>281.42500000000001</v>
      </c>
      <c r="C687" s="88">
        <v>7490</v>
      </c>
      <c r="D687" s="85">
        <v>279.21899999999999</v>
      </c>
      <c r="E687" s="86">
        <v>7480</v>
      </c>
      <c r="F687" s="85">
        <v>656.72400000000005</v>
      </c>
      <c r="G687" s="87">
        <v>7480</v>
      </c>
      <c r="H687" s="85">
        <v>656.75699999999995</v>
      </c>
      <c r="I687" s="87">
        <v>7480</v>
      </c>
      <c r="J687" s="85">
        <v>587.298</v>
      </c>
      <c r="K687" s="87">
        <v>7480</v>
      </c>
      <c r="L687" s="85">
        <v>586.72400000000005</v>
      </c>
      <c r="M687" s="87">
        <v>7480</v>
      </c>
      <c r="N687" s="85">
        <v>587.14099999999996</v>
      </c>
      <c r="O687" s="87">
        <v>7460</v>
      </c>
      <c r="P687" s="85">
        <v>588.23099999999999</v>
      </c>
      <c r="Q687" s="87">
        <v>7480</v>
      </c>
      <c r="R687" s="85">
        <v>587.86599999999999</v>
      </c>
      <c r="S687" s="87">
        <v>7480</v>
      </c>
      <c r="T687" s="85">
        <v>588.53899999999999</v>
      </c>
      <c r="U687" s="87">
        <v>7470</v>
      </c>
      <c r="V687" s="85">
        <v>588.03</v>
      </c>
      <c r="W687" s="87">
        <v>7480</v>
      </c>
      <c r="X687" s="85">
        <v>587.52099999999996</v>
      </c>
      <c r="Y687" s="87">
        <v>7480</v>
      </c>
      <c r="Z687" s="85">
        <v>585.90300000000002</v>
      </c>
      <c r="AA687" s="87">
        <v>7480</v>
      </c>
      <c r="AB687" s="85">
        <v>586.14</v>
      </c>
      <c r="AC687" s="87">
        <v>7470</v>
      </c>
      <c r="AD687" s="85">
        <v>509.96699999999998</v>
      </c>
      <c r="AE687" s="87">
        <v>7480</v>
      </c>
      <c r="AF687" s="85">
        <v>511.55900000000003</v>
      </c>
      <c r="AG687" s="87">
        <v>7460</v>
      </c>
      <c r="AH687" s="85">
        <v>126.072</v>
      </c>
      <c r="AI687" s="87">
        <v>7460</v>
      </c>
      <c r="AJ687" s="85">
        <v>132.99700000000001</v>
      </c>
    </row>
    <row r="688" spans="1:36" ht="14.25" customHeight="1">
      <c r="A688" s="88">
        <v>7490</v>
      </c>
      <c r="B688" s="84">
        <v>280.68799999999999</v>
      </c>
      <c r="C688" s="88">
        <v>7500</v>
      </c>
      <c r="D688" s="85">
        <v>278.48599999999999</v>
      </c>
      <c r="E688" s="86">
        <v>7490</v>
      </c>
      <c r="F688" s="85">
        <v>655.25599999999997</v>
      </c>
      <c r="G688" s="87">
        <v>7490</v>
      </c>
      <c r="H688" s="85">
        <v>655.29</v>
      </c>
      <c r="I688" s="87">
        <v>7490</v>
      </c>
      <c r="J688" s="85">
        <v>586.08600000000001</v>
      </c>
      <c r="K688" s="87">
        <v>7490</v>
      </c>
      <c r="L688" s="85">
        <v>585.51</v>
      </c>
      <c r="M688" s="87">
        <v>7490</v>
      </c>
      <c r="N688" s="85">
        <v>585.92899999999997</v>
      </c>
      <c r="O688" s="87">
        <v>7470</v>
      </c>
      <c r="P688" s="85">
        <v>587.01900000000001</v>
      </c>
      <c r="Q688" s="87">
        <v>7490</v>
      </c>
      <c r="R688" s="85">
        <v>586.654</v>
      </c>
      <c r="S688" s="87">
        <v>7490</v>
      </c>
      <c r="T688" s="85">
        <v>587.327</v>
      </c>
      <c r="U688" s="87">
        <v>7480</v>
      </c>
      <c r="V688" s="85">
        <v>586.82000000000005</v>
      </c>
      <c r="W688" s="87">
        <v>7490</v>
      </c>
      <c r="X688" s="85">
        <v>586.30999999999995</v>
      </c>
      <c r="Y688" s="87">
        <v>7490</v>
      </c>
      <c r="Z688" s="85">
        <v>584.69200000000001</v>
      </c>
      <c r="AA688" s="87">
        <v>7490</v>
      </c>
      <c r="AB688" s="85">
        <v>584.92999999999995</v>
      </c>
      <c r="AC688" s="87">
        <v>7480</v>
      </c>
      <c r="AD688" s="85">
        <v>508.75700000000001</v>
      </c>
      <c r="AE688" s="87">
        <v>7490</v>
      </c>
      <c r="AF688" s="85">
        <v>510.35</v>
      </c>
      <c r="AG688" s="87">
        <v>7470</v>
      </c>
      <c r="AH688" s="85">
        <v>125.702</v>
      </c>
      <c r="AI688" s="87">
        <v>7470</v>
      </c>
      <c r="AJ688" s="85">
        <v>132.613</v>
      </c>
    </row>
    <row r="689" spans="1:36" ht="14.25" customHeight="1">
      <c r="A689" s="88">
        <v>7500</v>
      </c>
      <c r="B689" s="84">
        <v>279.95</v>
      </c>
      <c r="C689" s="88">
        <v>7510</v>
      </c>
      <c r="D689" s="85">
        <v>277.75299999999999</v>
      </c>
      <c r="E689" s="86">
        <v>7500</v>
      </c>
      <c r="F689" s="85">
        <v>653.78899999999999</v>
      </c>
      <c r="G689" s="87">
        <v>7500</v>
      </c>
      <c r="H689" s="85">
        <v>653.82399999999996</v>
      </c>
      <c r="I689" s="87">
        <v>7500</v>
      </c>
      <c r="J689" s="85">
        <v>584.87400000000002</v>
      </c>
      <c r="K689" s="87">
        <v>7500</v>
      </c>
      <c r="L689" s="85">
        <v>584.29700000000003</v>
      </c>
      <c r="M689" s="87">
        <v>7500</v>
      </c>
      <c r="N689" s="85">
        <v>584.71699999999998</v>
      </c>
      <c r="O689" s="87">
        <v>7480</v>
      </c>
      <c r="P689" s="85">
        <v>585.80600000000004</v>
      </c>
      <c r="Q689" s="87">
        <v>7500</v>
      </c>
      <c r="R689" s="85">
        <v>585.44200000000001</v>
      </c>
      <c r="S689" s="87">
        <v>7500</v>
      </c>
      <c r="T689" s="85">
        <v>586.11500000000001</v>
      </c>
      <c r="U689" s="87">
        <v>7490</v>
      </c>
      <c r="V689" s="85">
        <v>585.61</v>
      </c>
      <c r="W689" s="87">
        <v>7500</v>
      </c>
      <c r="X689" s="85">
        <v>585.09900000000005</v>
      </c>
      <c r="Y689" s="87">
        <v>7500</v>
      </c>
      <c r="Z689" s="85">
        <v>583.48099999999999</v>
      </c>
      <c r="AA689" s="87">
        <v>7500</v>
      </c>
      <c r="AB689" s="85">
        <v>583.72</v>
      </c>
      <c r="AC689" s="87">
        <v>7490</v>
      </c>
      <c r="AD689" s="85">
        <v>507.548</v>
      </c>
      <c r="AE689" s="87">
        <v>7500</v>
      </c>
      <c r="AF689" s="85">
        <v>509.14100000000002</v>
      </c>
      <c r="AG689" s="87">
        <v>7480</v>
      </c>
      <c r="AH689" s="85">
        <v>125.333</v>
      </c>
      <c r="AI689" s="87">
        <v>7480</v>
      </c>
      <c r="AJ689" s="85">
        <v>132.22999999999999</v>
      </c>
    </row>
    <row r="690" spans="1:36" ht="14.25" customHeight="1">
      <c r="A690" s="88">
        <v>7510</v>
      </c>
      <c r="B690" s="84">
        <v>279.21300000000002</v>
      </c>
      <c r="C690" s="88">
        <v>7520</v>
      </c>
      <c r="D690" s="85">
        <v>277.02</v>
      </c>
      <c r="E690" s="86">
        <v>7510</v>
      </c>
      <c r="F690" s="85">
        <v>652.322</v>
      </c>
      <c r="G690" s="87">
        <v>7510</v>
      </c>
      <c r="H690" s="85">
        <v>652.35799999999995</v>
      </c>
      <c r="I690" s="87">
        <v>7510</v>
      </c>
      <c r="J690" s="85">
        <v>583.66200000000003</v>
      </c>
      <c r="K690" s="87">
        <v>7510</v>
      </c>
      <c r="L690" s="85">
        <v>583.08299999999997</v>
      </c>
      <c r="M690" s="87">
        <v>7510</v>
      </c>
      <c r="N690" s="85">
        <v>583.50400000000002</v>
      </c>
      <c r="O690" s="87">
        <v>7490</v>
      </c>
      <c r="P690" s="85">
        <v>584.59400000000005</v>
      </c>
      <c r="Q690" s="87">
        <v>7510</v>
      </c>
      <c r="R690" s="85">
        <v>584.23</v>
      </c>
      <c r="S690" s="87">
        <v>7510</v>
      </c>
      <c r="T690" s="85">
        <v>584.90200000000004</v>
      </c>
      <c r="U690" s="87">
        <v>7500</v>
      </c>
      <c r="V690" s="85">
        <v>584.4</v>
      </c>
      <c r="W690" s="87">
        <v>7510</v>
      </c>
      <c r="X690" s="85">
        <v>583.88800000000003</v>
      </c>
      <c r="Y690" s="87">
        <v>7510</v>
      </c>
      <c r="Z690" s="85">
        <v>582.27</v>
      </c>
      <c r="AA690" s="87">
        <v>7510</v>
      </c>
      <c r="AB690" s="85">
        <v>582.51</v>
      </c>
      <c r="AC690" s="87">
        <v>7500</v>
      </c>
      <c r="AD690" s="85">
        <v>506.339</v>
      </c>
      <c r="AE690" s="87">
        <v>7510</v>
      </c>
      <c r="AF690" s="85">
        <v>507.93299999999999</v>
      </c>
      <c r="AG690" s="87">
        <v>7490</v>
      </c>
      <c r="AH690" s="85">
        <v>124.964</v>
      </c>
      <c r="AI690" s="87">
        <v>7490</v>
      </c>
      <c r="AJ690" s="85">
        <v>131.84700000000001</v>
      </c>
    </row>
    <row r="691" spans="1:36" ht="14.25" customHeight="1">
      <c r="A691" s="88">
        <v>7520</v>
      </c>
      <c r="B691" s="84">
        <v>278.47699999999998</v>
      </c>
      <c r="C691" s="88">
        <v>7530</v>
      </c>
      <c r="D691" s="85">
        <v>276.28800000000001</v>
      </c>
      <c r="E691" s="86">
        <v>7520</v>
      </c>
      <c r="F691" s="85">
        <v>650.85599999999999</v>
      </c>
      <c r="G691" s="87">
        <v>7520</v>
      </c>
      <c r="H691" s="85">
        <v>650.89200000000005</v>
      </c>
      <c r="I691" s="87">
        <v>7520</v>
      </c>
      <c r="J691" s="85">
        <v>582.45000000000005</v>
      </c>
      <c r="K691" s="87">
        <v>7520</v>
      </c>
      <c r="L691" s="85">
        <v>581.87</v>
      </c>
      <c r="M691" s="87">
        <v>7520</v>
      </c>
      <c r="N691" s="85">
        <v>582.29200000000003</v>
      </c>
      <c r="O691" s="87">
        <v>7500</v>
      </c>
      <c r="P691" s="85">
        <v>583.38099999999997</v>
      </c>
      <c r="Q691" s="87">
        <v>7520</v>
      </c>
      <c r="R691" s="85">
        <v>583.01700000000005</v>
      </c>
      <c r="S691" s="87">
        <v>7520</v>
      </c>
      <c r="T691" s="85">
        <v>583.69000000000005</v>
      </c>
      <c r="U691" s="87">
        <v>7510</v>
      </c>
      <c r="V691" s="85">
        <v>583.19000000000005</v>
      </c>
      <c r="W691" s="87">
        <v>7520</v>
      </c>
      <c r="X691" s="85">
        <v>582.67700000000002</v>
      </c>
      <c r="Y691" s="87">
        <v>7520</v>
      </c>
      <c r="Z691" s="85">
        <v>581.05899999999997</v>
      </c>
      <c r="AA691" s="87">
        <v>7520</v>
      </c>
      <c r="AB691" s="85">
        <v>581.29999999999995</v>
      </c>
      <c r="AC691" s="87">
        <v>7510</v>
      </c>
      <c r="AD691" s="85">
        <v>505.12900000000002</v>
      </c>
      <c r="AE691" s="87">
        <v>7520</v>
      </c>
      <c r="AF691" s="85">
        <v>506.72399999999999</v>
      </c>
      <c r="AG691" s="87">
        <v>7500</v>
      </c>
      <c r="AH691" s="85">
        <v>124.596</v>
      </c>
      <c r="AI691" s="87">
        <v>7500</v>
      </c>
      <c r="AJ691" s="85">
        <v>131.464</v>
      </c>
    </row>
    <row r="692" spans="1:36" ht="14.25" customHeight="1">
      <c r="A692" s="88">
        <v>7530</v>
      </c>
      <c r="B692" s="84">
        <v>277.74</v>
      </c>
      <c r="C692" s="88">
        <v>7540</v>
      </c>
      <c r="D692" s="85">
        <v>275.55500000000001</v>
      </c>
      <c r="E692" s="86">
        <v>7530</v>
      </c>
      <c r="F692" s="85">
        <v>649.38900000000001</v>
      </c>
      <c r="G692" s="87">
        <v>7530</v>
      </c>
      <c r="H692" s="85">
        <v>649.42600000000004</v>
      </c>
      <c r="I692" s="87">
        <v>7530</v>
      </c>
      <c r="J692" s="85">
        <v>581.23800000000006</v>
      </c>
      <c r="K692" s="87">
        <v>7530</v>
      </c>
      <c r="L692" s="85">
        <v>580.65700000000004</v>
      </c>
      <c r="M692" s="87">
        <v>7530</v>
      </c>
      <c r="N692" s="85">
        <v>581.08000000000004</v>
      </c>
      <c r="O692" s="87">
        <v>7510</v>
      </c>
      <c r="P692" s="85">
        <v>582.16899999999998</v>
      </c>
      <c r="Q692" s="87">
        <v>7530</v>
      </c>
      <c r="R692" s="85">
        <v>581.80499999999995</v>
      </c>
      <c r="S692" s="87">
        <v>7530</v>
      </c>
      <c r="T692" s="85">
        <v>582.47799999999995</v>
      </c>
      <c r="U692" s="87">
        <v>7520</v>
      </c>
      <c r="V692" s="85">
        <v>581.98</v>
      </c>
      <c r="W692" s="87">
        <v>7530</v>
      </c>
      <c r="X692" s="85">
        <v>581.46600000000001</v>
      </c>
      <c r="Y692" s="87">
        <v>7530</v>
      </c>
      <c r="Z692" s="85">
        <v>579.84799999999996</v>
      </c>
      <c r="AA692" s="87">
        <v>7530</v>
      </c>
      <c r="AB692" s="85">
        <v>580.09</v>
      </c>
      <c r="AC692" s="87">
        <v>7520</v>
      </c>
      <c r="AD692" s="85">
        <v>503.92</v>
      </c>
      <c r="AE692" s="87">
        <v>7530</v>
      </c>
      <c r="AF692" s="85">
        <v>505.51499999999999</v>
      </c>
      <c r="AG692" s="87">
        <v>7510</v>
      </c>
      <c r="AH692" s="85">
        <v>124.22799999999999</v>
      </c>
      <c r="AI692" s="87">
        <v>7510</v>
      </c>
      <c r="AJ692" s="85">
        <v>131.08099999999999</v>
      </c>
    </row>
    <row r="693" spans="1:36" ht="14.25" customHeight="1">
      <c r="A693" s="88">
        <v>7540</v>
      </c>
      <c r="B693" s="84">
        <v>277.00299999999999</v>
      </c>
      <c r="C693" s="88">
        <v>7550</v>
      </c>
      <c r="D693" s="85">
        <v>274.82299999999998</v>
      </c>
      <c r="E693" s="86">
        <v>7540</v>
      </c>
      <c r="F693" s="85">
        <v>647.92200000000003</v>
      </c>
      <c r="G693" s="87">
        <v>7540</v>
      </c>
      <c r="H693" s="85">
        <v>647.96</v>
      </c>
      <c r="I693" s="87">
        <v>7540</v>
      </c>
      <c r="J693" s="85">
        <v>580.02499999999998</v>
      </c>
      <c r="K693" s="87">
        <v>7540</v>
      </c>
      <c r="L693" s="85">
        <v>579.44299999999998</v>
      </c>
      <c r="M693" s="87">
        <v>7540</v>
      </c>
      <c r="N693" s="85">
        <v>579.86800000000005</v>
      </c>
      <c r="O693" s="87">
        <v>7520</v>
      </c>
      <c r="P693" s="85">
        <v>580.95699999999999</v>
      </c>
      <c r="Q693" s="87">
        <v>7540</v>
      </c>
      <c r="R693" s="85">
        <v>580.59299999999996</v>
      </c>
      <c r="S693" s="87">
        <v>7540</v>
      </c>
      <c r="T693" s="85">
        <v>581.26599999999996</v>
      </c>
      <c r="U693" s="87">
        <v>7530</v>
      </c>
      <c r="V693" s="85">
        <v>580.77</v>
      </c>
      <c r="W693" s="87">
        <v>7540</v>
      </c>
      <c r="X693" s="85">
        <v>580.255</v>
      </c>
      <c r="Y693" s="87">
        <v>7540</v>
      </c>
      <c r="Z693" s="85">
        <v>578.63699999999994</v>
      </c>
      <c r="AA693" s="87">
        <v>7540</v>
      </c>
      <c r="AB693" s="85">
        <v>578.88</v>
      </c>
      <c r="AC693" s="87">
        <v>7530</v>
      </c>
      <c r="AD693" s="85">
        <v>502.71100000000001</v>
      </c>
      <c r="AE693" s="87">
        <v>7540</v>
      </c>
      <c r="AF693" s="85">
        <v>504.30599999999998</v>
      </c>
      <c r="AG693" s="87">
        <v>7520</v>
      </c>
      <c r="AH693" s="85">
        <v>123.86</v>
      </c>
      <c r="AI693" s="87">
        <v>7520</v>
      </c>
      <c r="AJ693" s="85">
        <v>130.69900000000001</v>
      </c>
    </row>
    <row r="694" spans="1:36" ht="14.25" customHeight="1">
      <c r="A694" s="88">
        <v>7550</v>
      </c>
      <c r="B694" s="84">
        <v>276.267</v>
      </c>
      <c r="C694" s="88">
        <v>7560</v>
      </c>
      <c r="D694" s="85">
        <v>274.09100000000001</v>
      </c>
      <c r="E694" s="86">
        <v>7550</v>
      </c>
      <c r="F694" s="85">
        <v>646.45600000000002</v>
      </c>
      <c r="G694" s="87">
        <v>7550</v>
      </c>
      <c r="H694" s="85">
        <v>646.49400000000003</v>
      </c>
      <c r="I694" s="87">
        <v>7550</v>
      </c>
      <c r="J694" s="85">
        <v>578.81299999999999</v>
      </c>
      <c r="K694" s="87">
        <v>7550</v>
      </c>
      <c r="L694" s="85">
        <v>578.23</v>
      </c>
      <c r="M694" s="87">
        <v>7550</v>
      </c>
      <c r="N694" s="85">
        <v>578.65599999999995</v>
      </c>
      <c r="O694" s="87">
        <v>7530</v>
      </c>
      <c r="P694" s="85">
        <v>579.74400000000003</v>
      </c>
      <c r="Q694" s="87">
        <v>7550</v>
      </c>
      <c r="R694" s="85">
        <v>579.38099999999997</v>
      </c>
      <c r="S694" s="87">
        <v>7550</v>
      </c>
      <c r="T694" s="85">
        <v>580.05399999999997</v>
      </c>
      <c r="U694" s="87">
        <v>7540</v>
      </c>
      <c r="V694" s="85">
        <v>579.55999999999995</v>
      </c>
      <c r="W694" s="87">
        <v>7550</v>
      </c>
      <c r="X694" s="85">
        <v>579.04399999999998</v>
      </c>
      <c r="Y694" s="87">
        <v>7550</v>
      </c>
      <c r="Z694" s="85">
        <v>577.42600000000004</v>
      </c>
      <c r="AA694" s="87">
        <v>7550</v>
      </c>
      <c r="AB694" s="85">
        <v>577.66999999999996</v>
      </c>
      <c r="AC694" s="87">
        <v>7540</v>
      </c>
      <c r="AD694" s="85">
        <v>501.50200000000001</v>
      </c>
      <c r="AE694" s="87">
        <v>7550</v>
      </c>
      <c r="AF694" s="85">
        <v>503.09699999999998</v>
      </c>
      <c r="AG694" s="87">
        <v>7530</v>
      </c>
      <c r="AH694" s="85">
        <v>123.49299999999999</v>
      </c>
      <c r="AI694" s="87">
        <v>7530</v>
      </c>
      <c r="AJ694" s="85">
        <v>130.31700000000001</v>
      </c>
    </row>
    <row r="695" spans="1:36" ht="14.25" customHeight="1">
      <c r="A695" s="88">
        <v>7560</v>
      </c>
      <c r="B695" s="84">
        <v>275.53100000000001</v>
      </c>
      <c r="C695" s="88">
        <v>7570</v>
      </c>
      <c r="D695" s="85">
        <v>273.35899999999998</v>
      </c>
      <c r="E695" s="86">
        <v>7560</v>
      </c>
      <c r="F695" s="85">
        <v>644.99</v>
      </c>
      <c r="G695" s="87">
        <v>7560</v>
      </c>
      <c r="H695" s="85">
        <v>645.029</v>
      </c>
      <c r="I695" s="87">
        <v>7560</v>
      </c>
      <c r="J695" s="85">
        <v>577.601</v>
      </c>
      <c r="K695" s="87">
        <v>7560</v>
      </c>
      <c r="L695" s="85">
        <v>577.01599999999996</v>
      </c>
      <c r="M695" s="87">
        <v>7560</v>
      </c>
      <c r="N695" s="85">
        <v>577.44399999999996</v>
      </c>
      <c r="O695" s="87">
        <v>7540</v>
      </c>
      <c r="P695" s="85">
        <v>578.53200000000004</v>
      </c>
      <c r="Q695" s="87">
        <v>7560</v>
      </c>
      <c r="R695" s="85">
        <v>578.16899999999998</v>
      </c>
      <c r="S695" s="87">
        <v>7560</v>
      </c>
      <c r="T695" s="85">
        <v>578.84199999999998</v>
      </c>
      <c r="U695" s="87">
        <v>7550</v>
      </c>
      <c r="V695" s="85">
        <v>578.34900000000005</v>
      </c>
      <c r="W695" s="87">
        <v>7560</v>
      </c>
      <c r="X695" s="85">
        <v>577.83299999999997</v>
      </c>
      <c r="Y695" s="87">
        <v>7560</v>
      </c>
      <c r="Z695" s="85">
        <v>576.21500000000003</v>
      </c>
      <c r="AA695" s="87">
        <v>7560</v>
      </c>
      <c r="AB695" s="85">
        <v>576.46</v>
      </c>
      <c r="AC695" s="87">
        <v>7550</v>
      </c>
      <c r="AD695" s="85">
        <v>500.29199999999997</v>
      </c>
      <c r="AE695" s="87">
        <v>7560</v>
      </c>
      <c r="AF695" s="85">
        <v>501.88799999999998</v>
      </c>
      <c r="AG695" s="87">
        <v>7540</v>
      </c>
      <c r="AH695" s="85">
        <v>123.126</v>
      </c>
      <c r="AI695" s="87">
        <v>7540</v>
      </c>
      <c r="AJ695" s="85">
        <v>129.93600000000001</v>
      </c>
    </row>
    <row r="696" spans="1:36" ht="14.25" customHeight="1">
      <c r="A696" s="88">
        <v>7570</v>
      </c>
      <c r="B696" s="84">
        <v>274.79500000000002</v>
      </c>
      <c r="C696" s="88">
        <v>7580</v>
      </c>
      <c r="D696" s="85">
        <v>272.62799999999999</v>
      </c>
      <c r="E696" s="86">
        <v>7570</v>
      </c>
      <c r="F696" s="85">
        <v>643.52300000000002</v>
      </c>
      <c r="G696" s="87">
        <v>7570</v>
      </c>
      <c r="H696" s="85">
        <v>643.56299999999999</v>
      </c>
      <c r="I696" s="87">
        <v>7570</v>
      </c>
      <c r="J696" s="85">
        <v>576.38900000000001</v>
      </c>
      <c r="K696" s="87">
        <v>7570</v>
      </c>
      <c r="L696" s="85">
        <v>575.803</v>
      </c>
      <c r="M696" s="87">
        <v>7570</v>
      </c>
      <c r="N696" s="85">
        <v>576.23099999999999</v>
      </c>
      <c r="O696" s="87">
        <v>7550</v>
      </c>
      <c r="P696" s="85">
        <v>577.31899999999996</v>
      </c>
      <c r="Q696" s="87">
        <v>7570</v>
      </c>
      <c r="R696" s="85">
        <v>576.95600000000002</v>
      </c>
      <c r="S696" s="87">
        <v>7570</v>
      </c>
      <c r="T696" s="85">
        <v>577.63</v>
      </c>
      <c r="U696" s="87">
        <v>7560</v>
      </c>
      <c r="V696" s="85">
        <v>577.13900000000001</v>
      </c>
      <c r="W696" s="87">
        <v>7570</v>
      </c>
      <c r="X696" s="85">
        <v>576.62199999999996</v>
      </c>
      <c r="Y696" s="87">
        <v>7570</v>
      </c>
      <c r="Z696" s="85">
        <v>575.00400000000002</v>
      </c>
      <c r="AA696" s="87">
        <v>7570</v>
      </c>
      <c r="AB696" s="85">
        <v>575.25</v>
      </c>
      <c r="AC696" s="87">
        <v>7560</v>
      </c>
      <c r="AD696" s="85">
        <v>499.08300000000003</v>
      </c>
      <c r="AE696" s="87">
        <v>7570</v>
      </c>
      <c r="AF696" s="85">
        <v>500.68</v>
      </c>
      <c r="AG696" s="87">
        <v>7550</v>
      </c>
      <c r="AH696" s="85">
        <v>122.759</v>
      </c>
      <c r="AI696" s="87">
        <v>7550</v>
      </c>
      <c r="AJ696" s="85">
        <v>129.554</v>
      </c>
    </row>
    <row r="697" spans="1:36" ht="14.25" customHeight="1">
      <c r="A697" s="88">
        <v>7580</v>
      </c>
      <c r="B697" s="84">
        <v>274.06</v>
      </c>
      <c r="C697" s="88">
        <v>7590</v>
      </c>
      <c r="D697" s="85">
        <v>271.89600000000002</v>
      </c>
      <c r="E697" s="86">
        <v>7580</v>
      </c>
      <c r="F697" s="85">
        <v>642.05700000000002</v>
      </c>
      <c r="G697" s="87">
        <v>7580</v>
      </c>
      <c r="H697" s="85">
        <v>642.09799999999996</v>
      </c>
      <c r="I697" s="87">
        <v>7580</v>
      </c>
      <c r="J697" s="85">
        <v>575.17700000000002</v>
      </c>
      <c r="K697" s="87">
        <v>7580</v>
      </c>
      <c r="L697" s="85">
        <v>574.58900000000006</v>
      </c>
      <c r="M697" s="87">
        <v>7580</v>
      </c>
      <c r="N697" s="85">
        <v>575.01900000000001</v>
      </c>
      <c r="O697" s="87">
        <v>7560</v>
      </c>
      <c r="P697" s="85">
        <v>576.10699999999997</v>
      </c>
      <c r="Q697" s="87">
        <v>7580</v>
      </c>
      <c r="R697" s="85">
        <v>575.74400000000003</v>
      </c>
      <c r="S697" s="87">
        <v>7580</v>
      </c>
      <c r="T697" s="85">
        <v>576.41800000000001</v>
      </c>
      <c r="U697" s="87">
        <v>7570</v>
      </c>
      <c r="V697" s="85">
        <v>575.92899999999997</v>
      </c>
      <c r="W697" s="87">
        <v>7580</v>
      </c>
      <c r="X697" s="85">
        <v>575.41099999999994</v>
      </c>
      <c r="Y697" s="87">
        <v>7580</v>
      </c>
      <c r="Z697" s="85">
        <v>573.79300000000001</v>
      </c>
      <c r="AA697" s="87">
        <v>7580</v>
      </c>
      <c r="AB697" s="85">
        <v>574.04</v>
      </c>
      <c r="AC697" s="87">
        <v>7570</v>
      </c>
      <c r="AD697" s="85">
        <v>497.87400000000002</v>
      </c>
      <c r="AE697" s="87">
        <v>7580</v>
      </c>
      <c r="AF697" s="85">
        <v>499.471</v>
      </c>
      <c r="AG697" s="87">
        <v>7560</v>
      </c>
      <c r="AH697" s="85">
        <v>122.393</v>
      </c>
      <c r="AI697" s="87">
        <v>7560</v>
      </c>
      <c r="AJ697" s="85">
        <v>129.173</v>
      </c>
    </row>
    <row r="698" spans="1:36" ht="14.25" customHeight="1">
      <c r="A698" s="88">
        <v>7590</v>
      </c>
      <c r="B698" s="84">
        <v>273.32499999999999</v>
      </c>
      <c r="C698" s="88">
        <v>7600</v>
      </c>
      <c r="D698" s="85">
        <v>271.16500000000002</v>
      </c>
      <c r="E698" s="86">
        <v>7590</v>
      </c>
      <c r="F698" s="85">
        <v>640.59100000000001</v>
      </c>
      <c r="G698" s="87">
        <v>7590</v>
      </c>
      <c r="H698" s="85">
        <v>640.63199999999995</v>
      </c>
      <c r="I698" s="87">
        <v>7590</v>
      </c>
      <c r="J698" s="85">
        <v>573.96500000000003</v>
      </c>
      <c r="K698" s="87">
        <v>7590</v>
      </c>
      <c r="L698" s="85">
        <v>573.37599999999998</v>
      </c>
      <c r="M698" s="87">
        <v>7590</v>
      </c>
      <c r="N698" s="85">
        <v>573.80700000000002</v>
      </c>
      <c r="O698" s="87">
        <v>7570</v>
      </c>
      <c r="P698" s="85">
        <v>574.89400000000001</v>
      </c>
      <c r="Q698" s="87">
        <v>7590</v>
      </c>
      <c r="R698" s="85">
        <v>574.53200000000004</v>
      </c>
      <c r="S698" s="87">
        <v>7590</v>
      </c>
      <c r="T698" s="85">
        <v>575.20600000000002</v>
      </c>
      <c r="U698" s="87">
        <v>7580</v>
      </c>
      <c r="V698" s="85">
        <v>574.71900000000005</v>
      </c>
      <c r="W698" s="87">
        <v>7590</v>
      </c>
      <c r="X698" s="85">
        <v>574.20000000000005</v>
      </c>
      <c r="Y698" s="87">
        <v>7590</v>
      </c>
      <c r="Z698" s="85">
        <v>572.58199999999999</v>
      </c>
      <c r="AA698" s="87">
        <v>7590</v>
      </c>
      <c r="AB698" s="85">
        <v>572.83000000000004</v>
      </c>
      <c r="AC698" s="87">
        <v>7580</v>
      </c>
      <c r="AD698" s="85">
        <v>496.66500000000002</v>
      </c>
      <c r="AE698" s="87">
        <v>7590</v>
      </c>
      <c r="AF698" s="85">
        <v>498.262</v>
      </c>
      <c r="AG698" s="87">
        <v>7570</v>
      </c>
      <c r="AH698" s="85">
        <v>122.027</v>
      </c>
      <c r="AI698" s="87">
        <v>7570</v>
      </c>
      <c r="AJ698" s="85">
        <v>128.79300000000001</v>
      </c>
    </row>
    <row r="699" spans="1:36" ht="14.25" customHeight="1">
      <c r="A699" s="88">
        <v>7600</v>
      </c>
      <c r="B699" s="84">
        <v>272.589</v>
      </c>
      <c r="C699" s="88">
        <v>7610</v>
      </c>
      <c r="D699" s="85">
        <v>270.43400000000003</v>
      </c>
      <c r="E699" s="86">
        <v>7600</v>
      </c>
      <c r="F699" s="85">
        <v>639.125</v>
      </c>
      <c r="G699" s="87">
        <v>7600</v>
      </c>
      <c r="H699" s="85">
        <v>639.16700000000003</v>
      </c>
      <c r="I699" s="87">
        <v>7600</v>
      </c>
      <c r="J699" s="85">
        <v>572.75300000000004</v>
      </c>
      <c r="K699" s="87">
        <v>7600</v>
      </c>
      <c r="L699" s="85">
        <v>572.16200000000003</v>
      </c>
      <c r="M699" s="87">
        <v>7600</v>
      </c>
      <c r="N699" s="85">
        <v>572.59500000000003</v>
      </c>
      <c r="O699" s="87">
        <v>7580</v>
      </c>
      <c r="P699" s="85">
        <v>573.68200000000002</v>
      </c>
      <c r="Q699" s="87">
        <v>7600</v>
      </c>
      <c r="R699" s="85">
        <v>573.32000000000005</v>
      </c>
      <c r="S699" s="87">
        <v>7600</v>
      </c>
      <c r="T699" s="85">
        <v>573.99300000000005</v>
      </c>
      <c r="U699" s="87">
        <v>7590</v>
      </c>
      <c r="V699" s="85">
        <v>573.50900000000001</v>
      </c>
      <c r="W699" s="87">
        <v>7600</v>
      </c>
      <c r="X699" s="85">
        <v>572.98900000000003</v>
      </c>
      <c r="Y699" s="87">
        <v>7600</v>
      </c>
      <c r="Z699" s="85">
        <v>571.37099999999998</v>
      </c>
      <c r="AA699" s="87">
        <v>7600</v>
      </c>
      <c r="AB699" s="85">
        <v>571.62</v>
      </c>
      <c r="AC699" s="87">
        <v>7590</v>
      </c>
      <c r="AD699" s="85">
        <v>495.45600000000002</v>
      </c>
      <c r="AE699" s="87">
        <v>7600</v>
      </c>
      <c r="AF699" s="85">
        <v>497.053</v>
      </c>
      <c r="AG699" s="87">
        <v>7580</v>
      </c>
      <c r="AH699" s="85">
        <v>121.661</v>
      </c>
      <c r="AI699" s="87">
        <v>7580</v>
      </c>
      <c r="AJ699" s="85">
        <v>128.41300000000001</v>
      </c>
    </row>
    <row r="700" spans="1:36" ht="14.25" customHeight="1">
      <c r="A700" s="88">
        <v>7610</v>
      </c>
      <c r="B700" s="84">
        <v>271.85500000000002</v>
      </c>
      <c r="C700" s="88">
        <v>7620</v>
      </c>
      <c r="D700" s="85">
        <v>269.70299999999997</v>
      </c>
      <c r="E700" s="86">
        <v>7610</v>
      </c>
      <c r="F700" s="85">
        <v>637.66</v>
      </c>
      <c r="G700" s="87">
        <v>7610</v>
      </c>
      <c r="H700" s="85">
        <v>637.702</v>
      </c>
      <c r="I700" s="87">
        <v>7610</v>
      </c>
      <c r="J700" s="85">
        <v>571.54100000000005</v>
      </c>
      <c r="K700" s="87">
        <v>7610</v>
      </c>
      <c r="L700" s="85">
        <v>570.94899999999996</v>
      </c>
      <c r="M700" s="87">
        <v>7610</v>
      </c>
      <c r="N700" s="85">
        <v>571.38300000000004</v>
      </c>
      <c r="O700" s="87">
        <v>7590</v>
      </c>
      <c r="P700" s="85">
        <v>572.47</v>
      </c>
      <c r="Q700" s="87">
        <v>7610</v>
      </c>
      <c r="R700" s="85">
        <v>572.10799999999995</v>
      </c>
      <c r="S700" s="87">
        <v>7610</v>
      </c>
      <c r="T700" s="85">
        <v>572.78099999999995</v>
      </c>
      <c r="U700" s="87">
        <v>7600</v>
      </c>
      <c r="V700" s="85">
        <v>572.29899999999998</v>
      </c>
      <c r="W700" s="87">
        <v>7610</v>
      </c>
      <c r="X700" s="85">
        <v>571.77800000000002</v>
      </c>
      <c r="Y700" s="87">
        <v>7610</v>
      </c>
      <c r="Z700" s="85">
        <v>570.16</v>
      </c>
      <c r="AA700" s="87">
        <v>7610</v>
      </c>
      <c r="AB700" s="85">
        <v>570.41</v>
      </c>
      <c r="AC700" s="87">
        <v>7600</v>
      </c>
      <c r="AD700" s="85">
        <v>494.24700000000001</v>
      </c>
      <c r="AE700" s="87">
        <v>7610</v>
      </c>
      <c r="AF700" s="85">
        <v>495.84500000000003</v>
      </c>
      <c r="AG700" s="87">
        <v>7590</v>
      </c>
      <c r="AH700" s="85">
        <v>121.295</v>
      </c>
      <c r="AI700" s="87">
        <v>7590</v>
      </c>
      <c r="AJ700" s="85">
        <v>128.03299999999999</v>
      </c>
    </row>
    <row r="701" spans="1:36" ht="14.25" customHeight="1">
      <c r="A701" s="88">
        <v>7620</v>
      </c>
      <c r="B701" s="84">
        <v>271.12</v>
      </c>
      <c r="C701" s="88">
        <v>7630</v>
      </c>
      <c r="D701" s="85">
        <v>268.97300000000001</v>
      </c>
      <c r="E701" s="86">
        <v>7620</v>
      </c>
      <c r="F701" s="85">
        <v>636.19399999999996</v>
      </c>
      <c r="G701" s="87">
        <v>7620</v>
      </c>
      <c r="H701" s="85">
        <v>636.23699999999997</v>
      </c>
      <c r="I701" s="87">
        <v>7620</v>
      </c>
      <c r="J701" s="85">
        <v>570.32899999999995</v>
      </c>
      <c r="K701" s="87">
        <v>7620</v>
      </c>
      <c r="L701" s="85">
        <v>569.73500000000001</v>
      </c>
      <c r="M701" s="87">
        <v>7620</v>
      </c>
      <c r="N701" s="85">
        <v>570.17100000000005</v>
      </c>
      <c r="O701" s="87">
        <v>7600</v>
      </c>
      <c r="P701" s="85">
        <v>571.25699999999995</v>
      </c>
      <c r="Q701" s="87">
        <v>7620</v>
      </c>
      <c r="R701" s="85">
        <v>570.89499999999998</v>
      </c>
      <c r="S701" s="87">
        <v>7620</v>
      </c>
      <c r="T701" s="85">
        <v>571.56899999999996</v>
      </c>
      <c r="U701" s="87">
        <v>7610</v>
      </c>
      <c r="V701" s="85">
        <v>571.08900000000006</v>
      </c>
      <c r="W701" s="87">
        <v>7620</v>
      </c>
      <c r="X701" s="85">
        <v>570.56700000000001</v>
      </c>
      <c r="Y701" s="87">
        <v>7620</v>
      </c>
      <c r="Z701" s="85">
        <v>568.94899999999996</v>
      </c>
      <c r="AA701" s="87">
        <v>7620</v>
      </c>
      <c r="AB701" s="85">
        <v>569.20000000000005</v>
      </c>
      <c r="AC701" s="87">
        <v>7610</v>
      </c>
      <c r="AD701" s="85">
        <v>493.03800000000001</v>
      </c>
      <c r="AE701" s="87">
        <v>7620</v>
      </c>
      <c r="AF701" s="85">
        <v>494.63600000000002</v>
      </c>
      <c r="AG701" s="87">
        <v>7600</v>
      </c>
      <c r="AH701" s="85">
        <v>120.93</v>
      </c>
      <c r="AI701" s="87">
        <v>7600</v>
      </c>
      <c r="AJ701" s="85">
        <v>127.65300000000001</v>
      </c>
    </row>
    <row r="702" spans="1:36" ht="14.25" customHeight="1">
      <c r="A702" s="88">
        <v>7630</v>
      </c>
      <c r="B702" s="84">
        <v>270.38499999999999</v>
      </c>
      <c r="C702" s="88">
        <v>7640</v>
      </c>
      <c r="D702" s="85">
        <v>268.24200000000002</v>
      </c>
      <c r="E702" s="86">
        <v>7630</v>
      </c>
      <c r="F702" s="85">
        <v>634.72799999999995</v>
      </c>
      <c r="G702" s="87">
        <v>7630</v>
      </c>
      <c r="H702" s="85">
        <v>634.77200000000005</v>
      </c>
      <c r="I702" s="87">
        <v>7630</v>
      </c>
      <c r="J702" s="85">
        <v>569.11599999999999</v>
      </c>
      <c r="K702" s="87">
        <v>7630</v>
      </c>
      <c r="L702" s="85">
        <v>568.52200000000005</v>
      </c>
      <c r="M702" s="87">
        <v>7630</v>
      </c>
      <c r="N702" s="85">
        <v>568.95899999999995</v>
      </c>
      <c r="O702" s="87">
        <v>7610</v>
      </c>
      <c r="P702" s="85">
        <v>570.04499999999996</v>
      </c>
      <c r="Q702" s="87">
        <v>7630</v>
      </c>
      <c r="R702" s="85">
        <v>569.68299999999999</v>
      </c>
      <c r="S702" s="87">
        <v>7630</v>
      </c>
      <c r="T702" s="85">
        <v>570.35699999999997</v>
      </c>
      <c r="U702" s="87">
        <v>7620</v>
      </c>
      <c r="V702" s="85">
        <v>569.87900000000002</v>
      </c>
      <c r="W702" s="87">
        <v>7630</v>
      </c>
      <c r="X702" s="85">
        <v>569.35599999999999</v>
      </c>
      <c r="Y702" s="87">
        <v>7630</v>
      </c>
      <c r="Z702" s="85">
        <v>567.73800000000006</v>
      </c>
      <c r="AA702" s="87">
        <v>7630</v>
      </c>
      <c r="AB702" s="85">
        <v>567.99</v>
      </c>
      <c r="AC702" s="87">
        <v>7620</v>
      </c>
      <c r="AD702" s="85">
        <v>491.82900000000001</v>
      </c>
      <c r="AE702" s="87">
        <v>7630</v>
      </c>
      <c r="AF702" s="85">
        <v>493.428</v>
      </c>
      <c r="AG702" s="87">
        <v>7610</v>
      </c>
      <c r="AH702" s="85">
        <v>120.566</v>
      </c>
      <c r="AI702" s="87">
        <v>7610</v>
      </c>
      <c r="AJ702" s="85">
        <v>127.274</v>
      </c>
    </row>
    <row r="703" spans="1:36" ht="14.25" customHeight="1">
      <c r="A703" s="88">
        <v>7640</v>
      </c>
      <c r="B703" s="84">
        <v>269.65100000000001</v>
      </c>
      <c r="C703" s="88">
        <v>7650</v>
      </c>
      <c r="D703" s="85">
        <v>267.512</v>
      </c>
      <c r="E703" s="86">
        <v>7640</v>
      </c>
      <c r="F703" s="85">
        <v>633.26300000000003</v>
      </c>
      <c r="G703" s="87">
        <v>7640</v>
      </c>
      <c r="H703" s="85">
        <v>633.30700000000002</v>
      </c>
      <c r="I703" s="87">
        <v>7640</v>
      </c>
      <c r="J703" s="85">
        <v>567.904</v>
      </c>
      <c r="K703" s="87">
        <v>7640</v>
      </c>
      <c r="L703" s="85">
        <v>567.30799999999999</v>
      </c>
      <c r="M703" s="87">
        <v>7640</v>
      </c>
      <c r="N703" s="85">
        <v>567.74599999999998</v>
      </c>
      <c r="O703" s="87">
        <v>7620</v>
      </c>
      <c r="P703" s="85">
        <v>568.83199999999999</v>
      </c>
      <c r="Q703" s="87">
        <v>7640</v>
      </c>
      <c r="R703" s="85">
        <v>568.471</v>
      </c>
      <c r="S703" s="87">
        <v>7640</v>
      </c>
      <c r="T703" s="85">
        <v>569.14499999999998</v>
      </c>
      <c r="U703" s="87">
        <v>7630</v>
      </c>
      <c r="V703" s="85">
        <v>568.66899999999998</v>
      </c>
      <c r="W703" s="87">
        <v>7640</v>
      </c>
      <c r="X703" s="85">
        <v>568.14599999999996</v>
      </c>
      <c r="Y703" s="87">
        <v>7640</v>
      </c>
      <c r="Z703" s="85">
        <v>566.52700000000004</v>
      </c>
      <c r="AA703" s="87">
        <v>7640</v>
      </c>
      <c r="AB703" s="85">
        <v>566.78</v>
      </c>
      <c r="AC703" s="87">
        <v>7630</v>
      </c>
      <c r="AD703" s="85">
        <v>490.62</v>
      </c>
      <c r="AE703" s="87">
        <v>7640</v>
      </c>
      <c r="AF703" s="85">
        <v>492.21899999999999</v>
      </c>
      <c r="AG703" s="87">
        <v>7620</v>
      </c>
      <c r="AH703" s="85">
        <v>120.202</v>
      </c>
      <c r="AI703" s="87">
        <v>7620</v>
      </c>
      <c r="AJ703" s="85">
        <v>126.895</v>
      </c>
    </row>
    <row r="704" spans="1:36" ht="14.25" customHeight="1">
      <c r="A704" s="88">
        <v>7650</v>
      </c>
      <c r="B704" s="84">
        <v>268.91699999999997</v>
      </c>
      <c r="C704" s="88">
        <v>7660</v>
      </c>
      <c r="D704" s="85">
        <v>266.78199999999998</v>
      </c>
      <c r="E704" s="86">
        <v>7650</v>
      </c>
      <c r="F704" s="85">
        <v>631.79700000000003</v>
      </c>
      <c r="G704" s="87">
        <v>7650</v>
      </c>
      <c r="H704" s="85">
        <v>631.84199999999998</v>
      </c>
      <c r="I704" s="87">
        <v>7650</v>
      </c>
      <c r="J704" s="85">
        <v>566.69200000000001</v>
      </c>
      <c r="K704" s="87">
        <v>7650</v>
      </c>
      <c r="L704" s="85">
        <v>566.09500000000003</v>
      </c>
      <c r="M704" s="87">
        <v>7650</v>
      </c>
      <c r="N704" s="85">
        <v>566.53399999999999</v>
      </c>
      <c r="O704" s="87">
        <v>7630</v>
      </c>
      <c r="P704" s="85">
        <v>567.62</v>
      </c>
      <c r="Q704" s="87">
        <v>7650</v>
      </c>
      <c r="R704" s="85">
        <v>567.25900000000001</v>
      </c>
      <c r="S704" s="87">
        <v>7650</v>
      </c>
      <c r="T704" s="85">
        <v>567.93299999999999</v>
      </c>
      <c r="U704" s="87">
        <v>7640</v>
      </c>
      <c r="V704" s="85">
        <v>567.45799999999997</v>
      </c>
      <c r="W704" s="87">
        <v>7650</v>
      </c>
      <c r="X704" s="85">
        <v>566.93499999999995</v>
      </c>
      <c r="Y704" s="87">
        <v>7650</v>
      </c>
      <c r="Z704" s="85">
        <v>565.31500000000005</v>
      </c>
      <c r="AA704" s="87">
        <v>7650</v>
      </c>
      <c r="AB704" s="85">
        <v>565.57000000000005</v>
      </c>
      <c r="AC704" s="87">
        <v>7640</v>
      </c>
      <c r="AD704" s="85">
        <v>489.41199999999998</v>
      </c>
      <c r="AE704" s="87">
        <v>7650</v>
      </c>
      <c r="AF704" s="85">
        <v>491.01100000000002</v>
      </c>
      <c r="AG704" s="87">
        <v>7630</v>
      </c>
      <c r="AH704" s="85">
        <v>119.83799999999999</v>
      </c>
      <c r="AI704" s="87">
        <v>7630</v>
      </c>
      <c r="AJ704" s="85">
        <v>126.517</v>
      </c>
    </row>
    <row r="705" spans="1:36" ht="14.25" customHeight="1">
      <c r="A705" s="88">
        <v>7660</v>
      </c>
      <c r="B705" s="84">
        <v>268.18299999999999</v>
      </c>
      <c r="C705" s="88">
        <v>7670</v>
      </c>
      <c r="D705" s="85">
        <v>266.053</v>
      </c>
      <c r="E705" s="86">
        <v>7660</v>
      </c>
      <c r="F705" s="85">
        <v>630.33199999999999</v>
      </c>
      <c r="G705" s="87">
        <v>7660</v>
      </c>
      <c r="H705" s="85">
        <v>630.37800000000004</v>
      </c>
      <c r="I705" s="87">
        <v>7660</v>
      </c>
      <c r="J705" s="85">
        <v>565.48</v>
      </c>
      <c r="K705" s="87">
        <v>7660</v>
      </c>
      <c r="L705" s="85">
        <v>564.88099999999997</v>
      </c>
      <c r="M705" s="87">
        <v>7660</v>
      </c>
      <c r="N705" s="85">
        <v>565.322</v>
      </c>
      <c r="O705" s="87">
        <v>7640</v>
      </c>
      <c r="P705" s="85">
        <v>566.40800000000002</v>
      </c>
      <c r="Q705" s="87">
        <v>7660</v>
      </c>
      <c r="R705" s="85">
        <v>566.04700000000003</v>
      </c>
      <c r="S705" s="87">
        <v>7660</v>
      </c>
      <c r="T705" s="85">
        <v>566.721</v>
      </c>
      <c r="U705" s="87">
        <v>7650</v>
      </c>
      <c r="V705" s="85">
        <v>566.24800000000005</v>
      </c>
      <c r="W705" s="87">
        <v>7660</v>
      </c>
      <c r="X705" s="85">
        <v>565.72400000000005</v>
      </c>
      <c r="Y705" s="87">
        <v>7660</v>
      </c>
      <c r="Z705" s="85">
        <v>564.10500000000002</v>
      </c>
      <c r="AA705" s="87">
        <v>7660</v>
      </c>
      <c r="AB705" s="85">
        <v>564.36</v>
      </c>
      <c r="AC705" s="87">
        <v>7650</v>
      </c>
      <c r="AD705" s="85">
        <v>488.20299999999997</v>
      </c>
      <c r="AE705" s="87">
        <v>7660</v>
      </c>
      <c r="AF705" s="85">
        <v>489.80200000000002</v>
      </c>
      <c r="AG705" s="87">
        <v>7640</v>
      </c>
      <c r="AH705" s="85">
        <v>119.474</v>
      </c>
      <c r="AI705" s="87">
        <v>7640</v>
      </c>
      <c r="AJ705" s="85">
        <v>126.139</v>
      </c>
    </row>
    <row r="706" spans="1:36" ht="14.25" customHeight="1">
      <c r="A706" s="88">
        <v>7670</v>
      </c>
      <c r="B706" s="84">
        <v>267.44900000000001</v>
      </c>
      <c r="C706" s="88">
        <v>7680</v>
      </c>
      <c r="D706" s="85">
        <v>265.32299999999998</v>
      </c>
      <c r="E706" s="86">
        <v>7670</v>
      </c>
      <c r="F706" s="85">
        <v>628.86699999999996</v>
      </c>
      <c r="G706" s="87">
        <v>7670</v>
      </c>
      <c r="H706" s="85">
        <v>628.91300000000001</v>
      </c>
      <c r="I706" s="87">
        <v>7670</v>
      </c>
      <c r="J706" s="85">
        <v>564.26800000000003</v>
      </c>
      <c r="K706" s="87">
        <v>7670</v>
      </c>
      <c r="L706" s="85">
        <v>563.66800000000001</v>
      </c>
      <c r="M706" s="87">
        <v>7670</v>
      </c>
      <c r="N706" s="85">
        <v>564.11</v>
      </c>
      <c r="O706" s="87">
        <v>7650</v>
      </c>
      <c r="P706" s="85">
        <v>565.19500000000005</v>
      </c>
      <c r="Q706" s="87">
        <v>7670</v>
      </c>
      <c r="R706" s="85">
        <v>564.83399999999995</v>
      </c>
      <c r="S706" s="87">
        <v>7670</v>
      </c>
      <c r="T706" s="85">
        <v>565.50900000000001</v>
      </c>
      <c r="U706" s="87">
        <v>7660</v>
      </c>
      <c r="V706" s="85">
        <v>565.03800000000001</v>
      </c>
      <c r="W706" s="87">
        <v>7670</v>
      </c>
      <c r="X706" s="85">
        <v>564.51300000000003</v>
      </c>
      <c r="Y706" s="87">
        <v>7670</v>
      </c>
      <c r="Z706" s="85">
        <v>562.89300000000003</v>
      </c>
      <c r="AA706" s="87">
        <v>7670</v>
      </c>
      <c r="AB706" s="85">
        <v>563.15</v>
      </c>
      <c r="AC706" s="87">
        <v>7660</v>
      </c>
      <c r="AD706" s="85">
        <v>486.99400000000003</v>
      </c>
      <c r="AE706" s="87">
        <v>7670</v>
      </c>
      <c r="AF706" s="85">
        <v>488.59399999999999</v>
      </c>
      <c r="AG706" s="87">
        <v>7650</v>
      </c>
      <c r="AH706" s="85">
        <v>119.111</v>
      </c>
      <c r="AI706" s="87">
        <v>7650</v>
      </c>
      <c r="AJ706" s="85">
        <v>125.762</v>
      </c>
    </row>
    <row r="707" spans="1:36" ht="14.25" customHeight="1">
      <c r="A707" s="88">
        <v>7680</v>
      </c>
      <c r="B707" s="84">
        <v>266.71600000000001</v>
      </c>
      <c r="C707" s="88">
        <v>7690</v>
      </c>
      <c r="D707" s="85">
        <v>264.59399999999999</v>
      </c>
      <c r="E707" s="86">
        <v>7680</v>
      </c>
      <c r="F707" s="85">
        <v>627.40200000000004</v>
      </c>
      <c r="G707" s="87">
        <v>7680</v>
      </c>
      <c r="H707" s="85">
        <v>627.44899999999996</v>
      </c>
      <c r="I707" s="87">
        <v>7680</v>
      </c>
      <c r="J707" s="85">
        <v>563.05600000000004</v>
      </c>
      <c r="K707" s="87">
        <v>7680</v>
      </c>
      <c r="L707" s="85">
        <v>562.45399999999995</v>
      </c>
      <c r="M707" s="87">
        <v>7680</v>
      </c>
      <c r="N707" s="85">
        <v>562.89800000000002</v>
      </c>
      <c r="O707" s="87">
        <v>7660</v>
      </c>
      <c r="P707" s="85">
        <v>563.98299999999995</v>
      </c>
      <c r="Q707" s="87">
        <v>7680</v>
      </c>
      <c r="R707" s="85">
        <v>563.62199999999996</v>
      </c>
      <c r="S707" s="87">
        <v>7680</v>
      </c>
      <c r="T707" s="85">
        <v>564.29700000000003</v>
      </c>
      <c r="U707" s="87">
        <v>7670</v>
      </c>
      <c r="V707" s="85">
        <v>563.82799999999997</v>
      </c>
      <c r="W707" s="87">
        <v>7680</v>
      </c>
      <c r="X707" s="85">
        <v>563.30200000000002</v>
      </c>
      <c r="Y707" s="87">
        <v>7680</v>
      </c>
      <c r="Z707" s="85">
        <v>561.68200000000002</v>
      </c>
      <c r="AA707" s="87">
        <v>7680</v>
      </c>
      <c r="AB707" s="85">
        <v>561.94000000000005</v>
      </c>
      <c r="AC707" s="87">
        <v>7670</v>
      </c>
      <c r="AD707" s="85">
        <v>485.78500000000003</v>
      </c>
      <c r="AE707" s="87">
        <v>7680</v>
      </c>
      <c r="AF707" s="85">
        <v>487.38499999999999</v>
      </c>
      <c r="AG707" s="87">
        <v>7660</v>
      </c>
      <c r="AH707" s="85">
        <v>118.749</v>
      </c>
      <c r="AI707" s="87">
        <v>7660</v>
      </c>
      <c r="AJ707" s="85">
        <v>125.384</v>
      </c>
    </row>
    <row r="708" spans="1:36" ht="14.25" customHeight="1">
      <c r="A708" s="88">
        <v>7690</v>
      </c>
      <c r="B708" s="84">
        <v>265.983</v>
      </c>
      <c r="C708" s="88">
        <v>7700</v>
      </c>
      <c r="D708" s="85">
        <v>263.86500000000001</v>
      </c>
      <c r="E708" s="86">
        <v>7690</v>
      </c>
      <c r="F708" s="85">
        <v>625.93700000000001</v>
      </c>
      <c r="G708" s="87">
        <v>7690</v>
      </c>
      <c r="H708" s="85">
        <v>625.98400000000004</v>
      </c>
      <c r="I708" s="87">
        <v>7690</v>
      </c>
      <c r="J708" s="85">
        <v>561.84400000000005</v>
      </c>
      <c r="K708" s="87">
        <v>7690</v>
      </c>
      <c r="L708" s="85">
        <v>561.24099999999999</v>
      </c>
      <c r="M708" s="87">
        <v>7690</v>
      </c>
      <c r="N708" s="85">
        <v>561.68600000000004</v>
      </c>
      <c r="O708" s="87">
        <v>7670</v>
      </c>
      <c r="P708" s="85">
        <v>562.77</v>
      </c>
      <c r="Q708" s="87">
        <v>7690</v>
      </c>
      <c r="R708" s="85">
        <v>562.41</v>
      </c>
      <c r="S708" s="87">
        <v>7690</v>
      </c>
      <c r="T708" s="85">
        <v>563.08500000000004</v>
      </c>
      <c r="U708" s="87">
        <v>7680</v>
      </c>
      <c r="V708" s="85">
        <v>562.61800000000005</v>
      </c>
      <c r="W708" s="87">
        <v>7690</v>
      </c>
      <c r="X708" s="85">
        <v>562.09100000000001</v>
      </c>
      <c r="Y708" s="87">
        <v>7690</v>
      </c>
      <c r="Z708" s="85">
        <v>560.471</v>
      </c>
      <c r="AA708" s="87">
        <v>7690</v>
      </c>
      <c r="AB708" s="85">
        <v>560.73</v>
      </c>
      <c r="AC708" s="87">
        <v>7680</v>
      </c>
      <c r="AD708" s="85">
        <v>484.577</v>
      </c>
      <c r="AE708" s="87">
        <v>7690</v>
      </c>
      <c r="AF708" s="85">
        <v>486.17700000000002</v>
      </c>
      <c r="AG708" s="87">
        <v>7670</v>
      </c>
      <c r="AH708" s="85">
        <v>118.386</v>
      </c>
      <c r="AI708" s="87">
        <v>7670</v>
      </c>
      <c r="AJ708" s="85">
        <v>125.008</v>
      </c>
    </row>
    <row r="709" spans="1:36" ht="14.25" customHeight="1">
      <c r="A709" s="88">
        <v>7700</v>
      </c>
      <c r="B709" s="84">
        <v>265.25</v>
      </c>
      <c r="C709" s="88">
        <v>7710</v>
      </c>
      <c r="D709" s="85">
        <v>263.13600000000002</v>
      </c>
      <c r="E709" s="86">
        <v>7700</v>
      </c>
      <c r="F709" s="85">
        <v>624.47199999999998</v>
      </c>
      <c r="G709" s="87">
        <v>7700</v>
      </c>
      <c r="H709" s="85">
        <v>624.52</v>
      </c>
      <c r="I709" s="87">
        <v>7700</v>
      </c>
      <c r="J709" s="85">
        <v>560.63199999999995</v>
      </c>
      <c r="K709" s="87">
        <v>7700</v>
      </c>
      <c r="L709" s="85">
        <v>560.02700000000004</v>
      </c>
      <c r="M709" s="87">
        <v>7700</v>
      </c>
      <c r="N709" s="85">
        <v>560.47400000000005</v>
      </c>
      <c r="O709" s="87">
        <v>7680</v>
      </c>
      <c r="P709" s="85">
        <v>561.55799999999999</v>
      </c>
      <c r="Q709" s="87">
        <v>7700</v>
      </c>
      <c r="R709" s="85">
        <v>561.19799999999998</v>
      </c>
      <c r="S709" s="87">
        <v>7700</v>
      </c>
      <c r="T709" s="85">
        <v>561.87300000000005</v>
      </c>
      <c r="U709" s="87">
        <v>7690</v>
      </c>
      <c r="V709" s="85">
        <v>561.40800000000002</v>
      </c>
      <c r="W709" s="87">
        <v>7700</v>
      </c>
      <c r="X709" s="85">
        <v>560.88</v>
      </c>
      <c r="Y709" s="87">
        <v>7700</v>
      </c>
      <c r="Z709" s="93">
        <v>559.26</v>
      </c>
      <c r="AA709" s="87">
        <v>7700</v>
      </c>
      <c r="AB709" s="85">
        <v>559.52</v>
      </c>
      <c r="AC709" s="87">
        <v>7690</v>
      </c>
      <c r="AD709" s="85">
        <v>483.36799999999999</v>
      </c>
      <c r="AE709" s="87">
        <v>7700</v>
      </c>
      <c r="AF709" s="85">
        <v>484.96899999999999</v>
      </c>
      <c r="AG709" s="87">
        <v>7680</v>
      </c>
      <c r="AH709" s="85">
        <v>118.024</v>
      </c>
      <c r="AI709" s="87">
        <v>7680</v>
      </c>
      <c r="AJ709" s="85">
        <v>124.631</v>
      </c>
    </row>
    <row r="710" spans="1:36" ht="14.25" customHeight="1">
      <c r="A710" s="88">
        <v>7710</v>
      </c>
      <c r="B710" s="84">
        <v>264.517</v>
      </c>
      <c r="C710" s="88">
        <v>7720</v>
      </c>
      <c r="D710" s="85">
        <v>262.40699999999998</v>
      </c>
      <c r="E710" s="86">
        <v>7710</v>
      </c>
      <c r="F710" s="85">
        <v>623.00800000000004</v>
      </c>
      <c r="G710" s="87">
        <v>7710</v>
      </c>
      <c r="H710" s="85">
        <v>623.05600000000004</v>
      </c>
      <c r="I710" s="87">
        <v>7710</v>
      </c>
      <c r="J710" s="85">
        <v>559.41999999999996</v>
      </c>
      <c r="K710" s="87">
        <v>7710</v>
      </c>
      <c r="L710" s="85">
        <v>558.81399999999996</v>
      </c>
      <c r="M710" s="87">
        <v>7710</v>
      </c>
      <c r="N710" s="85">
        <v>559.26199999999994</v>
      </c>
      <c r="O710" s="87">
        <v>7690</v>
      </c>
      <c r="P710" s="85">
        <v>560.346</v>
      </c>
      <c r="Q710" s="87">
        <v>7710</v>
      </c>
      <c r="R710" s="85">
        <v>559.98599999999999</v>
      </c>
      <c r="S710" s="87">
        <v>7710</v>
      </c>
      <c r="T710" s="85">
        <v>560.66</v>
      </c>
      <c r="U710" s="87">
        <v>7700</v>
      </c>
      <c r="V710" s="85">
        <v>560.19799999999998</v>
      </c>
      <c r="W710" s="87">
        <v>7710</v>
      </c>
      <c r="X710" s="85">
        <v>559.66899999999998</v>
      </c>
      <c r="Y710" s="87">
        <v>7710</v>
      </c>
      <c r="Z710" s="85">
        <v>558.04899999999998</v>
      </c>
      <c r="AA710" s="87">
        <v>7710</v>
      </c>
      <c r="AB710" s="85">
        <v>558.30999999999995</v>
      </c>
      <c r="AC710" s="87">
        <v>7700</v>
      </c>
      <c r="AD710" s="85">
        <v>482.15899999999999</v>
      </c>
      <c r="AE710" s="87">
        <v>7710</v>
      </c>
      <c r="AF710" s="85">
        <v>483.76100000000002</v>
      </c>
      <c r="AG710" s="87">
        <v>7690</v>
      </c>
      <c r="AH710" s="85">
        <v>117.663</v>
      </c>
      <c r="AI710" s="87">
        <v>7690</v>
      </c>
      <c r="AJ710" s="85">
        <v>124.255</v>
      </c>
    </row>
    <row r="711" spans="1:36" ht="14.25" customHeight="1">
      <c r="A711" s="88">
        <v>7720</v>
      </c>
      <c r="B711" s="84">
        <v>263.78500000000003</v>
      </c>
      <c r="C711" s="88">
        <v>7730</v>
      </c>
      <c r="D711" s="85">
        <v>261.67899999999997</v>
      </c>
      <c r="E711" s="86">
        <v>7720</v>
      </c>
      <c r="F711" s="85">
        <v>621.54300000000001</v>
      </c>
      <c r="G711" s="87">
        <v>7720</v>
      </c>
      <c r="H711" s="85">
        <v>621.59199999999998</v>
      </c>
      <c r="I711" s="87">
        <v>7720</v>
      </c>
      <c r="J711" s="85">
        <v>558.20799999999997</v>
      </c>
      <c r="K711" s="87">
        <v>7720</v>
      </c>
      <c r="L711" s="85">
        <v>557.6</v>
      </c>
      <c r="M711" s="87">
        <v>7720</v>
      </c>
      <c r="N711" s="85">
        <v>558.04899999999998</v>
      </c>
      <c r="O711" s="87">
        <v>7700</v>
      </c>
      <c r="P711" s="85">
        <v>559.13300000000004</v>
      </c>
      <c r="Q711" s="87">
        <v>7720</v>
      </c>
      <c r="R711" s="85">
        <v>558.774</v>
      </c>
      <c r="S711" s="87">
        <v>7720</v>
      </c>
      <c r="T711" s="85">
        <v>559.44799999999998</v>
      </c>
      <c r="U711" s="87">
        <v>7710</v>
      </c>
      <c r="V711" s="85">
        <v>558.98800000000006</v>
      </c>
      <c r="W711" s="87">
        <v>7720</v>
      </c>
      <c r="X711" s="85">
        <v>558.45799999999997</v>
      </c>
      <c r="Y711" s="87">
        <v>7720</v>
      </c>
      <c r="Z711" s="85">
        <v>556.83799999999997</v>
      </c>
      <c r="AA711" s="87">
        <v>7720</v>
      </c>
      <c r="AB711" s="85">
        <v>557.1</v>
      </c>
      <c r="AC711" s="87">
        <v>7710</v>
      </c>
      <c r="AD711" s="85">
        <v>480.95100000000002</v>
      </c>
      <c r="AE711" s="87">
        <v>7720</v>
      </c>
      <c r="AF711" s="85">
        <v>482.55200000000002</v>
      </c>
      <c r="AG711" s="87">
        <v>7700</v>
      </c>
      <c r="AH711" s="85">
        <v>117.30200000000001</v>
      </c>
      <c r="AI711" s="87">
        <v>7700</v>
      </c>
      <c r="AJ711" s="85">
        <v>123.88</v>
      </c>
    </row>
    <row r="712" spans="1:36" ht="14.25" customHeight="1">
      <c r="A712" s="88">
        <v>7730</v>
      </c>
      <c r="B712" s="84">
        <v>263.05200000000002</v>
      </c>
      <c r="C712" s="88">
        <v>7740</v>
      </c>
      <c r="D712" s="85">
        <v>260.95</v>
      </c>
      <c r="E712" s="86">
        <v>7730</v>
      </c>
      <c r="F712" s="85">
        <v>620.07899999999995</v>
      </c>
      <c r="G712" s="87">
        <v>7730</v>
      </c>
      <c r="H712" s="85">
        <v>620.12800000000004</v>
      </c>
      <c r="I712" s="87">
        <v>7730</v>
      </c>
      <c r="J712" s="85">
        <v>556.99599999999998</v>
      </c>
      <c r="K712" s="87">
        <v>7730</v>
      </c>
      <c r="L712" s="85">
        <v>556.38699999999994</v>
      </c>
      <c r="M712" s="87">
        <v>7730</v>
      </c>
      <c r="N712" s="85">
        <v>556.83699999999999</v>
      </c>
      <c r="O712" s="87">
        <v>7710</v>
      </c>
      <c r="P712" s="85">
        <v>557.92100000000005</v>
      </c>
      <c r="Q712" s="87">
        <v>7730</v>
      </c>
      <c r="R712" s="85">
        <v>557.56100000000004</v>
      </c>
      <c r="S712" s="87">
        <v>7730</v>
      </c>
      <c r="T712" s="85">
        <v>558.23599999999999</v>
      </c>
      <c r="U712" s="87">
        <v>7720</v>
      </c>
      <c r="V712" s="85">
        <v>557.77700000000004</v>
      </c>
      <c r="W712" s="87">
        <v>7730</v>
      </c>
      <c r="X712" s="85">
        <v>557.24699999999996</v>
      </c>
      <c r="Y712" s="87">
        <v>7730</v>
      </c>
      <c r="Z712" s="85">
        <v>555.62699999999995</v>
      </c>
      <c r="AA712" s="87">
        <v>7730</v>
      </c>
      <c r="AB712" s="85">
        <v>555.89</v>
      </c>
      <c r="AC712" s="87">
        <v>7720</v>
      </c>
      <c r="AD712" s="85">
        <v>479.74200000000002</v>
      </c>
      <c r="AE712" s="87">
        <v>7730</v>
      </c>
      <c r="AF712" s="85">
        <v>481.34399999999999</v>
      </c>
      <c r="AG712" s="87">
        <v>7710</v>
      </c>
      <c r="AH712" s="85">
        <v>116.941</v>
      </c>
      <c r="AI712" s="87">
        <v>7710</v>
      </c>
      <c r="AJ712" s="85">
        <v>123.505</v>
      </c>
    </row>
    <row r="713" spans="1:36" ht="14.25" customHeight="1">
      <c r="A713" s="88">
        <v>7740</v>
      </c>
      <c r="B713" s="84">
        <v>262.32</v>
      </c>
      <c r="C713" s="88">
        <v>7750</v>
      </c>
      <c r="D713" s="85">
        <v>260.22199999999998</v>
      </c>
      <c r="E713" s="86">
        <v>7740</v>
      </c>
      <c r="F713" s="85">
        <v>618.61400000000003</v>
      </c>
      <c r="G713" s="87">
        <v>7740</v>
      </c>
      <c r="H713" s="85">
        <v>618.66399999999999</v>
      </c>
      <c r="I713" s="87">
        <v>7740</v>
      </c>
      <c r="J713" s="85">
        <v>555.78300000000002</v>
      </c>
      <c r="K713" s="87">
        <v>7740</v>
      </c>
      <c r="L713" s="85">
        <v>555.173</v>
      </c>
      <c r="M713" s="87">
        <v>7740</v>
      </c>
      <c r="N713" s="85">
        <v>555.625</v>
      </c>
      <c r="O713" s="87">
        <v>7720</v>
      </c>
      <c r="P713" s="85">
        <v>556.70899999999995</v>
      </c>
      <c r="Q713" s="87">
        <v>7740</v>
      </c>
      <c r="R713" s="85">
        <v>556.34900000000005</v>
      </c>
      <c r="S713" s="87">
        <v>7740</v>
      </c>
      <c r="T713" s="85">
        <v>557.024</v>
      </c>
      <c r="U713" s="87">
        <v>7730</v>
      </c>
      <c r="V713" s="85">
        <v>556.56700000000001</v>
      </c>
      <c r="W713" s="87">
        <v>7740</v>
      </c>
      <c r="X713" s="85">
        <v>556.03599999999994</v>
      </c>
      <c r="Y713" s="87">
        <v>7740</v>
      </c>
      <c r="Z713" s="85">
        <v>554.41600000000005</v>
      </c>
      <c r="AA713" s="87">
        <v>7740</v>
      </c>
      <c r="AB713" s="85">
        <v>554.67999999999995</v>
      </c>
      <c r="AC713" s="87">
        <v>7730</v>
      </c>
      <c r="AD713" s="85">
        <v>478.53399999999999</v>
      </c>
      <c r="AE713" s="87">
        <v>7740</v>
      </c>
      <c r="AF713" s="85">
        <v>480.13600000000002</v>
      </c>
      <c r="AG713" s="87">
        <v>7720</v>
      </c>
      <c r="AH713" s="85">
        <v>116.581</v>
      </c>
      <c r="AI713" s="87">
        <v>7720</v>
      </c>
      <c r="AJ713" s="85">
        <v>123.13</v>
      </c>
    </row>
    <row r="714" spans="1:36" ht="14.25" customHeight="1">
      <c r="A714" s="88">
        <v>7750</v>
      </c>
      <c r="B714" s="84">
        <v>261.58800000000002</v>
      </c>
      <c r="C714" s="88">
        <v>7760</v>
      </c>
      <c r="D714" s="85">
        <v>259.49400000000003</v>
      </c>
      <c r="E714" s="86">
        <v>7750</v>
      </c>
      <c r="F714" s="85">
        <v>617.15</v>
      </c>
      <c r="G714" s="87">
        <v>7750</v>
      </c>
      <c r="H714" s="85">
        <v>617.20000000000005</v>
      </c>
      <c r="I714" s="87">
        <v>7750</v>
      </c>
      <c r="J714" s="85">
        <v>554.57100000000003</v>
      </c>
      <c r="K714" s="87">
        <v>7750</v>
      </c>
      <c r="L714" s="85">
        <v>553.96</v>
      </c>
      <c r="M714" s="87">
        <v>7750</v>
      </c>
      <c r="N714" s="85">
        <v>554.41300000000001</v>
      </c>
      <c r="O714" s="87">
        <v>7730</v>
      </c>
      <c r="P714" s="85">
        <v>555.49599999999998</v>
      </c>
      <c r="Q714" s="87">
        <v>7750</v>
      </c>
      <c r="R714" s="85">
        <v>555.13699999999994</v>
      </c>
      <c r="S714" s="87">
        <v>7750</v>
      </c>
      <c r="T714" s="85">
        <v>555.81200000000001</v>
      </c>
      <c r="U714" s="87">
        <v>7740</v>
      </c>
      <c r="V714" s="85">
        <v>555.35699999999997</v>
      </c>
      <c r="W714" s="87">
        <v>7750</v>
      </c>
      <c r="X714" s="85">
        <v>554.82500000000005</v>
      </c>
      <c r="Y714" s="87">
        <v>7750</v>
      </c>
      <c r="Z714" s="85">
        <v>553.20500000000004</v>
      </c>
      <c r="AA714" s="87">
        <v>7750</v>
      </c>
      <c r="AB714" s="85">
        <v>553.47</v>
      </c>
      <c r="AC714" s="87">
        <v>7740</v>
      </c>
      <c r="AD714" s="85">
        <v>477.32499999999999</v>
      </c>
      <c r="AE714" s="87">
        <v>7750</v>
      </c>
      <c r="AF714" s="85">
        <v>478.928</v>
      </c>
      <c r="AG714" s="87">
        <v>7730</v>
      </c>
      <c r="AH714" s="85">
        <v>116.221</v>
      </c>
      <c r="AI714" s="87">
        <v>7730</v>
      </c>
      <c r="AJ714" s="85">
        <v>122.756</v>
      </c>
    </row>
    <row r="715" spans="1:36" ht="14.25" customHeight="1">
      <c r="A715" s="88">
        <v>7760</v>
      </c>
      <c r="B715" s="84">
        <v>260.85599999999999</v>
      </c>
      <c r="C715" s="88">
        <v>7770</v>
      </c>
      <c r="D715" s="85">
        <v>258.767</v>
      </c>
      <c r="E715" s="86">
        <v>7760</v>
      </c>
      <c r="F715" s="85">
        <v>615.68600000000004</v>
      </c>
      <c r="G715" s="87">
        <v>7760</v>
      </c>
      <c r="H715" s="85">
        <v>615.73699999999997</v>
      </c>
      <c r="I715" s="87">
        <v>7760</v>
      </c>
      <c r="J715" s="85">
        <v>553.35900000000004</v>
      </c>
      <c r="K715" s="87">
        <v>7760</v>
      </c>
      <c r="L715" s="85">
        <v>552.74599999999998</v>
      </c>
      <c r="M715" s="87">
        <v>7760</v>
      </c>
      <c r="N715" s="85">
        <v>553.20100000000002</v>
      </c>
      <c r="O715" s="87">
        <v>7740</v>
      </c>
      <c r="P715" s="85">
        <v>554.28399999999999</v>
      </c>
      <c r="Q715" s="87">
        <v>7760</v>
      </c>
      <c r="R715" s="85">
        <v>553.92499999999995</v>
      </c>
      <c r="S715" s="87">
        <v>7760</v>
      </c>
      <c r="T715" s="85">
        <v>554.6</v>
      </c>
      <c r="U715" s="87">
        <v>7750</v>
      </c>
      <c r="V715" s="85">
        <v>554.14700000000005</v>
      </c>
      <c r="W715" s="87">
        <v>7760</v>
      </c>
      <c r="X715" s="85">
        <v>553.61400000000003</v>
      </c>
      <c r="Y715" s="87">
        <v>7760</v>
      </c>
      <c r="Z715" s="85">
        <v>551.99400000000003</v>
      </c>
      <c r="AA715" s="87">
        <v>7760</v>
      </c>
      <c r="AB715" s="85">
        <v>552.26</v>
      </c>
      <c r="AC715" s="87">
        <v>7750</v>
      </c>
      <c r="AD715" s="85">
        <v>476.11700000000002</v>
      </c>
      <c r="AE715" s="87">
        <v>7760</v>
      </c>
      <c r="AF715" s="85">
        <v>477.72</v>
      </c>
      <c r="AG715" s="87">
        <v>7740</v>
      </c>
      <c r="AH715" s="85">
        <v>115.86199999999999</v>
      </c>
      <c r="AI715" s="87">
        <v>7740</v>
      </c>
      <c r="AJ715" s="85">
        <v>122.38200000000001</v>
      </c>
    </row>
    <row r="716" spans="1:36" ht="14.25" customHeight="1">
      <c r="A716" s="88">
        <v>7770</v>
      </c>
      <c r="B716" s="84">
        <v>260.125</v>
      </c>
      <c r="C716" s="88">
        <v>7780</v>
      </c>
      <c r="D716" s="85">
        <v>258.03899999999999</v>
      </c>
      <c r="E716" s="86">
        <v>7770</v>
      </c>
      <c r="F716" s="85">
        <v>614.22199999999998</v>
      </c>
      <c r="G716" s="87">
        <v>7770</v>
      </c>
      <c r="H716" s="85">
        <v>614.27300000000002</v>
      </c>
      <c r="I716" s="87">
        <v>7770</v>
      </c>
      <c r="J716" s="85">
        <v>552.14700000000005</v>
      </c>
      <c r="K716" s="87">
        <v>7770</v>
      </c>
      <c r="L716" s="85">
        <v>551.53300000000002</v>
      </c>
      <c r="M716" s="87">
        <v>7770</v>
      </c>
      <c r="N716" s="85">
        <v>551.98900000000003</v>
      </c>
      <c r="O716" s="87">
        <v>7750</v>
      </c>
      <c r="P716" s="85">
        <v>553.07100000000003</v>
      </c>
      <c r="Q716" s="87">
        <v>7770</v>
      </c>
      <c r="R716" s="85">
        <v>552.71299999999997</v>
      </c>
      <c r="S716" s="87">
        <v>7770</v>
      </c>
      <c r="T716" s="85">
        <v>553.38800000000003</v>
      </c>
      <c r="U716" s="87">
        <v>7760</v>
      </c>
      <c r="V716" s="85">
        <v>552.93700000000001</v>
      </c>
      <c r="W716" s="87">
        <v>7770</v>
      </c>
      <c r="X716" s="85">
        <v>552.40300000000002</v>
      </c>
      <c r="Y716" s="87">
        <v>7770</v>
      </c>
      <c r="Z716" s="85">
        <v>550.78300000000002</v>
      </c>
      <c r="AA716" s="87">
        <v>7770</v>
      </c>
      <c r="AB716" s="85">
        <v>551.04999999999995</v>
      </c>
      <c r="AC716" s="87">
        <v>7760</v>
      </c>
      <c r="AD716" s="85">
        <v>474.90899999999999</v>
      </c>
      <c r="AE716" s="87">
        <v>7770</v>
      </c>
      <c r="AF716" s="85">
        <v>476.512</v>
      </c>
      <c r="AG716" s="87">
        <v>7750</v>
      </c>
      <c r="AH716" s="85">
        <v>115.503</v>
      </c>
      <c r="AI716" s="87">
        <v>7750</v>
      </c>
      <c r="AJ716" s="85">
        <v>122.008</v>
      </c>
    </row>
    <row r="717" spans="1:36" ht="14.25" customHeight="1">
      <c r="A717" s="88">
        <v>7780</v>
      </c>
      <c r="B717" s="84">
        <v>259.39400000000001</v>
      </c>
      <c r="C717" s="88">
        <v>7790</v>
      </c>
      <c r="D717" s="85">
        <v>257.31200000000001</v>
      </c>
      <c r="E717" s="86">
        <v>7780</v>
      </c>
      <c r="F717" s="85">
        <v>612.75800000000004</v>
      </c>
      <c r="G717" s="87">
        <v>7780</v>
      </c>
      <c r="H717" s="85">
        <v>612.80999999999995</v>
      </c>
      <c r="I717" s="87">
        <v>7780</v>
      </c>
      <c r="J717" s="85">
        <v>550.93499999999995</v>
      </c>
      <c r="K717" s="87">
        <v>7780</v>
      </c>
      <c r="L717" s="85">
        <v>550.32000000000005</v>
      </c>
      <c r="M717" s="87">
        <v>7780</v>
      </c>
      <c r="N717" s="85">
        <v>550.77700000000004</v>
      </c>
      <c r="O717" s="87">
        <v>7760</v>
      </c>
      <c r="P717" s="85">
        <v>551.85900000000004</v>
      </c>
      <c r="Q717" s="87">
        <v>7780</v>
      </c>
      <c r="R717" s="85">
        <v>551.50099999999998</v>
      </c>
      <c r="S717" s="87">
        <v>7780</v>
      </c>
      <c r="T717" s="85">
        <v>552.17600000000004</v>
      </c>
      <c r="U717" s="87">
        <v>7770</v>
      </c>
      <c r="V717" s="85">
        <v>551.72699999999998</v>
      </c>
      <c r="W717" s="87">
        <v>7780</v>
      </c>
      <c r="X717" s="85">
        <v>551.19200000000001</v>
      </c>
      <c r="Y717" s="87">
        <v>7780</v>
      </c>
      <c r="Z717" s="85">
        <v>549.572</v>
      </c>
      <c r="AA717" s="87">
        <v>7780</v>
      </c>
      <c r="AB717" s="85">
        <v>549.84</v>
      </c>
      <c r="AC717" s="87">
        <v>7770</v>
      </c>
      <c r="AD717" s="85">
        <v>473.7</v>
      </c>
      <c r="AE717" s="87">
        <v>7780</v>
      </c>
      <c r="AF717" s="85">
        <v>475.30399999999997</v>
      </c>
      <c r="AG717" s="87">
        <v>7760</v>
      </c>
      <c r="AH717" s="85">
        <v>115.14400000000001</v>
      </c>
      <c r="AI717" s="87">
        <v>7760</v>
      </c>
      <c r="AJ717" s="85">
        <v>121.63500000000001</v>
      </c>
    </row>
    <row r="718" spans="1:36" ht="14.25" customHeight="1">
      <c r="A718" s="88">
        <v>7790</v>
      </c>
      <c r="B718" s="84">
        <v>258.66300000000001</v>
      </c>
      <c r="C718" s="88">
        <v>7800</v>
      </c>
      <c r="D718" s="85">
        <v>256.58499999999998</v>
      </c>
      <c r="E718" s="86">
        <v>7790</v>
      </c>
      <c r="F718" s="85">
        <v>611.29399999999998</v>
      </c>
      <c r="G718" s="87">
        <v>7790</v>
      </c>
      <c r="H718" s="85">
        <v>611.346</v>
      </c>
      <c r="I718" s="87">
        <v>7790</v>
      </c>
      <c r="J718" s="85">
        <v>549.72299999999996</v>
      </c>
      <c r="K718" s="87">
        <v>7790</v>
      </c>
      <c r="L718" s="85">
        <v>549.10599999999999</v>
      </c>
      <c r="M718" s="87">
        <v>7790</v>
      </c>
      <c r="N718" s="85">
        <v>549.56500000000005</v>
      </c>
      <c r="O718" s="87">
        <v>7770</v>
      </c>
      <c r="P718" s="85">
        <v>550.64700000000005</v>
      </c>
      <c r="Q718" s="87">
        <v>7790</v>
      </c>
      <c r="R718" s="85">
        <v>550.28899999999999</v>
      </c>
      <c r="S718" s="87">
        <v>7790</v>
      </c>
      <c r="T718" s="85">
        <v>550.96400000000006</v>
      </c>
      <c r="U718" s="87">
        <v>7780</v>
      </c>
      <c r="V718" s="85">
        <v>550.51700000000005</v>
      </c>
      <c r="W718" s="87">
        <v>7790</v>
      </c>
      <c r="X718" s="85">
        <v>549.98099999999999</v>
      </c>
      <c r="Y718" s="87">
        <v>7790</v>
      </c>
      <c r="Z718" s="85">
        <v>548.36099999999999</v>
      </c>
      <c r="AA718" s="87">
        <v>7790</v>
      </c>
      <c r="AB718" s="85">
        <v>548.63</v>
      </c>
      <c r="AC718" s="87">
        <v>7780</v>
      </c>
      <c r="AD718" s="85">
        <v>472.49200000000002</v>
      </c>
      <c r="AE718" s="87">
        <v>7790</v>
      </c>
      <c r="AF718" s="85">
        <v>474.096</v>
      </c>
      <c r="AG718" s="87">
        <v>7770</v>
      </c>
      <c r="AH718" s="85">
        <v>114.786</v>
      </c>
      <c r="AI718" s="87">
        <v>7770</v>
      </c>
      <c r="AJ718" s="85">
        <v>121.26300000000001</v>
      </c>
    </row>
    <row r="719" spans="1:36" ht="14.25" customHeight="1">
      <c r="A719" s="88">
        <v>7800</v>
      </c>
      <c r="B719" s="84">
        <v>257.93200000000002</v>
      </c>
      <c r="C719" s="88">
        <v>7810</v>
      </c>
      <c r="D719" s="85">
        <v>255.858</v>
      </c>
      <c r="E719" s="86">
        <v>7800</v>
      </c>
      <c r="F719" s="85">
        <v>609.83000000000004</v>
      </c>
      <c r="G719" s="87">
        <v>7800</v>
      </c>
      <c r="H719" s="85">
        <v>609.88300000000004</v>
      </c>
      <c r="I719" s="87">
        <v>7800</v>
      </c>
      <c r="J719" s="85">
        <v>548.51099999999997</v>
      </c>
      <c r="K719" s="87">
        <v>7800</v>
      </c>
      <c r="L719" s="85">
        <v>547.89300000000003</v>
      </c>
      <c r="M719" s="87">
        <v>7800</v>
      </c>
      <c r="N719" s="85">
        <v>548.35299999999995</v>
      </c>
      <c r="O719" s="87">
        <v>7780</v>
      </c>
      <c r="P719" s="85">
        <v>549.43399999999997</v>
      </c>
      <c r="Q719" s="87">
        <v>7800</v>
      </c>
      <c r="R719" s="85">
        <v>549.07600000000002</v>
      </c>
      <c r="S719" s="87">
        <v>7800</v>
      </c>
      <c r="T719" s="85">
        <v>549.75099999999998</v>
      </c>
      <c r="U719" s="87">
        <v>7790</v>
      </c>
      <c r="V719" s="85">
        <v>549.30600000000004</v>
      </c>
      <c r="W719" s="87">
        <v>7800</v>
      </c>
      <c r="X719" s="85">
        <v>548.77</v>
      </c>
      <c r="Y719" s="87">
        <v>7800</v>
      </c>
      <c r="Z719" s="85">
        <v>547.15</v>
      </c>
      <c r="AA719" s="87">
        <v>7800</v>
      </c>
      <c r="AB719" s="85">
        <v>547.41999999999996</v>
      </c>
      <c r="AC719" s="87">
        <v>7790</v>
      </c>
      <c r="AD719" s="85">
        <v>471.28399999999999</v>
      </c>
      <c r="AE719" s="87">
        <v>7800</v>
      </c>
      <c r="AF719" s="85">
        <v>472.88799999999998</v>
      </c>
      <c r="AG719" s="87">
        <v>7780</v>
      </c>
      <c r="AH719" s="85">
        <v>114.429</v>
      </c>
      <c r="AI719" s="87">
        <v>7780</v>
      </c>
      <c r="AJ719" s="85">
        <v>120.89100000000001</v>
      </c>
    </row>
    <row r="720" spans="1:36" ht="14.25" customHeight="1">
      <c r="A720" s="88">
        <v>7810</v>
      </c>
      <c r="B720" s="84">
        <v>257.20100000000002</v>
      </c>
      <c r="C720" s="88">
        <v>7820</v>
      </c>
      <c r="D720" s="85">
        <v>255.13200000000001</v>
      </c>
      <c r="E720" s="86">
        <v>7810</v>
      </c>
      <c r="F720" s="85">
        <v>608.36699999999996</v>
      </c>
      <c r="G720" s="87">
        <v>7810</v>
      </c>
      <c r="H720" s="85">
        <v>608.41999999999996</v>
      </c>
      <c r="I720" s="87">
        <v>7810</v>
      </c>
      <c r="J720" s="85">
        <v>547.29899999999998</v>
      </c>
      <c r="K720" s="87">
        <v>7810</v>
      </c>
      <c r="L720" s="85">
        <v>546.67899999999997</v>
      </c>
      <c r="M720" s="87">
        <v>7810</v>
      </c>
      <c r="N720" s="85">
        <v>547.14</v>
      </c>
      <c r="O720" s="87">
        <v>7790</v>
      </c>
      <c r="P720" s="85">
        <v>548.22199999999998</v>
      </c>
      <c r="Q720" s="87">
        <v>7810</v>
      </c>
      <c r="R720" s="85">
        <v>547.86400000000003</v>
      </c>
      <c r="S720" s="87">
        <v>7810</v>
      </c>
      <c r="T720" s="85">
        <v>548.53899999999999</v>
      </c>
      <c r="U720" s="87">
        <v>7800</v>
      </c>
      <c r="V720" s="85">
        <v>548.096</v>
      </c>
      <c r="W720" s="87">
        <v>7810</v>
      </c>
      <c r="X720" s="85">
        <v>547.55899999999997</v>
      </c>
      <c r="Y720" s="87">
        <v>7810</v>
      </c>
      <c r="Z720" s="85">
        <v>545.93899999999996</v>
      </c>
      <c r="AA720" s="87">
        <v>7810</v>
      </c>
      <c r="AB720" s="85">
        <v>546.21</v>
      </c>
      <c r="AC720" s="87">
        <v>7800</v>
      </c>
      <c r="AD720" s="85">
        <v>470.07600000000002</v>
      </c>
      <c r="AE720" s="87">
        <v>7810</v>
      </c>
      <c r="AF720" s="85">
        <v>471.68</v>
      </c>
      <c r="AG720" s="87">
        <v>7790</v>
      </c>
      <c r="AH720" s="85">
        <v>114.072</v>
      </c>
      <c r="AI720" s="87">
        <v>7790</v>
      </c>
      <c r="AJ720" s="85">
        <v>120.51900000000001</v>
      </c>
    </row>
    <row r="721" spans="1:36" ht="14.25" customHeight="1">
      <c r="A721" s="88">
        <v>7820</v>
      </c>
      <c r="B721" s="84">
        <v>256.471</v>
      </c>
      <c r="C721" s="88">
        <v>7830</v>
      </c>
      <c r="D721" s="85">
        <v>254.405</v>
      </c>
      <c r="E721" s="86">
        <v>7820</v>
      </c>
      <c r="F721" s="85">
        <v>606.90300000000002</v>
      </c>
      <c r="G721" s="87">
        <v>7820</v>
      </c>
      <c r="H721" s="85">
        <v>606.95699999999999</v>
      </c>
      <c r="I721" s="87">
        <v>7820</v>
      </c>
      <c r="J721" s="85">
        <v>546.08699999999999</v>
      </c>
      <c r="K721" s="87">
        <v>7820</v>
      </c>
      <c r="L721" s="85">
        <v>545.46600000000001</v>
      </c>
      <c r="M721" s="87">
        <v>7820</v>
      </c>
      <c r="N721" s="85">
        <v>545.928</v>
      </c>
      <c r="O721" s="87">
        <v>7800</v>
      </c>
      <c r="P721" s="85">
        <v>547.01</v>
      </c>
      <c r="Q721" s="87">
        <v>7820</v>
      </c>
      <c r="R721" s="85">
        <v>546.65200000000004</v>
      </c>
      <c r="S721" s="87">
        <v>7820</v>
      </c>
      <c r="T721" s="85">
        <v>547.327</v>
      </c>
      <c r="U721" s="87">
        <v>7810</v>
      </c>
      <c r="V721" s="85">
        <v>546.88599999999997</v>
      </c>
      <c r="W721" s="87">
        <v>7820</v>
      </c>
      <c r="X721" s="85">
        <v>546.34799999999996</v>
      </c>
      <c r="Y721" s="87">
        <v>7820</v>
      </c>
      <c r="Z721" s="85">
        <v>544.72799999999995</v>
      </c>
      <c r="AA721" s="87">
        <v>7820</v>
      </c>
      <c r="AB721" s="85">
        <v>545</v>
      </c>
      <c r="AC721" s="87">
        <v>7810</v>
      </c>
      <c r="AD721" s="85">
        <v>468.86799999999999</v>
      </c>
      <c r="AE721" s="87">
        <v>7820</v>
      </c>
      <c r="AF721" s="85">
        <v>470.47199999999998</v>
      </c>
      <c r="AG721" s="87">
        <v>7800</v>
      </c>
      <c r="AH721" s="85">
        <v>113.715</v>
      </c>
      <c r="AI721" s="87">
        <v>7800</v>
      </c>
      <c r="AJ721" s="85">
        <v>120.148</v>
      </c>
    </row>
    <row r="722" spans="1:36" ht="14.25" customHeight="1">
      <c r="A722" s="88">
        <v>7830</v>
      </c>
      <c r="B722" s="84">
        <v>255.74100000000001</v>
      </c>
      <c r="C722" s="88">
        <v>7840</v>
      </c>
      <c r="D722" s="85">
        <v>253.679</v>
      </c>
      <c r="E722" s="86">
        <v>7830</v>
      </c>
      <c r="F722" s="85">
        <v>605.44000000000005</v>
      </c>
      <c r="G722" s="87">
        <v>7830</v>
      </c>
      <c r="H722" s="85">
        <v>605.49400000000003</v>
      </c>
      <c r="I722" s="87">
        <v>7830</v>
      </c>
      <c r="J722" s="85">
        <v>544.875</v>
      </c>
      <c r="K722" s="87">
        <v>7830</v>
      </c>
      <c r="L722" s="85">
        <v>544.25199999999995</v>
      </c>
      <c r="M722" s="87">
        <v>7830</v>
      </c>
      <c r="N722" s="85">
        <v>544.71600000000001</v>
      </c>
      <c r="O722" s="87">
        <v>7810</v>
      </c>
      <c r="P722" s="85">
        <v>545.79700000000003</v>
      </c>
      <c r="Q722" s="87">
        <v>7830</v>
      </c>
      <c r="R722" s="85">
        <v>545.44000000000005</v>
      </c>
      <c r="S722" s="87">
        <v>7830</v>
      </c>
      <c r="T722" s="85">
        <v>546.11500000000001</v>
      </c>
      <c r="U722" s="87">
        <v>7820</v>
      </c>
      <c r="V722" s="85">
        <v>545.67600000000004</v>
      </c>
      <c r="W722" s="87">
        <v>7830</v>
      </c>
      <c r="X722" s="85">
        <v>545.13699999999994</v>
      </c>
      <c r="Y722" s="87">
        <v>7830</v>
      </c>
      <c r="Z722" s="85">
        <v>543.51700000000005</v>
      </c>
      <c r="AA722" s="87">
        <v>7830</v>
      </c>
      <c r="AB722" s="85">
        <v>543.79</v>
      </c>
      <c r="AC722" s="87">
        <v>7820</v>
      </c>
      <c r="AD722" s="85">
        <v>467.65899999999999</v>
      </c>
      <c r="AE722" s="87">
        <v>7830</v>
      </c>
      <c r="AF722" s="85">
        <v>469.26400000000001</v>
      </c>
      <c r="AG722" s="87">
        <v>7810</v>
      </c>
      <c r="AH722" s="85">
        <v>113.35899999999999</v>
      </c>
      <c r="AI722" s="87">
        <v>7810</v>
      </c>
      <c r="AJ722" s="85">
        <v>119.777</v>
      </c>
    </row>
    <row r="723" spans="1:36" ht="14.25" customHeight="1">
      <c r="A723" s="88">
        <v>7840</v>
      </c>
      <c r="B723" s="84">
        <v>255.011</v>
      </c>
      <c r="C723" s="88">
        <v>7850</v>
      </c>
      <c r="D723" s="85">
        <v>252.953</v>
      </c>
      <c r="E723" s="86">
        <v>7840</v>
      </c>
      <c r="F723" s="85">
        <v>603.97699999999998</v>
      </c>
      <c r="G723" s="87">
        <v>7840</v>
      </c>
      <c r="H723" s="85">
        <v>604.03099999999995</v>
      </c>
      <c r="I723" s="87">
        <v>7840</v>
      </c>
      <c r="J723" s="85">
        <v>543.66300000000001</v>
      </c>
      <c r="K723" s="87">
        <v>7840</v>
      </c>
      <c r="L723" s="85">
        <v>543.03899999999999</v>
      </c>
      <c r="M723" s="87">
        <v>7840</v>
      </c>
      <c r="N723" s="85">
        <v>543.50400000000002</v>
      </c>
      <c r="O723" s="87">
        <v>7820</v>
      </c>
      <c r="P723" s="85">
        <v>544.58500000000004</v>
      </c>
      <c r="Q723" s="87">
        <v>7840</v>
      </c>
      <c r="R723" s="85">
        <v>544.22799999999995</v>
      </c>
      <c r="S723" s="87">
        <v>7840</v>
      </c>
      <c r="T723" s="85">
        <v>544.90300000000002</v>
      </c>
      <c r="U723" s="87">
        <v>7830</v>
      </c>
      <c r="V723" s="85">
        <v>544.46600000000001</v>
      </c>
      <c r="W723" s="87">
        <v>7840</v>
      </c>
      <c r="X723" s="85">
        <v>543.92600000000004</v>
      </c>
      <c r="Y723" s="87">
        <v>7840</v>
      </c>
      <c r="Z723" s="85">
        <v>542.30600000000004</v>
      </c>
      <c r="AA723" s="87">
        <v>7840</v>
      </c>
      <c r="AB723" s="85">
        <v>542.58000000000004</v>
      </c>
      <c r="AC723" s="87">
        <v>7830</v>
      </c>
      <c r="AD723" s="85">
        <v>466.45100000000002</v>
      </c>
      <c r="AE723" s="87">
        <v>7840</v>
      </c>
      <c r="AF723" s="85">
        <v>468.05599999999998</v>
      </c>
      <c r="AG723" s="87">
        <v>7820</v>
      </c>
      <c r="AH723" s="85">
        <v>113.003</v>
      </c>
      <c r="AI723" s="87">
        <v>7820</v>
      </c>
      <c r="AJ723" s="85">
        <v>119.407</v>
      </c>
    </row>
    <row r="724" spans="1:36" ht="14.25" customHeight="1">
      <c r="A724" s="88">
        <v>7850</v>
      </c>
      <c r="B724" s="84">
        <v>254.28100000000001</v>
      </c>
      <c r="C724" s="88">
        <v>7860</v>
      </c>
      <c r="D724" s="85">
        <v>252.227</v>
      </c>
      <c r="E724" s="86">
        <v>7850</v>
      </c>
      <c r="F724" s="85">
        <v>602.51400000000001</v>
      </c>
      <c r="G724" s="87">
        <v>7850</v>
      </c>
      <c r="H724" s="85">
        <v>602.56799999999998</v>
      </c>
      <c r="I724" s="87">
        <v>7850</v>
      </c>
      <c r="J724" s="85">
        <v>542.45100000000002</v>
      </c>
      <c r="K724" s="87">
        <v>7850</v>
      </c>
      <c r="L724" s="85">
        <v>541.82500000000005</v>
      </c>
      <c r="M724" s="87">
        <v>7850</v>
      </c>
      <c r="N724" s="85">
        <v>542.29200000000003</v>
      </c>
      <c r="O724" s="87">
        <v>7830</v>
      </c>
      <c r="P724" s="85">
        <v>543.37300000000005</v>
      </c>
      <c r="Q724" s="87">
        <v>7850</v>
      </c>
      <c r="R724" s="85">
        <v>543.01599999999996</v>
      </c>
      <c r="S724" s="87">
        <v>7850</v>
      </c>
      <c r="T724" s="85">
        <v>543.69100000000003</v>
      </c>
      <c r="U724" s="87">
        <v>7840</v>
      </c>
      <c r="V724" s="85">
        <v>543.25599999999997</v>
      </c>
      <c r="W724" s="87">
        <v>7850</v>
      </c>
      <c r="X724" s="85">
        <v>542.71600000000001</v>
      </c>
      <c r="Y724" s="87">
        <v>7850</v>
      </c>
      <c r="Z724" s="85">
        <v>541.09500000000003</v>
      </c>
      <c r="AA724" s="87">
        <v>7850</v>
      </c>
      <c r="AB724" s="85">
        <v>541.37</v>
      </c>
      <c r="AC724" s="87">
        <v>7840</v>
      </c>
      <c r="AD724" s="85">
        <v>465.24299999999999</v>
      </c>
      <c r="AE724" s="87">
        <v>7850</v>
      </c>
      <c r="AF724" s="85">
        <v>466.84899999999999</v>
      </c>
      <c r="AG724" s="87">
        <v>7830</v>
      </c>
      <c r="AH724" s="85">
        <v>112.648</v>
      </c>
      <c r="AI724" s="87">
        <v>7830</v>
      </c>
      <c r="AJ724" s="85">
        <v>119.038</v>
      </c>
    </row>
    <row r="725" spans="1:36" ht="14.25" customHeight="1">
      <c r="A725" s="88">
        <v>7860</v>
      </c>
      <c r="B725" s="84">
        <v>253.55099999999999</v>
      </c>
      <c r="C725" s="88">
        <v>7870</v>
      </c>
      <c r="D725" s="85">
        <v>251.50200000000001</v>
      </c>
      <c r="E725" s="86">
        <v>7860</v>
      </c>
      <c r="F725" s="85">
        <v>601.05100000000004</v>
      </c>
      <c r="G725" s="87">
        <v>7860</v>
      </c>
      <c r="H725" s="85">
        <v>601.10599999999999</v>
      </c>
      <c r="I725" s="87">
        <v>7860</v>
      </c>
      <c r="J725" s="85">
        <v>541.23900000000003</v>
      </c>
      <c r="K725" s="87">
        <v>7860</v>
      </c>
      <c r="L725" s="85">
        <v>540.61199999999997</v>
      </c>
      <c r="M725" s="87">
        <v>7860</v>
      </c>
      <c r="N725" s="85">
        <v>541.08000000000004</v>
      </c>
      <c r="O725" s="87">
        <v>7840</v>
      </c>
      <c r="P725" s="85">
        <v>542.16</v>
      </c>
      <c r="Q725" s="87">
        <v>7860</v>
      </c>
      <c r="R725" s="85">
        <v>541.80399999999997</v>
      </c>
      <c r="S725" s="87">
        <v>7860</v>
      </c>
      <c r="T725" s="85">
        <v>542.47900000000004</v>
      </c>
      <c r="U725" s="87">
        <v>7850</v>
      </c>
      <c r="V725" s="85">
        <v>542.04600000000005</v>
      </c>
      <c r="W725" s="87">
        <v>7860</v>
      </c>
      <c r="X725" s="85">
        <v>541.50400000000002</v>
      </c>
      <c r="Y725" s="87">
        <v>7860</v>
      </c>
      <c r="Z725" s="85">
        <v>539.88400000000001</v>
      </c>
      <c r="AA725" s="87">
        <v>7860</v>
      </c>
      <c r="AB725" s="85">
        <v>540.16</v>
      </c>
      <c r="AC725" s="87">
        <v>7850</v>
      </c>
      <c r="AD725" s="85">
        <v>464.03500000000003</v>
      </c>
      <c r="AE725" s="87">
        <v>7860</v>
      </c>
      <c r="AF725" s="85">
        <v>465.64100000000002</v>
      </c>
      <c r="AG725" s="87">
        <v>7840</v>
      </c>
      <c r="AH725" s="85">
        <v>112.29300000000001</v>
      </c>
      <c r="AI725" s="87">
        <v>7840</v>
      </c>
      <c r="AJ725" s="85">
        <v>118.66800000000001</v>
      </c>
    </row>
    <row r="726" spans="1:36" ht="14.25" customHeight="1">
      <c r="A726" s="88">
        <v>7870</v>
      </c>
      <c r="B726" s="84">
        <v>252.82300000000001</v>
      </c>
      <c r="C726" s="88">
        <v>7880</v>
      </c>
      <c r="D726" s="85">
        <v>250.77799999999999</v>
      </c>
      <c r="E726" s="86">
        <v>7870</v>
      </c>
      <c r="F726" s="85">
        <v>599.58799999999997</v>
      </c>
      <c r="G726" s="87">
        <v>7870</v>
      </c>
      <c r="H726" s="85">
        <v>599.64300000000003</v>
      </c>
      <c r="I726" s="87">
        <v>7870</v>
      </c>
      <c r="J726" s="85">
        <v>540.02700000000004</v>
      </c>
      <c r="K726" s="87">
        <v>7870</v>
      </c>
      <c r="L726" s="85">
        <v>539.4</v>
      </c>
      <c r="M726" s="87">
        <v>7870</v>
      </c>
      <c r="N726" s="85">
        <v>539.87</v>
      </c>
      <c r="O726" s="87">
        <v>7850</v>
      </c>
      <c r="P726" s="85">
        <v>540.94799999999998</v>
      </c>
      <c r="Q726" s="87">
        <v>7870</v>
      </c>
      <c r="R726" s="85">
        <v>540.59100000000001</v>
      </c>
      <c r="S726" s="87">
        <v>7870</v>
      </c>
      <c r="T726" s="85">
        <v>541.26700000000005</v>
      </c>
      <c r="U726" s="87">
        <v>7860</v>
      </c>
      <c r="V726" s="85">
        <v>540.83500000000004</v>
      </c>
      <c r="W726" s="87">
        <v>7870</v>
      </c>
      <c r="X726" s="85">
        <v>540.29399999999998</v>
      </c>
      <c r="Y726" s="87">
        <v>7870</v>
      </c>
      <c r="Z726" s="85">
        <v>538.673</v>
      </c>
      <c r="AA726" s="87">
        <v>7870</v>
      </c>
      <c r="AB726" s="85">
        <v>538.95000000000005</v>
      </c>
      <c r="AC726" s="87">
        <v>7860</v>
      </c>
      <c r="AD726" s="85">
        <v>462.82900000000001</v>
      </c>
      <c r="AE726" s="87">
        <v>7870</v>
      </c>
      <c r="AF726" s="85">
        <v>464.43299999999999</v>
      </c>
      <c r="AG726" s="87">
        <v>7850</v>
      </c>
      <c r="AH726" s="85">
        <v>111.93899999999999</v>
      </c>
      <c r="AI726" s="87">
        <v>7850</v>
      </c>
      <c r="AJ726" s="85">
        <v>118.3</v>
      </c>
    </row>
    <row r="727" spans="1:36" ht="14.25" customHeight="1">
      <c r="A727" s="88">
        <v>7880</v>
      </c>
      <c r="B727" s="84">
        <v>252.096</v>
      </c>
      <c r="C727" s="88">
        <v>7890</v>
      </c>
      <c r="D727" s="85">
        <v>250.05600000000001</v>
      </c>
      <c r="E727" s="86">
        <v>7880</v>
      </c>
      <c r="F727" s="85">
        <v>598.12699999999995</v>
      </c>
      <c r="G727" s="87">
        <v>7880</v>
      </c>
      <c r="H727" s="85">
        <v>598.18200000000002</v>
      </c>
      <c r="I727" s="87">
        <v>7880</v>
      </c>
      <c r="J727" s="85">
        <v>538.81600000000003</v>
      </c>
      <c r="K727" s="87">
        <v>7880</v>
      </c>
      <c r="L727" s="85">
        <v>538.18899999999996</v>
      </c>
      <c r="M727" s="87">
        <v>7880</v>
      </c>
      <c r="N727" s="85">
        <v>538.66</v>
      </c>
      <c r="O727" s="87">
        <v>7860</v>
      </c>
      <c r="P727" s="85">
        <v>539.73800000000006</v>
      </c>
      <c r="Q727" s="87">
        <v>7880</v>
      </c>
      <c r="R727" s="85">
        <v>539.38199999999995</v>
      </c>
      <c r="S727" s="87">
        <v>7880</v>
      </c>
      <c r="T727" s="85">
        <v>540.05600000000004</v>
      </c>
      <c r="U727" s="87">
        <v>7870</v>
      </c>
      <c r="V727" s="85">
        <v>539.62599999999998</v>
      </c>
      <c r="W727" s="87">
        <v>7880</v>
      </c>
      <c r="X727" s="85">
        <v>539.08500000000004</v>
      </c>
      <c r="Y727" s="87">
        <v>7880</v>
      </c>
      <c r="Z727" s="85">
        <v>537.46500000000003</v>
      </c>
      <c r="AA727" s="87">
        <v>7880</v>
      </c>
      <c r="AB727" s="85">
        <v>537.74099999999999</v>
      </c>
      <c r="AC727" s="87">
        <v>7870</v>
      </c>
      <c r="AD727" s="85">
        <v>461.625</v>
      </c>
      <c r="AE727" s="87">
        <v>7880</v>
      </c>
      <c r="AF727" s="85">
        <v>463.226</v>
      </c>
      <c r="AG727" s="87">
        <v>7860</v>
      </c>
      <c r="AH727" s="85">
        <v>111.58799999999999</v>
      </c>
      <c r="AI727" s="87">
        <v>7860</v>
      </c>
      <c r="AJ727" s="85">
        <v>117.934</v>
      </c>
    </row>
    <row r="728" spans="1:36" ht="14.25" customHeight="1">
      <c r="A728" s="88">
        <v>7890</v>
      </c>
      <c r="B728" s="84">
        <v>251.37</v>
      </c>
      <c r="C728" s="88">
        <v>7900</v>
      </c>
      <c r="D728" s="85">
        <v>249.334</v>
      </c>
      <c r="E728" s="86">
        <v>7890</v>
      </c>
      <c r="F728" s="85">
        <v>596.66700000000003</v>
      </c>
      <c r="G728" s="87">
        <v>7890</v>
      </c>
      <c r="H728" s="85">
        <v>596.72299999999996</v>
      </c>
      <c r="I728" s="87">
        <v>7890</v>
      </c>
      <c r="J728" s="85">
        <v>537.60699999999997</v>
      </c>
      <c r="K728" s="87">
        <v>7890</v>
      </c>
      <c r="L728" s="85">
        <v>536.97900000000004</v>
      </c>
      <c r="M728" s="87">
        <v>7890</v>
      </c>
      <c r="N728" s="85">
        <v>537.45100000000002</v>
      </c>
      <c r="O728" s="87">
        <v>7870</v>
      </c>
      <c r="P728" s="85">
        <v>538.52800000000002</v>
      </c>
      <c r="Q728" s="87">
        <v>7890</v>
      </c>
      <c r="R728" s="85">
        <v>538.173</v>
      </c>
      <c r="S728" s="87">
        <v>7890</v>
      </c>
      <c r="T728" s="85">
        <v>538.84699999999998</v>
      </c>
      <c r="U728" s="87">
        <v>7880</v>
      </c>
      <c r="V728" s="85">
        <v>538.41899999999998</v>
      </c>
      <c r="W728" s="87">
        <v>7890</v>
      </c>
      <c r="X728" s="85">
        <v>537.87699999999995</v>
      </c>
      <c r="Y728" s="87">
        <v>7890</v>
      </c>
      <c r="Z728" s="85">
        <v>536.25699999999995</v>
      </c>
      <c r="AA728" s="87">
        <v>7890</v>
      </c>
      <c r="AB728" s="85">
        <v>536.53399999999999</v>
      </c>
      <c r="AC728" s="87">
        <v>7880</v>
      </c>
      <c r="AD728" s="85">
        <v>460.42</v>
      </c>
      <c r="AE728" s="87">
        <v>7890</v>
      </c>
      <c r="AF728" s="85">
        <v>462.02199999999999</v>
      </c>
      <c r="AG728" s="87">
        <v>7870</v>
      </c>
      <c r="AH728" s="85">
        <v>111.238</v>
      </c>
      <c r="AI728" s="87">
        <v>7870</v>
      </c>
      <c r="AJ728" s="85">
        <v>117.569</v>
      </c>
    </row>
    <row r="729" spans="1:36" ht="14.25" customHeight="1">
      <c r="A729" s="88">
        <v>7900</v>
      </c>
      <c r="B729" s="84">
        <v>250.64500000000001</v>
      </c>
      <c r="C729" s="88">
        <v>7910</v>
      </c>
      <c r="D729" s="85">
        <v>248.61199999999999</v>
      </c>
      <c r="E729" s="86">
        <v>7900</v>
      </c>
      <c r="F729" s="85">
        <v>595.20799999999997</v>
      </c>
      <c r="G729" s="87">
        <v>7900</v>
      </c>
      <c r="H729" s="85">
        <v>595.26300000000003</v>
      </c>
      <c r="I729" s="87">
        <v>7900</v>
      </c>
      <c r="J729" s="85">
        <v>536.39800000000002</v>
      </c>
      <c r="K729" s="87">
        <v>7900</v>
      </c>
      <c r="L729" s="85">
        <v>535.76900000000001</v>
      </c>
      <c r="M729" s="87">
        <v>7900</v>
      </c>
      <c r="N729" s="85">
        <v>536.24199999999996</v>
      </c>
      <c r="O729" s="87">
        <v>7880</v>
      </c>
      <c r="P729" s="85">
        <v>537.31899999999996</v>
      </c>
      <c r="Q729" s="87">
        <v>7900</v>
      </c>
      <c r="R729" s="85">
        <v>536.96299999999997</v>
      </c>
      <c r="S729" s="87">
        <v>7900</v>
      </c>
      <c r="T729" s="85">
        <v>537.63800000000003</v>
      </c>
      <c r="U729" s="87">
        <v>7890</v>
      </c>
      <c r="V729" s="85">
        <v>537.21199999999999</v>
      </c>
      <c r="W729" s="87">
        <v>7900</v>
      </c>
      <c r="X729" s="85">
        <v>536.66899999999998</v>
      </c>
      <c r="Y729" s="87">
        <v>7900</v>
      </c>
      <c r="Z729" s="85">
        <v>535.04899999999998</v>
      </c>
      <c r="AA729" s="87">
        <v>7900</v>
      </c>
      <c r="AB729" s="85">
        <v>535.327</v>
      </c>
      <c r="AC729" s="87">
        <v>7890</v>
      </c>
      <c r="AD729" s="85">
        <v>459.21499999999997</v>
      </c>
      <c r="AE729" s="87">
        <v>7900</v>
      </c>
      <c r="AF729" s="85">
        <v>460.81700000000001</v>
      </c>
      <c r="AG729" s="87">
        <v>7880</v>
      </c>
      <c r="AH729" s="85">
        <v>110.889</v>
      </c>
      <c r="AI729" s="87">
        <v>7880</v>
      </c>
      <c r="AJ729" s="85">
        <v>117.205</v>
      </c>
    </row>
    <row r="730" spans="1:36" ht="14.25" customHeight="1">
      <c r="A730" s="88">
        <v>7910</v>
      </c>
      <c r="B730" s="84">
        <v>249.91900000000001</v>
      </c>
      <c r="C730" s="88">
        <v>7920</v>
      </c>
      <c r="D730" s="85">
        <v>247.89099999999999</v>
      </c>
      <c r="E730" s="86">
        <v>7910</v>
      </c>
      <c r="F730" s="85">
        <v>593.74800000000005</v>
      </c>
      <c r="G730" s="87">
        <v>7910</v>
      </c>
      <c r="H730" s="85">
        <v>593.80399999999997</v>
      </c>
      <c r="I730" s="87">
        <v>7910</v>
      </c>
      <c r="J730" s="85">
        <v>535.18899999999996</v>
      </c>
      <c r="K730" s="87">
        <v>7910</v>
      </c>
      <c r="L730" s="85">
        <v>534.55799999999999</v>
      </c>
      <c r="M730" s="87">
        <v>7910</v>
      </c>
      <c r="N730" s="85">
        <v>535.03300000000002</v>
      </c>
      <c r="O730" s="87">
        <v>7890</v>
      </c>
      <c r="P730" s="85">
        <v>536.11</v>
      </c>
      <c r="Q730" s="87">
        <v>7910</v>
      </c>
      <c r="R730" s="85">
        <v>535.755</v>
      </c>
      <c r="S730" s="87">
        <v>7910</v>
      </c>
      <c r="T730" s="85">
        <v>536.42899999999997</v>
      </c>
      <c r="U730" s="87">
        <v>7900</v>
      </c>
      <c r="V730" s="85">
        <v>536.00400000000002</v>
      </c>
      <c r="W730" s="87">
        <v>7910</v>
      </c>
      <c r="X730" s="85">
        <v>535.46199999999999</v>
      </c>
      <c r="Y730" s="87">
        <v>7910</v>
      </c>
      <c r="Z730" s="85">
        <v>533.84100000000001</v>
      </c>
      <c r="AA730" s="87">
        <v>7910</v>
      </c>
      <c r="AB730" s="85">
        <v>534.12</v>
      </c>
      <c r="AC730" s="87">
        <v>7900</v>
      </c>
      <c r="AD730" s="85">
        <v>458.01</v>
      </c>
      <c r="AE730" s="87">
        <v>7910</v>
      </c>
      <c r="AF730" s="85">
        <v>459.613</v>
      </c>
      <c r="AG730" s="87">
        <v>7890</v>
      </c>
      <c r="AH730" s="85">
        <v>110.54</v>
      </c>
      <c r="AI730" s="87">
        <v>7890</v>
      </c>
      <c r="AJ730" s="85">
        <v>116.842</v>
      </c>
    </row>
    <row r="731" spans="1:36" ht="14.25" customHeight="1">
      <c r="A731" s="88">
        <v>7920</v>
      </c>
      <c r="B731" s="84">
        <v>249.19399999999999</v>
      </c>
      <c r="C731" s="88">
        <v>7930</v>
      </c>
      <c r="D731" s="85">
        <v>247.16800000000001</v>
      </c>
      <c r="E731" s="86">
        <v>7920</v>
      </c>
      <c r="F731" s="85">
        <v>592.28899999999999</v>
      </c>
      <c r="G731" s="87">
        <v>7920</v>
      </c>
      <c r="H731" s="85">
        <v>592.34500000000003</v>
      </c>
      <c r="I731" s="87">
        <v>7920</v>
      </c>
      <c r="J731" s="85">
        <v>533.98</v>
      </c>
      <c r="K731" s="87">
        <v>7920</v>
      </c>
      <c r="L731" s="85">
        <v>533.346</v>
      </c>
      <c r="M731" s="87">
        <v>7920</v>
      </c>
      <c r="N731" s="85">
        <v>533.82299999999998</v>
      </c>
      <c r="O731" s="87">
        <v>7900</v>
      </c>
      <c r="P731" s="85">
        <v>534.9</v>
      </c>
      <c r="Q731" s="87">
        <v>7920</v>
      </c>
      <c r="R731" s="85">
        <v>534.54499999999996</v>
      </c>
      <c r="S731" s="87">
        <v>7920</v>
      </c>
      <c r="T731" s="85">
        <v>535.22</v>
      </c>
      <c r="U731" s="87">
        <v>7910</v>
      </c>
      <c r="V731" s="85">
        <v>534.79700000000003</v>
      </c>
      <c r="W731" s="87">
        <v>7920</v>
      </c>
      <c r="X731" s="85">
        <v>534.25300000000004</v>
      </c>
      <c r="Y731" s="87">
        <v>7920</v>
      </c>
      <c r="Z731" s="85">
        <v>532.63300000000004</v>
      </c>
      <c r="AA731" s="87">
        <v>7920</v>
      </c>
      <c r="AB731" s="85">
        <v>532.91300000000001</v>
      </c>
      <c r="AC731" s="87">
        <v>7910</v>
      </c>
      <c r="AD731" s="85">
        <v>456.80399999999997</v>
      </c>
      <c r="AE731" s="87">
        <v>7920</v>
      </c>
      <c r="AF731" s="85">
        <v>458.40800000000002</v>
      </c>
      <c r="AG731" s="87">
        <v>7900</v>
      </c>
      <c r="AH731" s="85">
        <v>110.191</v>
      </c>
      <c r="AI731" s="87">
        <v>7900</v>
      </c>
      <c r="AJ731" s="85">
        <v>116.479</v>
      </c>
    </row>
    <row r="732" spans="1:36" ht="14.25" customHeight="1">
      <c r="A732" s="88">
        <v>7930</v>
      </c>
      <c r="B732" s="84">
        <v>248.46600000000001</v>
      </c>
      <c r="C732" s="88">
        <v>7940</v>
      </c>
      <c r="D732" s="85">
        <v>246.44399999999999</v>
      </c>
      <c r="E732" s="86">
        <v>7930</v>
      </c>
      <c r="F732" s="85">
        <v>590.82799999999997</v>
      </c>
      <c r="G732" s="87">
        <v>7930</v>
      </c>
      <c r="H732" s="85">
        <v>590.88499999999999</v>
      </c>
      <c r="I732" s="87">
        <v>7930</v>
      </c>
      <c r="J732" s="85">
        <v>532.77</v>
      </c>
      <c r="K732" s="87">
        <v>7930</v>
      </c>
      <c r="L732" s="85">
        <v>532.13300000000004</v>
      </c>
      <c r="M732" s="87">
        <v>7930</v>
      </c>
      <c r="N732" s="85">
        <v>532.61099999999999</v>
      </c>
      <c r="O732" s="87">
        <v>7910</v>
      </c>
      <c r="P732" s="85">
        <v>533.68899999999996</v>
      </c>
      <c r="Q732" s="87">
        <v>7930</v>
      </c>
      <c r="R732" s="85">
        <v>533.33399999999995</v>
      </c>
      <c r="S732" s="87">
        <v>7930</v>
      </c>
      <c r="T732" s="85">
        <v>534.00900000000001</v>
      </c>
      <c r="U732" s="87">
        <v>7920</v>
      </c>
      <c r="V732" s="85">
        <v>533.58900000000006</v>
      </c>
      <c r="W732" s="87">
        <v>7930</v>
      </c>
      <c r="X732" s="85">
        <v>533.04300000000001</v>
      </c>
      <c r="Y732" s="87">
        <v>7930</v>
      </c>
      <c r="Z732" s="85">
        <v>531.423</v>
      </c>
      <c r="AA732" s="87">
        <v>7930</v>
      </c>
      <c r="AB732" s="85">
        <v>531.70500000000004</v>
      </c>
      <c r="AC732" s="87">
        <v>7920</v>
      </c>
      <c r="AD732" s="85">
        <v>455.596</v>
      </c>
      <c r="AE732" s="87">
        <v>7930</v>
      </c>
      <c r="AF732" s="85">
        <v>457.20299999999997</v>
      </c>
      <c r="AG732" s="87">
        <v>7910</v>
      </c>
      <c r="AH732" s="85">
        <v>109.84</v>
      </c>
      <c r="AI732" s="87">
        <v>7910</v>
      </c>
      <c r="AJ732" s="85">
        <v>116.114</v>
      </c>
    </row>
    <row r="733" spans="1:36" ht="14.25" customHeight="1">
      <c r="A733" s="88">
        <v>7940</v>
      </c>
      <c r="B733" s="84">
        <v>247.738</v>
      </c>
      <c r="C733" s="88">
        <v>7950</v>
      </c>
      <c r="D733" s="85">
        <v>245.72</v>
      </c>
      <c r="E733" s="86">
        <v>7940</v>
      </c>
      <c r="F733" s="85">
        <v>589.36599999999999</v>
      </c>
      <c r="G733" s="87">
        <v>7940</v>
      </c>
      <c r="H733" s="85">
        <v>589.423</v>
      </c>
      <c r="I733" s="87">
        <v>7940</v>
      </c>
      <c r="J733" s="85">
        <v>531.55799999999999</v>
      </c>
      <c r="K733" s="87">
        <v>7940</v>
      </c>
      <c r="L733" s="85">
        <v>530.91899999999998</v>
      </c>
      <c r="M733" s="87">
        <v>7940</v>
      </c>
      <c r="N733" s="85">
        <v>531.399</v>
      </c>
      <c r="O733" s="87">
        <v>7920</v>
      </c>
      <c r="P733" s="85">
        <v>532.47699999999998</v>
      </c>
      <c r="Q733" s="87">
        <v>7940</v>
      </c>
      <c r="R733" s="85">
        <v>532.12199999999996</v>
      </c>
      <c r="S733" s="87">
        <v>7940</v>
      </c>
      <c r="T733" s="85">
        <v>532.79700000000003</v>
      </c>
      <c r="U733" s="87">
        <v>7930</v>
      </c>
      <c r="V733" s="85">
        <v>532.37900000000002</v>
      </c>
      <c r="W733" s="87">
        <v>7940</v>
      </c>
      <c r="X733" s="85">
        <v>531.83199999999999</v>
      </c>
      <c r="Y733" s="87">
        <v>7940</v>
      </c>
      <c r="Z733" s="85">
        <v>530.21199999999999</v>
      </c>
      <c r="AA733" s="87">
        <v>7940</v>
      </c>
      <c r="AB733" s="85">
        <v>530.495</v>
      </c>
      <c r="AC733" s="87">
        <v>7930</v>
      </c>
      <c r="AD733" s="85">
        <v>454.38900000000001</v>
      </c>
      <c r="AE733" s="87">
        <v>7940</v>
      </c>
      <c r="AF733" s="85">
        <v>455.99599999999998</v>
      </c>
      <c r="AG733" s="87">
        <v>7920</v>
      </c>
      <c r="AH733" s="85">
        <v>109.49</v>
      </c>
      <c r="AI733" s="87">
        <v>7920</v>
      </c>
      <c r="AJ733" s="85">
        <v>115.749</v>
      </c>
    </row>
    <row r="734" spans="1:36" ht="14.25" customHeight="1">
      <c r="A734" s="88">
        <v>7950</v>
      </c>
      <c r="B734" s="84">
        <v>247.01</v>
      </c>
      <c r="C734" s="88">
        <v>7960</v>
      </c>
      <c r="D734" s="85">
        <v>244.99600000000001</v>
      </c>
      <c r="E734" s="86">
        <v>7950</v>
      </c>
      <c r="F734" s="85">
        <v>587.904</v>
      </c>
      <c r="G734" s="87">
        <v>7950</v>
      </c>
      <c r="H734" s="85">
        <v>587.96100000000001</v>
      </c>
      <c r="I734" s="87">
        <v>7950</v>
      </c>
      <c r="J734" s="85">
        <v>530.346</v>
      </c>
      <c r="K734" s="87">
        <v>7950</v>
      </c>
      <c r="L734" s="85">
        <v>529.70600000000002</v>
      </c>
      <c r="M734" s="87">
        <v>7950</v>
      </c>
      <c r="N734" s="85">
        <v>530.18700000000001</v>
      </c>
      <c r="O734" s="87">
        <v>7930</v>
      </c>
      <c r="P734" s="85">
        <v>531.26400000000001</v>
      </c>
      <c r="Q734" s="87">
        <v>7950</v>
      </c>
      <c r="R734" s="85">
        <v>530.91</v>
      </c>
      <c r="S734" s="87">
        <v>7950</v>
      </c>
      <c r="T734" s="85">
        <v>531.58500000000004</v>
      </c>
      <c r="U734" s="87">
        <v>7940</v>
      </c>
      <c r="V734" s="85">
        <v>531.16899999999998</v>
      </c>
      <c r="W734" s="87">
        <v>7950</v>
      </c>
      <c r="X734" s="85">
        <v>530.62099999999998</v>
      </c>
      <c r="Y734" s="87">
        <v>7950</v>
      </c>
      <c r="Z734" s="85">
        <v>529.00099999999998</v>
      </c>
      <c r="AA734" s="87">
        <v>7950</v>
      </c>
      <c r="AB734" s="85">
        <v>529.28599999999994</v>
      </c>
      <c r="AC734" s="87">
        <v>7940</v>
      </c>
      <c r="AD734" s="85">
        <v>453.18099999999998</v>
      </c>
      <c r="AE734" s="87">
        <v>7950</v>
      </c>
      <c r="AF734" s="85">
        <v>454.78899999999999</v>
      </c>
      <c r="AG734" s="87">
        <v>7930</v>
      </c>
      <c r="AH734" s="85">
        <v>109.14</v>
      </c>
      <c r="AI734" s="87">
        <v>7930</v>
      </c>
      <c r="AJ734" s="85">
        <v>115.38500000000001</v>
      </c>
    </row>
    <row r="735" spans="1:36" ht="14.25" customHeight="1">
      <c r="A735" s="88">
        <v>7960</v>
      </c>
      <c r="B735" s="84">
        <v>246.28299999999999</v>
      </c>
      <c r="C735" s="88">
        <v>7970</v>
      </c>
      <c r="D735" s="85">
        <v>244.273</v>
      </c>
      <c r="E735" s="86">
        <v>7960</v>
      </c>
      <c r="F735" s="85">
        <v>586.44200000000001</v>
      </c>
      <c r="G735" s="87">
        <v>7960</v>
      </c>
      <c r="H735" s="85">
        <v>586.49900000000002</v>
      </c>
      <c r="I735" s="87">
        <v>7960</v>
      </c>
      <c r="J735" s="85">
        <v>529.13400000000001</v>
      </c>
      <c r="K735" s="87">
        <v>7960</v>
      </c>
      <c r="L735" s="85">
        <v>528.49199999999996</v>
      </c>
      <c r="M735" s="87">
        <v>7960</v>
      </c>
      <c r="N735" s="85">
        <v>528.97500000000002</v>
      </c>
      <c r="O735" s="87">
        <v>7940</v>
      </c>
      <c r="P735" s="85">
        <v>530.05200000000002</v>
      </c>
      <c r="Q735" s="87">
        <v>7960</v>
      </c>
      <c r="R735" s="85">
        <v>529.69799999999998</v>
      </c>
      <c r="S735" s="87">
        <v>7960</v>
      </c>
      <c r="T735" s="85">
        <v>530.37300000000005</v>
      </c>
      <c r="U735" s="87">
        <v>7950</v>
      </c>
      <c r="V735" s="85">
        <v>529.95899999999995</v>
      </c>
      <c r="W735" s="87">
        <v>7960</v>
      </c>
      <c r="X735" s="85">
        <v>529.41</v>
      </c>
      <c r="Y735" s="87">
        <v>7960</v>
      </c>
      <c r="Z735" s="85">
        <v>527.79</v>
      </c>
      <c r="AA735" s="87">
        <v>7960</v>
      </c>
      <c r="AB735" s="85">
        <v>528.07600000000002</v>
      </c>
      <c r="AC735" s="87">
        <v>7950</v>
      </c>
      <c r="AD735" s="85">
        <v>451.97399999999999</v>
      </c>
      <c r="AE735" s="87">
        <v>7960</v>
      </c>
      <c r="AF735" s="85">
        <v>453.58199999999999</v>
      </c>
      <c r="AG735" s="87">
        <v>7940</v>
      </c>
      <c r="AH735" s="85">
        <v>108.79</v>
      </c>
      <c r="AI735" s="87">
        <v>7940</v>
      </c>
      <c r="AJ735" s="85">
        <v>115.021</v>
      </c>
    </row>
    <row r="736" spans="1:36" ht="14.25" customHeight="1">
      <c r="A736" s="88">
        <v>7970</v>
      </c>
      <c r="B736" s="84">
        <v>245.55600000000001</v>
      </c>
      <c r="C736" s="88">
        <v>7980</v>
      </c>
      <c r="D736" s="85">
        <v>243.55</v>
      </c>
      <c r="E736" s="86">
        <v>7970</v>
      </c>
      <c r="F736" s="85">
        <v>584.98</v>
      </c>
      <c r="G736" s="87">
        <v>7970</v>
      </c>
      <c r="H736" s="85">
        <v>585.03800000000001</v>
      </c>
      <c r="I736" s="87">
        <v>7970</v>
      </c>
      <c r="J736" s="85">
        <v>527.92200000000003</v>
      </c>
      <c r="K736" s="87">
        <v>7970</v>
      </c>
      <c r="L736" s="85">
        <v>527.279</v>
      </c>
      <c r="M736" s="87">
        <v>7970</v>
      </c>
      <c r="N736" s="85">
        <v>527.76300000000003</v>
      </c>
      <c r="O736" s="87">
        <v>7950</v>
      </c>
      <c r="P736" s="85">
        <v>528.84</v>
      </c>
      <c r="Q736" s="87">
        <v>7970</v>
      </c>
      <c r="R736" s="85">
        <v>528.48599999999999</v>
      </c>
      <c r="S736" s="87">
        <v>7970</v>
      </c>
      <c r="T736" s="85">
        <v>529.16099999999994</v>
      </c>
      <c r="U736" s="87">
        <v>7960</v>
      </c>
      <c r="V736" s="85">
        <v>528.74900000000002</v>
      </c>
      <c r="W736" s="87">
        <v>7970</v>
      </c>
      <c r="X736" s="85">
        <v>528.19899999999996</v>
      </c>
      <c r="Y736" s="87">
        <v>7970</v>
      </c>
      <c r="Z736" s="85">
        <v>526.57899999999995</v>
      </c>
      <c r="AA736" s="87">
        <v>7970</v>
      </c>
      <c r="AB736" s="85">
        <v>526.86599999999999</v>
      </c>
      <c r="AC736" s="87">
        <v>7960</v>
      </c>
      <c r="AD736" s="85">
        <v>450.767</v>
      </c>
      <c r="AE736" s="87">
        <v>7970</v>
      </c>
      <c r="AF736" s="85">
        <v>452.375</v>
      </c>
      <c r="AG736" s="87">
        <v>7950</v>
      </c>
      <c r="AH736" s="85">
        <v>108.44199999999999</v>
      </c>
      <c r="AI736" s="87">
        <v>7950</v>
      </c>
      <c r="AJ736" s="85">
        <v>114.657</v>
      </c>
    </row>
    <row r="737" spans="1:36" ht="14.25" customHeight="1">
      <c r="A737" s="88">
        <v>7980</v>
      </c>
      <c r="B737" s="84">
        <v>244.82900000000001</v>
      </c>
      <c r="C737" s="88">
        <v>7990</v>
      </c>
      <c r="D737" s="85">
        <v>242.827</v>
      </c>
      <c r="E737" s="86">
        <v>7980</v>
      </c>
      <c r="F737" s="85">
        <v>583.51800000000003</v>
      </c>
      <c r="G737" s="87">
        <v>7980</v>
      </c>
      <c r="H737" s="85">
        <v>583.57600000000002</v>
      </c>
      <c r="I737" s="87">
        <v>7980</v>
      </c>
      <c r="J737" s="85">
        <v>526.71</v>
      </c>
      <c r="K737" s="87">
        <v>7980</v>
      </c>
      <c r="L737" s="85">
        <v>526.06600000000003</v>
      </c>
      <c r="M737" s="87">
        <v>7980</v>
      </c>
      <c r="N737" s="85">
        <v>526.55100000000004</v>
      </c>
      <c r="O737" s="87">
        <v>7960</v>
      </c>
      <c r="P737" s="85">
        <v>527.62800000000004</v>
      </c>
      <c r="Q737" s="87">
        <v>7980</v>
      </c>
      <c r="R737" s="85">
        <v>527.274</v>
      </c>
      <c r="S737" s="87">
        <v>7980</v>
      </c>
      <c r="T737" s="85">
        <v>527.94899999999996</v>
      </c>
      <c r="U737" s="87">
        <v>7970</v>
      </c>
      <c r="V737" s="85">
        <v>527.53899999999999</v>
      </c>
      <c r="W737" s="87">
        <v>7980</v>
      </c>
      <c r="X737" s="85">
        <v>526.98800000000006</v>
      </c>
      <c r="Y737" s="87">
        <v>7980</v>
      </c>
      <c r="Z737" s="85">
        <v>525.36800000000005</v>
      </c>
      <c r="AA737" s="87">
        <v>7980</v>
      </c>
      <c r="AB737" s="85">
        <v>525.65599999999995</v>
      </c>
      <c r="AC737" s="87">
        <v>7970</v>
      </c>
      <c r="AD737" s="85">
        <v>449.55900000000003</v>
      </c>
      <c r="AE737" s="87">
        <v>7980</v>
      </c>
      <c r="AF737" s="85">
        <v>451.16800000000001</v>
      </c>
      <c r="AG737" s="87">
        <v>7960</v>
      </c>
      <c r="AH737" s="85">
        <v>108.093</v>
      </c>
      <c r="AI737" s="87">
        <v>7960</v>
      </c>
      <c r="AJ737" s="85">
        <v>114.295</v>
      </c>
    </row>
    <row r="738" spans="1:36" ht="14.25" customHeight="1">
      <c r="A738" s="88">
        <v>7990</v>
      </c>
      <c r="B738" s="84">
        <v>244.102</v>
      </c>
      <c r="C738" s="88">
        <v>8000</v>
      </c>
      <c r="D738" s="85">
        <v>242.10400000000001</v>
      </c>
      <c r="E738" s="86">
        <v>7990</v>
      </c>
      <c r="F738" s="85">
        <v>582.05700000000002</v>
      </c>
      <c r="G738" s="87">
        <v>7990</v>
      </c>
      <c r="H738" s="85">
        <v>582.11500000000001</v>
      </c>
      <c r="I738" s="87">
        <v>7990</v>
      </c>
      <c r="J738" s="85">
        <v>525.49800000000005</v>
      </c>
      <c r="K738" s="87">
        <v>7990</v>
      </c>
      <c r="L738" s="85">
        <v>524.85199999999998</v>
      </c>
      <c r="M738" s="87">
        <v>7990</v>
      </c>
      <c r="N738" s="85">
        <v>525.33900000000006</v>
      </c>
      <c r="O738" s="87">
        <v>7970</v>
      </c>
      <c r="P738" s="85">
        <v>526.41499999999996</v>
      </c>
      <c r="Q738" s="87">
        <v>7990</v>
      </c>
      <c r="R738" s="85">
        <v>526.06100000000004</v>
      </c>
      <c r="S738" s="87">
        <v>7990</v>
      </c>
      <c r="T738" s="85">
        <v>526.73699999999997</v>
      </c>
      <c r="U738" s="87">
        <v>7980</v>
      </c>
      <c r="V738" s="85">
        <v>526.32899999999995</v>
      </c>
      <c r="W738" s="87">
        <v>7990</v>
      </c>
      <c r="X738" s="85">
        <v>525.77700000000004</v>
      </c>
      <c r="Y738" s="87">
        <v>7990</v>
      </c>
      <c r="Z738" s="85">
        <v>524.15700000000004</v>
      </c>
      <c r="AA738" s="87">
        <v>7990</v>
      </c>
      <c r="AB738" s="85">
        <v>524.44600000000003</v>
      </c>
      <c r="AC738" s="87">
        <v>7980</v>
      </c>
      <c r="AD738" s="85">
        <v>448.35199999999998</v>
      </c>
      <c r="AE738" s="87">
        <v>7990</v>
      </c>
      <c r="AF738" s="85">
        <v>449.96100000000001</v>
      </c>
      <c r="AG738" s="87">
        <v>7970</v>
      </c>
      <c r="AH738" s="85">
        <v>107.745</v>
      </c>
      <c r="AI738" s="87">
        <v>7970</v>
      </c>
      <c r="AJ738" s="85">
        <v>113.932</v>
      </c>
    </row>
    <row r="739" spans="1:36" ht="14.25" customHeight="1">
      <c r="A739" s="88">
        <v>8000</v>
      </c>
      <c r="B739" s="84">
        <v>243.376</v>
      </c>
      <c r="C739" s="88">
        <v>8010</v>
      </c>
      <c r="D739" s="85">
        <v>241.381</v>
      </c>
      <c r="E739" s="86">
        <v>8000</v>
      </c>
      <c r="F739" s="85">
        <v>580.59500000000003</v>
      </c>
      <c r="G739" s="87">
        <v>8000</v>
      </c>
      <c r="H739" s="85">
        <v>580.654</v>
      </c>
      <c r="I739" s="87">
        <v>8000</v>
      </c>
      <c r="J739" s="85">
        <v>524.28599999999994</v>
      </c>
      <c r="K739" s="87">
        <v>8000</v>
      </c>
      <c r="L739" s="85">
        <v>523.63900000000001</v>
      </c>
      <c r="M739" s="87">
        <v>8000</v>
      </c>
      <c r="N739" s="85">
        <v>524.12699999999995</v>
      </c>
      <c r="O739" s="87">
        <v>7980</v>
      </c>
      <c r="P739" s="85">
        <v>525.20299999999997</v>
      </c>
      <c r="Q739" s="87">
        <v>8000</v>
      </c>
      <c r="R739" s="85">
        <v>524.84900000000005</v>
      </c>
      <c r="S739" s="87">
        <v>8000</v>
      </c>
      <c r="T739" s="85">
        <v>525.52499999999998</v>
      </c>
      <c r="U739" s="87">
        <v>7990</v>
      </c>
      <c r="V739" s="85">
        <v>525.11900000000003</v>
      </c>
      <c r="W739" s="87">
        <v>8000</v>
      </c>
      <c r="X739" s="85">
        <v>524.56600000000003</v>
      </c>
      <c r="Y739" s="87">
        <v>8000</v>
      </c>
      <c r="Z739" s="85">
        <v>522.94600000000003</v>
      </c>
      <c r="AA739" s="87">
        <v>8000</v>
      </c>
      <c r="AB739" s="85">
        <v>523.23599999999999</v>
      </c>
      <c r="AC739" s="87">
        <v>7990</v>
      </c>
      <c r="AD739" s="85">
        <v>447.14499999999998</v>
      </c>
      <c r="AE739" s="87">
        <v>8000</v>
      </c>
      <c r="AF739" s="85">
        <v>448.75400000000002</v>
      </c>
      <c r="AG739" s="87">
        <v>7980</v>
      </c>
      <c r="AH739" s="85">
        <v>107.398</v>
      </c>
      <c r="AI739" s="87">
        <v>7980</v>
      </c>
      <c r="AJ739" s="85">
        <v>113.571</v>
      </c>
    </row>
    <row r="740" spans="1:36" ht="14.25" customHeight="1">
      <c r="A740" s="88">
        <v>8010</v>
      </c>
      <c r="B740" s="84">
        <v>242.65</v>
      </c>
      <c r="C740" s="88">
        <v>8020</v>
      </c>
      <c r="D740" s="85">
        <v>240.65899999999999</v>
      </c>
      <c r="E740" s="86">
        <v>8010</v>
      </c>
      <c r="F740" s="85">
        <v>579.13400000000001</v>
      </c>
      <c r="G740" s="87">
        <v>8010</v>
      </c>
      <c r="H740" s="85">
        <v>579.19200000000001</v>
      </c>
      <c r="I740" s="87">
        <v>8010</v>
      </c>
      <c r="J740" s="85">
        <v>523.07500000000005</v>
      </c>
      <c r="K740" s="87">
        <v>8010</v>
      </c>
      <c r="L740" s="85">
        <v>522.42499999999995</v>
      </c>
      <c r="M740" s="87">
        <v>8010</v>
      </c>
      <c r="N740" s="85">
        <v>522.91399999999999</v>
      </c>
      <c r="O740" s="87">
        <v>7990</v>
      </c>
      <c r="P740" s="85">
        <v>523.99099999999999</v>
      </c>
      <c r="Q740" s="87">
        <v>8010</v>
      </c>
      <c r="R740" s="85">
        <v>523.63699999999994</v>
      </c>
      <c r="S740" s="87">
        <v>8010</v>
      </c>
      <c r="T740" s="85">
        <v>524.31299999999999</v>
      </c>
      <c r="U740" s="87">
        <v>8000</v>
      </c>
      <c r="V740" s="85">
        <v>523.90800000000002</v>
      </c>
      <c r="W740" s="87">
        <v>8010</v>
      </c>
      <c r="X740" s="85">
        <v>523.35500000000002</v>
      </c>
      <c r="Y740" s="87">
        <v>8010</v>
      </c>
      <c r="Z740" s="85">
        <v>521.73500000000001</v>
      </c>
      <c r="AA740" s="87">
        <v>8010</v>
      </c>
      <c r="AB740" s="85">
        <v>522.02599999999995</v>
      </c>
      <c r="AC740" s="87">
        <v>8000</v>
      </c>
      <c r="AD740" s="85">
        <v>445.93799999999999</v>
      </c>
      <c r="AE740" s="87">
        <v>8010</v>
      </c>
      <c r="AF740" s="85">
        <v>447.54700000000003</v>
      </c>
      <c r="AG740" s="87">
        <v>7990</v>
      </c>
      <c r="AH740" s="85">
        <v>107.051</v>
      </c>
      <c r="AI740" s="87">
        <v>7990</v>
      </c>
      <c r="AJ740" s="85">
        <v>113.209</v>
      </c>
    </row>
    <row r="741" spans="1:36" ht="14.25" customHeight="1">
      <c r="A741" s="88">
        <v>8020</v>
      </c>
      <c r="B741" s="84">
        <v>241.92400000000001</v>
      </c>
      <c r="C741" s="88">
        <v>8030</v>
      </c>
      <c r="D741" s="85">
        <v>239.93700000000001</v>
      </c>
      <c r="E741" s="86">
        <v>8020</v>
      </c>
      <c r="F741" s="85">
        <v>577.67200000000003</v>
      </c>
      <c r="G741" s="87">
        <v>8020</v>
      </c>
      <c r="H741" s="85">
        <v>577.73099999999999</v>
      </c>
      <c r="I741" s="87">
        <v>8020</v>
      </c>
      <c r="J741" s="85">
        <v>521.86300000000006</v>
      </c>
      <c r="K741" s="87">
        <v>8020</v>
      </c>
      <c r="L741" s="85">
        <v>521.21199999999999</v>
      </c>
      <c r="M741" s="87">
        <v>8020</v>
      </c>
      <c r="N741" s="85">
        <v>521.702</v>
      </c>
      <c r="O741" s="87">
        <v>8000</v>
      </c>
      <c r="P741" s="85">
        <v>522.77800000000002</v>
      </c>
      <c r="Q741" s="87">
        <v>8020</v>
      </c>
      <c r="R741" s="85">
        <v>522.42499999999995</v>
      </c>
      <c r="S741" s="87">
        <v>8020</v>
      </c>
      <c r="T741" s="85">
        <v>523.101</v>
      </c>
      <c r="U741" s="87">
        <v>8010</v>
      </c>
      <c r="V741" s="85">
        <v>522.69799999999998</v>
      </c>
      <c r="W741" s="87">
        <v>8020</v>
      </c>
      <c r="X741" s="85">
        <v>522.14400000000001</v>
      </c>
      <c r="Y741" s="87">
        <v>8020</v>
      </c>
      <c r="Z741" s="85">
        <v>520.524</v>
      </c>
      <c r="AA741" s="87">
        <v>8020</v>
      </c>
      <c r="AB741" s="85">
        <v>520.81600000000003</v>
      </c>
      <c r="AC741" s="87">
        <v>8010</v>
      </c>
      <c r="AD741" s="85">
        <v>444.73099999999999</v>
      </c>
      <c r="AE741" s="87">
        <v>8020</v>
      </c>
      <c r="AF741" s="85">
        <v>446.34</v>
      </c>
      <c r="AG741" s="87">
        <v>8000</v>
      </c>
      <c r="AH741" s="85">
        <v>106.705</v>
      </c>
      <c r="AI741" s="87">
        <v>8000</v>
      </c>
      <c r="AJ741" s="85">
        <v>112.849</v>
      </c>
    </row>
    <row r="742" spans="1:36" ht="14.25" customHeight="1">
      <c r="A742" s="88">
        <v>8030</v>
      </c>
      <c r="B742" s="84">
        <v>241.19800000000001</v>
      </c>
      <c r="C742" s="88">
        <v>8040</v>
      </c>
      <c r="D742" s="85">
        <v>239.215</v>
      </c>
      <c r="E742" s="86">
        <v>8030</v>
      </c>
      <c r="F742" s="85">
        <v>576.21100000000001</v>
      </c>
      <c r="G742" s="87">
        <v>8030</v>
      </c>
      <c r="H742" s="85">
        <v>576.27</v>
      </c>
      <c r="I742" s="87">
        <v>8030</v>
      </c>
      <c r="J742" s="85">
        <v>520.65099999999995</v>
      </c>
      <c r="K742" s="87">
        <v>8030</v>
      </c>
      <c r="L742" s="85">
        <v>519.99800000000005</v>
      </c>
      <c r="M742" s="87">
        <v>8030</v>
      </c>
      <c r="N742" s="85">
        <v>520.49</v>
      </c>
      <c r="O742" s="87">
        <v>8010</v>
      </c>
      <c r="P742" s="85">
        <v>521.56600000000003</v>
      </c>
      <c r="Q742" s="87">
        <v>8030</v>
      </c>
      <c r="R742" s="85">
        <v>521.21299999999997</v>
      </c>
      <c r="S742" s="87">
        <v>8030</v>
      </c>
      <c r="T742" s="85">
        <v>521.88900000000001</v>
      </c>
      <c r="U742" s="87">
        <v>8020</v>
      </c>
      <c r="V742" s="85">
        <v>521.48800000000006</v>
      </c>
      <c r="W742" s="87">
        <v>8030</v>
      </c>
      <c r="X742" s="85">
        <v>520.93399999999997</v>
      </c>
      <c r="Y742" s="87">
        <v>8030</v>
      </c>
      <c r="Z742" s="85">
        <v>519.31299999999999</v>
      </c>
      <c r="AA742" s="87">
        <v>8030</v>
      </c>
      <c r="AB742" s="85">
        <v>519.60599999999999</v>
      </c>
      <c r="AC742" s="87">
        <v>8020</v>
      </c>
      <c r="AD742" s="85">
        <v>443.524</v>
      </c>
      <c r="AE742" s="87">
        <v>8030</v>
      </c>
      <c r="AF742" s="85">
        <v>445.13400000000001</v>
      </c>
      <c r="AG742" s="87">
        <v>8010</v>
      </c>
      <c r="AH742" s="85">
        <v>106.35899999999999</v>
      </c>
      <c r="AI742" s="87">
        <v>8010</v>
      </c>
      <c r="AJ742" s="85">
        <v>112.488</v>
      </c>
    </row>
    <row r="743" spans="1:36" ht="14.25" customHeight="1">
      <c r="A743" s="88">
        <v>8040</v>
      </c>
      <c r="B743" s="84">
        <v>240.47200000000001</v>
      </c>
      <c r="C743" s="88">
        <v>8050</v>
      </c>
      <c r="D743" s="85">
        <v>238.49299999999999</v>
      </c>
      <c r="E743" s="86">
        <v>8040</v>
      </c>
      <c r="F743" s="85">
        <v>574.75</v>
      </c>
      <c r="G743" s="87">
        <v>8040</v>
      </c>
      <c r="H743" s="85">
        <v>574.80899999999997</v>
      </c>
      <c r="I743" s="87">
        <v>8040</v>
      </c>
      <c r="J743" s="85">
        <v>519.43899999999996</v>
      </c>
      <c r="K743" s="87">
        <v>8040</v>
      </c>
      <c r="L743" s="85">
        <v>518.78499999999997</v>
      </c>
      <c r="M743" s="87">
        <v>8040</v>
      </c>
      <c r="N743" s="85">
        <v>519.27800000000002</v>
      </c>
      <c r="O743" s="87">
        <v>8020</v>
      </c>
      <c r="P743" s="85">
        <v>520.35400000000004</v>
      </c>
      <c r="Q743" s="87">
        <v>8040</v>
      </c>
      <c r="R743" s="85">
        <v>520.00099999999998</v>
      </c>
      <c r="S743" s="87">
        <v>8040</v>
      </c>
      <c r="T743" s="85">
        <v>520.67700000000002</v>
      </c>
      <c r="U743" s="87">
        <v>8030</v>
      </c>
      <c r="V743" s="85">
        <v>520.27800000000002</v>
      </c>
      <c r="W743" s="87">
        <v>8040</v>
      </c>
      <c r="X743" s="85">
        <v>519.72299999999996</v>
      </c>
      <c r="Y743" s="87">
        <v>8040</v>
      </c>
      <c r="Z743" s="85">
        <v>518.10199999999998</v>
      </c>
      <c r="AA743" s="87">
        <v>8040</v>
      </c>
      <c r="AB743" s="85">
        <v>518.39599999999996</v>
      </c>
      <c r="AC743" s="87">
        <v>8030</v>
      </c>
      <c r="AD743" s="85">
        <v>442.31700000000001</v>
      </c>
      <c r="AE743" s="87">
        <v>8040</v>
      </c>
      <c r="AF743" s="85">
        <v>443.92700000000002</v>
      </c>
      <c r="AG743" s="87">
        <v>8020</v>
      </c>
      <c r="AH743" s="85">
        <v>106.014</v>
      </c>
      <c r="AI743" s="87">
        <v>8020</v>
      </c>
      <c r="AJ743" s="85">
        <v>112.129</v>
      </c>
    </row>
    <row r="744" spans="1:36" ht="14.25" customHeight="1">
      <c r="A744" s="88">
        <v>8050</v>
      </c>
      <c r="B744" s="84">
        <v>239.74700000000001</v>
      </c>
      <c r="C744" s="88">
        <v>8060</v>
      </c>
      <c r="D744" s="85">
        <v>237.77099999999999</v>
      </c>
      <c r="E744" s="86">
        <v>8050</v>
      </c>
      <c r="F744" s="85">
        <v>573.28899999999999</v>
      </c>
      <c r="G744" s="87">
        <v>8050</v>
      </c>
      <c r="H744" s="85">
        <v>573.34900000000005</v>
      </c>
      <c r="I744" s="87">
        <v>8050</v>
      </c>
      <c r="J744" s="85">
        <v>518.22699999999998</v>
      </c>
      <c r="K744" s="87">
        <v>8050</v>
      </c>
      <c r="L744" s="85">
        <v>517.572</v>
      </c>
      <c r="M744" s="87">
        <v>8050</v>
      </c>
      <c r="N744" s="85">
        <v>518.06600000000003</v>
      </c>
      <c r="O744" s="87">
        <v>8030</v>
      </c>
      <c r="P744" s="85">
        <v>519.14200000000005</v>
      </c>
      <c r="Q744" s="87">
        <v>8050</v>
      </c>
      <c r="R744" s="85">
        <v>518.78899999999999</v>
      </c>
      <c r="S744" s="87">
        <v>8050</v>
      </c>
      <c r="T744" s="85">
        <v>519.46500000000003</v>
      </c>
      <c r="U744" s="87">
        <v>8040</v>
      </c>
      <c r="V744" s="85">
        <v>519.06799999999998</v>
      </c>
      <c r="W744" s="87">
        <v>8050</v>
      </c>
      <c r="X744" s="85">
        <v>518.51199999999994</v>
      </c>
      <c r="Y744" s="87">
        <v>8050</v>
      </c>
      <c r="Z744" s="85">
        <v>516.89099999999996</v>
      </c>
      <c r="AA744" s="87">
        <v>8050</v>
      </c>
      <c r="AB744" s="85">
        <v>517.18600000000004</v>
      </c>
      <c r="AC744" s="87">
        <v>8040</v>
      </c>
      <c r="AD744" s="85">
        <v>441.11099999999999</v>
      </c>
      <c r="AE744" s="87">
        <v>8050</v>
      </c>
      <c r="AF744" s="85">
        <v>442.721</v>
      </c>
      <c r="AG744" s="87">
        <v>8030</v>
      </c>
      <c r="AH744" s="85">
        <v>105.669</v>
      </c>
      <c r="AI744" s="87">
        <v>8030</v>
      </c>
      <c r="AJ744" s="85">
        <v>111.77</v>
      </c>
    </row>
    <row r="745" spans="1:36" ht="14.25" customHeight="1">
      <c r="A745" s="88">
        <v>8060</v>
      </c>
      <c r="B745" s="84">
        <v>239.02199999999999</v>
      </c>
      <c r="C745" s="88">
        <v>8070</v>
      </c>
      <c r="D745" s="85">
        <v>237.05</v>
      </c>
      <c r="E745" s="86">
        <v>8060</v>
      </c>
      <c r="F745" s="85">
        <v>571.82799999999997</v>
      </c>
      <c r="G745" s="87">
        <v>8060</v>
      </c>
      <c r="H745" s="85">
        <v>571.88800000000003</v>
      </c>
      <c r="I745" s="87">
        <v>8060</v>
      </c>
      <c r="J745" s="85">
        <v>517.01499999999999</v>
      </c>
      <c r="K745" s="87">
        <v>8060</v>
      </c>
      <c r="L745" s="85">
        <v>516.35799999999995</v>
      </c>
      <c r="M745" s="87">
        <v>8060</v>
      </c>
      <c r="N745" s="85">
        <v>516.85400000000004</v>
      </c>
      <c r="O745" s="87">
        <v>8040</v>
      </c>
      <c r="P745" s="85">
        <v>517.92899999999997</v>
      </c>
      <c r="Q745" s="87">
        <v>8060</v>
      </c>
      <c r="R745" s="85">
        <v>517.577</v>
      </c>
      <c r="S745" s="87">
        <v>8060</v>
      </c>
      <c r="T745" s="85">
        <v>518.25300000000004</v>
      </c>
      <c r="U745" s="87">
        <v>8050</v>
      </c>
      <c r="V745" s="85">
        <v>517.85799999999995</v>
      </c>
      <c r="W745" s="87">
        <v>8060</v>
      </c>
      <c r="X745" s="85">
        <v>517.30100000000004</v>
      </c>
      <c r="Y745" s="87">
        <v>8060</v>
      </c>
      <c r="Z745" s="85">
        <v>515.67999999999995</v>
      </c>
      <c r="AA745" s="87">
        <v>8060</v>
      </c>
      <c r="AB745" s="85">
        <v>515.976</v>
      </c>
      <c r="AC745" s="87">
        <v>8050</v>
      </c>
      <c r="AD745" s="85">
        <v>439.904</v>
      </c>
      <c r="AE745" s="87">
        <v>8060</v>
      </c>
      <c r="AF745" s="85">
        <v>441.51499999999999</v>
      </c>
      <c r="AG745" s="87">
        <v>8040</v>
      </c>
      <c r="AH745" s="85">
        <v>105.325</v>
      </c>
      <c r="AI745" s="87">
        <v>8040</v>
      </c>
      <c r="AJ745" s="85">
        <v>111.411</v>
      </c>
    </row>
    <row r="746" spans="1:36" ht="14.25" customHeight="1">
      <c r="A746" s="88">
        <v>8070</v>
      </c>
      <c r="B746" s="84">
        <v>238.297</v>
      </c>
      <c r="C746" s="88">
        <v>8080</v>
      </c>
      <c r="D746" s="85">
        <v>236.32900000000001</v>
      </c>
      <c r="E746" s="86">
        <v>8070</v>
      </c>
      <c r="F746" s="85">
        <v>570.36800000000005</v>
      </c>
      <c r="G746" s="87">
        <v>8070</v>
      </c>
      <c r="H746" s="85">
        <v>570.42700000000002</v>
      </c>
      <c r="I746" s="87">
        <v>8070</v>
      </c>
      <c r="J746" s="85">
        <v>515.803</v>
      </c>
      <c r="K746" s="87">
        <v>8070</v>
      </c>
      <c r="L746" s="85">
        <v>515.14499999999998</v>
      </c>
      <c r="M746" s="87">
        <v>8070</v>
      </c>
      <c r="N746" s="85">
        <v>515.64200000000005</v>
      </c>
      <c r="O746" s="87">
        <v>8050</v>
      </c>
      <c r="P746" s="85">
        <v>516.71699999999998</v>
      </c>
      <c r="Q746" s="87">
        <v>8070</v>
      </c>
      <c r="R746" s="85">
        <v>516.36500000000001</v>
      </c>
      <c r="S746" s="87">
        <v>8070</v>
      </c>
      <c r="T746" s="85">
        <v>517.04100000000005</v>
      </c>
      <c r="U746" s="87">
        <v>8060</v>
      </c>
      <c r="V746" s="85">
        <v>516.64700000000005</v>
      </c>
      <c r="W746" s="87">
        <v>8070</v>
      </c>
      <c r="X746" s="85">
        <v>516.09</v>
      </c>
      <c r="Y746" s="87">
        <v>8070</v>
      </c>
      <c r="Z746" s="85">
        <v>514.46900000000005</v>
      </c>
      <c r="AA746" s="87">
        <v>8070</v>
      </c>
      <c r="AB746" s="85">
        <v>514.76599999999996</v>
      </c>
      <c r="AC746" s="87">
        <v>8060</v>
      </c>
      <c r="AD746" s="85">
        <v>438.69799999999998</v>
      </c>
      <c r="AE746" s="87">
        <v>8070</v>
      </c>
      <c r="AF746" s="85">
        <v>440.30900000000003</v>
      </c>
      <c r="AG746" s="87">
        <v>8050</v>
      </c>
      <c r="AH746" s="85">
        <v>104.982</v>
      </c>
      <c r="AI746" s="87">
        <v>8050</v>
      </c>
      <c r="AJ746" s="85">
        <v>111.053</v>
      </c>
    </row>
    <row r="747" spans="1:36" ht="14.25" customHeight="1">
      <c r="A747" s="88">
        <v>8080</v>
      </c>
      <c r="B747" s="84">
        <v>237.572</v>
      </c>
      <c r="C747" s="88">
        <v>8090</v>
      </c>
      <c r="D747" s="85">
        <v>235.608</v>
      </c>
      <c r="E747" s="86">
        <v>8080</v>
      </c>
      <c r="F747" s="85">
        <v>568.90700000000004</v>
      </c>
      <c r="G747" s="87">
        <v>8080</v>
      </c>
      <c r="H747" s="85">
        <v>568.96699999999998</v>
      </c>
      <c r="I747" s="87">
        <v>8080</v>
      </c>
      <c r="J747" s="85">
        <v>514.59100000000001</v>
      </c>
      <c r="K747" s="87">
        <v>8080</v>
      </c>
      <c r="L747" s="85">
        <v>513.93100000000004</v>
      </c>
      <c r="M747" s="87">
        <v>8080</v>
      </c>
      <c r="N747" s="85">
        <v>514.42999999999995</v>
      </c>
      <c r="O747" s="87">
        <v>8060</v>
      </c>
      <c r="P747" s="85">
        <v>515.505</v>
      </c>
      <c r="Q747" s="87">
        <v>8080</v>
      </c>
      <c r="R747" s="85">
        <v>515.15300000000002</v>
      </c>
      <c r="S747" s="87">
        <v>8080</v>
      </c>
      <c r="T747" s="85">
        <v>515.82899999999995</v>
      </c>
      <c r="U747" s="87">
        <v>8070</v>
      </c>
      <c r="V747" s="85">
        <v>515.43700000000001</v>
      </c>
      <c r="W747" s="87">
        <v>8080</v>
      </c>
      <c r="X747" s="85">
        <v>514.87900000000002</v>
      </c>
      <c r="Y747" s="87">
        <v>8080</v>
      </c>
      <c r="Z747" s="85">
        <v>513.25800000000004</v>
      </c>
      <c r="AA747" s="87">
        <v>8080</v>
      </c>
      <c r="AB747" s="85">
        <v>513.55600000000004</v>
      </c>
      <c r="AC747" s="87">
        <v>8070</v>
      </c>
      <c r="AD747" s="85">
        <v>437.49099999999999</v>
      </c>
      <c r="AE747" s="87">
        <v>8080</v>
      </c>
      <c r="AF747" s="85">
        <v>439.10300000000001</v>
      </c>
      <c r="AG747" s="87">
        <v>8060</v>
      </c>
      <c r="AH747" s="85">
        <v>104.639</v>
      </c>
      <c r="AI747" s="87">
        <v>8060</v>
      </c>
      <c r="AJ747" s="85">
        <v>110.69499999999999</v>
      </c>
    </row>
    <row r="748" spans="1:36" ht="14.25" customHeight="1">
      <c r="A748" s="88">
        <v>8090</v>
      </c>
      <c r="B748" s="84">
        <v>236.84800000000001</v>
      </c>
      <c r="C748" s="88">
        <v>8100</v>
      </c>
      <c r="D748" s="85">
        <v>234.887</v>
      </c>
      <c r="E748" s="86">
        <v>8090</v>
      </c>
      <c r="F748" s="85">
        <v>567.447</v>
      </c>
      <c r="G748" s="87">
        <v>8090</v>
      </c>
      <c r="H748" s="85">
        <v>567.50599999999997</v>
      </c>
      <c r="I748" s="87">
        <v>8090</v>
      </c>
      <c r="J748" s="85">
        <v>513.37900000000002</v>
      </c>
      <c r="K748" s="87">
        <v>8090</v>
      </c>
      <c r="L748" s="85">
        <v>512.71799999999996</v>
      </c>
      <c r="M748" s="87">
        <v>8090</v>
      </c>
      <c r="N748" s="85">
        <v>513.21799999999996</v>
      </c>
      <c r="O748" s="87">
        <v>8070</v>
      </c>
      <c r="P748" s="85">
        <v>514.29200000000003</v>
      </c>
      <c r="Q748" s="87">
        <v>8090</v>
      </c>
      <c r="R748" s="85">
        <v>513.94100000000003</v>
      </c>
      <c r="S748" s="87">
        <v>8090</v>
      </c>
      <c r="T748" s="85">
        <v>514.61699999999996</v>
      </c>
      <c r="U748" s="87">
        <v>8080</v>
      </c>
      <c r="V748" s="85">
        <v>514.22699999999998</v>
      </c>
      <c r="W748" s="87">
        <v>8090</v>
      </c>
      <c r="X748" s="85">
        <v>513.66800000000001</v>
      </c>
      <c r="Y748" s="87">
        <v>8090</v>
      </c>
      <c r="Z748" s="85">
        <v>512.04700000000003</v>
      </c>
      <c r="AA748" s="87">
        <v>8090</v>
      </c>
      <c r="AB748" s="85">
        <v>512.346</v>
      </c>
      <c r="AC748" s="87">
        <v>8080</v>
      </c>
      <c r="AD748" s="85">
        <v>436.28500000000003</v>
      </c>
      <c r="AE748" s="87">
        <v>8090</v>
      </c>
      <c r="AF748" s="85">
        <v>437.89699999999999</v>
      </c>
      <c r="AG748" s="87">
        <v>8070</v>
      </c>
      <c r="AH748" s="85">
        <v>104.29600000000001</v>
      </c>
      <c r="AI748" s="87">
        <v>8070</v>
      </c>
      <c r="AJ748" s="85">
        <v>110.33799999999999</v>
      </c>
    </row>
    <row r="749" spans="1:36" ht="14.25" customHeight="1">
      <c r="A749" s="88">
        <v>8100</v>
      </c>
      <c r="B749" s="84">
        <v>236.12299999999999</v>
      </c>
      <c r="C749" s="88">
        <v>8110</v>
      </c>
      <c r="D749" s="85">
        <v>234.167</v>
      </c>
      <c r="E749" s="86">
        <v>8100</v>
      </c>
      <c r="F749" s="85">
        <v>565.98599999999999</v>
      </c>
      <c r="G749" s="87">
        <v>8100</v>
      </c>
      <c r="H749" s="85">
        <v>566.04600000000005</v>
      </c>
      <c r="I749" s="87">
        <v>8100</v>
      </c>
      <c r="J749" s="85">
        <v>512.16700000000003</v>
      </c>
      <c r="K749" s="87">
        <v>8100</v>
      </c>
      <c r="L749" s="85">
        <v>511.50400000000002</v>
      </c>
      <c r="M749" s="87">
        <v>8100</v>
      </c>
      <c r="N749" s="85">
        <v>512.00599999999997</v>
      </c>
      <c r="O749" s="87">
        <v>8080</v>
      </c>
      <c r="P749" s="85">
        <v>513.08000000000004</v>
      </c>
      <c r="Q749" s="87">
        <v>8100</v>
      </c>
      <c r="R749" s="85">
        <v>512.72900000000004</v>
      </c>
      <c r="S749" s="87">
        <v>8100</v>
      </c>
      <c r="T749" s="85">
        <v>513.40499999999997</v>
      </c>
      <c r="U749" s="87">
        <v>8090</v>
      </c>
      <c r="V749" s="85">
        <v>513.01700000000005</v>
      </c>
      <c r="W749" s="87">
        <v>8100</v>
      </c>
      <c r="X749" s="85">
        <v>512.45699999999999</v>
      </c>
      <c r="Y749" s="87">
        <v>8100</v>
      </c>
      <c r="Z749" s="85">
        <v>510.83699999999999</v>
      </c>
      <c r="AA749" s="87">
        <v>8100</v>
      </c>
      <c r="AB749" s="85">
        <v>511.13600000000002</v>
      </c>
      <c r="AC749" s="87">
        <v>8090</v>
      </c>
      <c r="AD749" s="85">
        <v>435.07900000000001</v>
      </c>
      <c r="AE749" s="87">
        <v>8100</v>
      </c>
      <c r="AF749" s="85">
        <v>436.69099999999997</v>
      </c>
      <c r="AG749" s="87">
        <v>8080</v>
      </c>
      <c r="AH749" s="85">
        <v>103.95399999999999</v>
      </c>
      <c r="AI749" s="87">
        <v>8080</v>
      </c>
      <c r="AJ749" s="85">
        <v>109.982</v>
      </c>
    </row>
    <row r="750" spans="1:36" ht="14.25" customHeight="1">
      <c r="A750" s="88">
        <v>8110</v>
      </c>
      <c r="B750" s="84">
        <v>235.399</v>
      </c>
      <c r="C750" s="88">
        <v>8120</v>
      </c>
      <c r="D750" s="85">
        <v>233.446</v>
      </c>
      <c r="E750" s="86">
        <v>8110</v>
      </c>
      <c r="F750" s="85">
        <v>564.52599999999995</v>
      </c>
      <c r="G750" s="87">
        <v>8110</v>
      </c>
      <c r="H750" s="85">
        <v>564.58600000000001</v>
      </c>
      <c r="I750" s="87">
        <v>8110</v>
      </c>
      <c r="J750" s="85">
        <v>510.95499999999998</v>
      </c>
      <c r="K750" s="87">
        <v>8110</v>
      </c>
      <c r="L750" s="85">
        <v>510.291</v>
      </c>
      <c r="M750" s="87">
        <v>8110</v>
      </c>
      <c r="N750" s="85">
        <v>510.79399999999998</v>
      </c>
      <c r="O750" s="87">
        <v>8090</v>
      </c>
      <c r="P750" s="85">
        <v>511.86799999999999</v>
      </c>
      <c r="Q750" s="87">
        <v>8110</v>
      </c>
      <c r="R750" s="85">
        <v>511.517</v>
      </c>
      <c r="S750" s="87">
        <v>8110</v>
      </c>
      <c r="T750" s="85">
        <v>512.19299999999998</v>
      </c>
      <c r="U750" s="87">
        <v>8100</v>
      </c>
      <c r="V750" s="85">
        <v>511.80700000000002</v>
      </c>
      <c r="W750" s="87">
        <v>8110</v>
      </c>
      <c r="X750" s="85">
        <v>511.24599999999998</v>
      </c>
      <c r="Y750" s="87">
        <v>8110</v>
      </c>
      <c r="Z750" s="85">
        <v>509.62599999999998</v>
      </c>
      <c r="AA750" s="87">
        <v>8110</v>
      </c>
      <c r="AB750" s="85">
        <v>509.92599999999999</v>
      </c>
      <c r="AC750" s="87">
        <v>8100</v>
      </c>
      <c r="AD750" s="85">
        <v>433.87299999999999</v>
      </c>
      <c r="AE750" s="87">
        <v>8110</v>
      </c>
      <c r="AF750" s="85">
        <v>435.48599999999999</v>
      </c>
      <c r="AG750" s="87">
        <v>8090</v>
      </c>
      <c r="AH750" s="85">
        <v>103.613</v>
      </c>
      <c r="AI750" s="87">
        <v>8090</v>
      </c>
      <c r="AJ750" s="85">
        <v>109.626</v>
      </c>
    </row>
    <row r="751" spans="1:36" ht="14.25" customHeight="1">
      <c r="A751" s="88">
        <v>8120</v>
      </c>
      <c r="B751" s="84">
        <v>234.67500000000001</v>
      </c>
      <c r="C751" s="88">
        <v>8130</v>
      </c>
      <c r="D751" s="85">
        <v>232.727</v>
      </c>
      <c r="E751" s="86">
        <v>8120</v>
      </c>
      <c r="F751" s="85">
        <v>563.06600000000003</v>
      </c>
      <c r="G751" s="87">
        <v>8120</v>
      </c>
      <c r="H751" s="85">
        <v>563.12599999999998</v>
      </c>
      <c r="I751" s="87">
        <v>8120</v>
      </c>
      <c r="J751" s="85">
        <v>509.74299999999999</v>
      </c>
      <c r="K751" s="87">
        <v>8120</v>
      </c>
      <c r="L751" s="85">
        <v>509.07799999999997</v>
      </c>
      <c r="M751" s="87">
        <v>8120</v>
      </c>
      <c r="N751" s="85">
        <v>509.58300000000003</v>
      </c>
      <c r="O751" s="87">
        <v>8100</v>
      </c>
      <c r="P751" s="85">
        <v>510.65600000000001</v>
      </c>
      <c r="Q751" s="87">
        <v>8120</v>
      </c>
      <c r="R751" s="85">
        <v>510.30500000000001</v>
      </c>
      <c r="S751" s="87">
        <v>8120</v>
      </c>
      <c r="T751" s="85">
        <v>510.98</v>
      </c>
      <c r="U751" s="87">
        <v>8110</v>
      </c>
      <c r="V751" s="85">
        <v>510.59699999999998</v>
      </c>
      <c r="W751" s="87">
        <v>8120</v>
      </c>
      <c r="X751" s="85">
        <v>510.03500000000003</v>
      </c>
      <c r="Y751" s="87">
        <v>8120</v>
      </c>
      <c r="Z751" s="85">
        <v>508.41500000000002</v>
      </c>
      <c r="AA751" s="87">
        <v>8120</v>
      </c>
      <c r="AB751" s="85">
        <v>508.71600000000001</v>
      </c>
      <c r="AC751" s="87">
        <v>8110</v>
      </c>
      <c r="AD751" s="85">
        <v>432.66800000000001</v>
      </c>
      <c r="AE751" s="87">
        <v>8120</v>
      </c>
      <c r="AF751" s="85">
        <v>434.28</v>
      </c>
      <c r="AG751" s="87">
        <v>8100</v>
      </c>
      <c r="AH751" s="85">
        <v>103.27200000000001</v>
      </c>
      <c r="AI751" s="87">
        <v>8100</v>
      </c>
      <c r="AJ751" s="85">
        <v>109.271</v>
      </c>
    </row>
    <row r="752" spans="1:36" ht="14.25" customHeight="1">
      <c r="A752" s="88">
        <v>8130</v>
      </c>
      <c r="B752" s="84">
        <v>233.952</v>
      </c>
      <c r="C752" s="88">
        <v>8140</v>
      </c>
      <c r="D752" s="85">
        <v>232.00700000000001</v>
      </c>
      <c r="E752" s="86">
        <v>8130</v>
      </c>
      <c r="F752" s="85">
        <v>561.60599999999999</v>
      </c>
      <c r="G752" s="87">
        <v>8130</v>
      </c>
      <c r="H752" s="85">
        <v>561.66600000000005</v>
      </c>
      <c r="I752" s="87">
        <v>8130</v>
      </c>
      <c r="J752" s="85">
        <v>508.53199999999998</v>
      </c>
      <c r="K752" s="87">
        <v>8130</v>
      </c>
      <c r="L752" s="85">
        <v>507.86500000000001</v>
      </c>
      <c r="M752" s="87">
        <v>8130</v>
      </c>
      <c r="N752" s="85">
        <v>508.37099999999998</v>
      </c>
      <c r="O752" s="87">
        <v>8110</v>
      </c>
      <c r="P752" s="85">
        <v>509.44400000000002</v>
      </c>
      <c r="Q752" s="87">
        <v>8130</v>
      </c>
      <c r="R752" s="85">
        <v>509.09300000000002</v>
      </c>
      <c r="S752" s="87">
        <v>8130</v>
      </c>
      <c r="T752" s="85">
        <v>509.76900000000001</v>
      </c>
      <c r="U752" s="87">
        <v>8120</v>
      </c>
      <c r="V752" s="85">
        <v>509.387</v>
      </c>
      <c r="W752" s="87">
        <v>8130</v>
      </c>
      <c r="X752" s="85">
        <v>508.82400000000001</v>
      </c>
      <c r="Y752" s="87">
        <v>8130</v>
      </c>
      <c r="Z752" s="85">
        <v>507.20400000000001</v>
      </c>
      <c r="AA752" s="87">
        <v>8130</v>
      </c>
      <c r="AB752" s="85">
        <v>507.50599999999997</v>
      </c>
      <c r="AC752" s="87">
        <v>8120</v>
      </c>
      <c r="AD752" s="85">
        <v>431.46300000000002</v>
      </c>
      <c r="AE752" s="87">
        <v>8130</v>
      </c>
      <c r="AF752" s="85">
        <v>433.07499999999999</v>
      </c>
      <c r="AG752" s="87">
        <v>8110</v>
      </c>
      <c r="AH752" s="85">
        <v>102.932</v>
      </c>
      <c r="AI752" s="87">
        <v>8110</v>
      </c>
      <c r="AJ752" s="85">
        <v>108.916</v>
      </c>
    </row>
    <row r="753" spans="1:36" ht="14.25" customHeight="1">
      <c r="A753" s="88">
        <v>8140</v>
      </c>
      <c r="B753" s="84">
        <v>233.22900000000001</v>
      </c>
      <c r="C753" s="88">
        <v>8150</v>
      </c>
      <c r="D753" s="85">
        <v>231.28800000000001</v>
      </c>
      <c r="E753" s="86">
        <v>8140</v>
      </c>
      <c r="F753" s="85">
        <v>560.14700000000005</v>
      </c>
      <c r="G753" s="87">
        <v>8140</v>
      </c>
      <c r="H753" s="85">
        <v>560.20600000000002</v>
      </c>
      <c r="I753" s="87">
        <v>8140</v>
      </c>
      <c r="J753" s="85">
        <v>507.32</v>
      </c>
      <c r="K753" s="87">
        <v>8140</v>
      </c>
      <c r="L753" s="85">
        <v>506.65199999999999</v>
      </c>
      <c r="M753" s="87">
        <v>8140</v>
      </c>
      <c r="N753" s="85">
        <v>507.16</v>
      </c>
      <c r="O753" s="87">
        <v>8120</v>
      </c>
      <c r="P753" s="85">
        <v>508.23200000000003</v>
      </c>
      <c r="Q753" s="87">
        <v>8140</v>
      </c>
      <c r="R753" s="85">
        <v>507.88200000000001</v>
      </c>
      <c r="S753" s="87">
        <v>8140</v>
      </c>
      <c r="T753" s="85">
        <v>508.55700000000002</v>
      </c>
      <c r="U753" s="87">
        <v>8130</v>
      </c>
      <c r="V753" s="85">
        <v>508.17700000000002</v>
      </c>
      <c r="W753" s="87">
        <v>8140</v>
      </c>
      <c r="X753" s="85">
        <v>507.61399999999998</v>
      </c>
      <c r="Y753" s="87">
        <v>8140</v>
      </c>
      <c r="Z753" s="85">
        <v>505.99400000000003</v>
      </c>
      <c r="AA753" s="87">
        <v>8140</v>
      </c>
      <c r="AB753" s="85">
        <v>506.29700000000003</v>
      </c>
      <c r="AC753" s="87">
        <v>8130</v>
      </c>
      <c r="AD753" s="85">
        <v>430.25799999999998</v>
      </c>
      <c r="AE753" s="87">
        <v>8140</v>
      </c>
      <c r="AF753" s="85">
        <v>431.87</v>
      </c>
      <c r="AG753" s="87">
        <v>8120</v>
      </c>
      <c r="AH753" s="85">
        <v>102.592</v>
      </c>
      <c r="AI753" s="87">
        <v>8120</v>
      </c>
      <c r="AJ753" s="85">
        <v>108.562</v>
      </c>
    </row>
    <row r="754" spans="1:36" ht="14.25" customHeight="1">
      <c r="A754" s="88">
        <v>8150</v>
      </c>
      <c r="B754" s="84">
        <v>232.50700000000001</v>
      </c>
      <c r="C754" s="88">
        <v>8160</v>
      </c>
      <c r="D754" s="85">
        <v>230.56899999999999</v>
      </c>
      <c r="E754" s="86">
        <v>8150</v>
      </c>
      <c r="F754" s="85">
        <v>558.68700000000001</v>
      </c>
      <c r="G754" s="87">
        <v>8150</v>
      </c>
      <c r="H754" s="85">
        <v>558.74699999999996</v>
      </c>
      <c r="I754" s="87">
        <v>8150</v>
      </c>
      <c r="J754" s="85">
        <v>506.10899999999998</v>
      </c>
      <c r="K754" s="87">
        <v>8150</v>
      </c>
      <c r="L754" s="85">
        <v>505.43900000000002</v>
      </c>
      <c r="M754" s="87">
        <v>8150</v>
      </c>
      <c r="N754" s="85">
        <v>505.94799999999998</v>
      </c>
      <c r="O754" s="87">
        <v>8130</v>
      </c>
      <c r="P754" s="85">
        <v>507.02</v>
      </c>
      <c r="Q754" s="87">
        <v>8150</v>
      </c>
      <c r="R754" s="85">
        <v>506.67</v>
      </c>
      <c r="S754" s="87">
        <v>8150</v>
      </c>
      <c r="T754" s="85">
        <v>507.346</v>
      </c>
      <c r="U754" s="87">
        <v>8140</v>
      </c>
      <c r="V754" s="85">
        <v>506.96699999999998</v>
      </c>
      <c r="W754" s="87">
        <v>8150</v>
      </c>
      <c r="X754" s="85">
        <v>506.404</v>
      </c>
      <c r="Y754" s="87">
        <v>8150</v>
      </c>
      <c r="Z754" s="85">
        <v>504.78300000000002</v>
      </c>
      <c r="AA754" s="87">
        <v>8150</v>
      </c>
      <c r="AB754" s="85">
        <v>505.08699999999999</v>
      </c>
      <c r="AC754" s="87">
        <v>8140</v>
      </c>
      <c r="AD754" s="85">
        <v>429.053</v>
      </c>
      <c r="AE754" s="87">
        <v>8150</v>
      </c>
      <c r="AF754" s="85">
        <v>430.666</v>
      </c>
      <c r="AG754" s="87">
        <v>8130</v>
      </c>
      <c r="AH754" s="85">
        <v>102.253</v>
      </c>
      <c r="AI754" s="87">
        <v>8130</v>
      </c>
      <c r="AJ754" s="85">
        <v>108.209</v>
      </c>
    </row>
    <row r="755" spans="1:36" ht="14.25" customHeight="1">
      <c r="A755" s="88">
        <v>8160</v>
      </c>
      <c r="B755" s="84">
        <v>231.78399999999999</v>
      </c>
      <c r="C755" s="88">
        <v>8170</v>
      </c>
      <c r="D755" s="85">
        <v>229.851</v>
      </c>
      <c r="E755" s="86">
        <v>8160</v>
      </c>
      <c r="F755" s="85">
        <v>557.22799999999995</v>
      </c>
      <c r="G755" s="87">
        <v>8160</v>
      </c>
      <c r="H755" s="85">
        <v>557.28800000000001</v>
      </c>
      <c r="I755" s="87">
        <v>8160</v>
      </c>
      <c r="J755" s="85">
        <v>504.89800000000002</v>
      </c>
      <c r="K755" s="87">
        <v>8160</v>
      </c>
      <c r="L755" s="85">
        <v>504.226</v>
      </c>
      <c r="M755" s="87">
        <v>8160</v>
      </c>
      <c r="N755" s="85">
        <v>504.73700000000002</v>
      </c>
      <c r="O755" s="87">
        <v>8140</v>
      </c>
      <c r="P755" s="85">
        <v>505.80900000000003</v>
      </c>
      <c r="Q755" s="87">
        <v>8160</v>
      </c>
      <c r="R755" s="85">
        <v>505.459</v>
      </c>
      <c r="S755" s="87">
        <v>8160</v>
      </c>
      <c r="T755" s="85">
        <v>506.13400000000001</v>
      </c>
      <c r="U755" s="87">
        <v>8150</v>
      </c>
      <c r="V755" s="85">
        <v>505.75799999999998</v>
      </c>
      <c r="W755" s="87">
        <v>8160</v>
      </c>
      <c r="X755" s="85">
        <v>505.19299999999998</v>
      </c>
      <c r="Y755" s="87">
        <v>8160</v>
      </c>
      <c r="Z755" s="85">
        <v>503.57299999999998</v>
      </c>
      <c r="AA755" s="87">
        <v>8160</v>
      </c>
      <c r="AB755" s="85">
        <v>503.87799999999999</v>
      </c>
      <c r="AC755" s="87">
        <v>8150</v>
      </c>
      <c r="AD755" s="85">
        <v>427.84899999999999</v>
      </c>
      <c r="AE755" s="87">
        <v>8160</v>
      </c>
      <c r="AF755" s="85">
        <v>429.46199999999999</v>
      </c>
      <c r="AG755" s="87">
        <v>8140</v>
      </c>
      <c r="AH755" s="85">
        <v>101.91500000000001</v>
      </c>
      <c r="AI755" s="87">
        <v>8140</v>
      </c>
      <c r="AJ755" s="85">
        <v>107.85599999999999</v>
      </c>
    </row>
    <row r="756" spans="1:36" ht="14.25" customHeight="1">
      <c r="A756" s="88">
        <v>8170</v>
      </c>
      <c r="B756" s="84">
        <v>231.06200000000001</v>
      </c>
      <c r="C756" s="88">
        <v>8180</v>
      </c>
      <c r="D756" s="85">
        <v>229.13200000000001</v>
      </c>
      <c r="E756" s="86">
        <v>8170</v>
      </c>
      <c r="F756" s="85">
        <v>555.76900000000001</v>
      </c>
      <c r="G756" s="87">
        <v>8170</v>
      </c>
      <c r="H756" s="85">
        <v>555.82899999999995</v>
      </c>
      <c r="I756" s="87">
        <v>8170</v>
      </c>
      <c r="J756" s="85">
        <v>503.68599999999998</v>
      </c>
      <c r="K756" s="87">
        <v>8170</v>
      </c>
      <c r="L756" s="85">
        <v>503.01299999999998</v>
      </c>
      <c r="M756" s="87">
        <v>8170</v>
      </c>
      <c r="N756" s="85">
        <v>503.52600000000001</v>
      </c>
      <c r="O756" s="87">
        <v>8150</v>
      </c>
      <c r="P756" s="85">
        <v>504.59699999999998</v>
      </c>
      <c r="Q756" s="87">
        <v>8170</v>
      </c>
      <c r="R756" s="85">
        <v>504.24700000000001</v>
      </c>
      <c r="S756" s="87">
        <v>8170</v>
      </c>
      <c r="T756" s="85">
        <v>504.923</v>
      </c>
      <c r="U756" s="87">
        <v>8160</v>
      </c>
      <c r="V756" s="85">
        <v>504.548</v>
      </c>
      <c r="W756" s="87">
        <v>8170</v>
      </c>
      <c r="X756" s="85">
        <v>503.983</v>
      </c>
      <c r="Y756" s="87">
        <v>8170</v>
      </c>
      <c r="Z756" s="85">
        <v>502.363</v>
      </c>
      <c r="AA756" s="87">
        <v>8170</v>
      </c>
      <c r="AB756" s="85">
        <v>502.66899999999998</v>
      </c>
      <c r="AC756" s="87">
        <v>8160</v>
      </c>
      <c r="AD756" s="85">
        <v>426.64400000000001</v>
      </c>
      <c r="AE756" s="87">
        <v>8170</v>
      </c>
      <c r="AF756" s="85">
        <v>428.25799999999998</v>
      </c>
      <c r="AG756" s="87">
        <v>8150</v>
      </c>
      <c r="AH756" s="85">
        <v>101.577</v>
      </c>
      <c r="AI756" s="87">
        <v>8150</v>
      </c>
      <c r="AJ756" s="85">
        <v>107.504</v>
      </c>
    </row>
    <row r="757" spans="1:36" ht="14.25" customHeight="1">
      <c r="A757" s="88">
        <v>8180</v>
      </c>
      <c r="B757" s="84">
        <v>230.34</v>
      </c>
      <c r="C757" s="88">
        <v>8190</v>
      </c>
      <c r="D757" s="85">
        <v>228.41399999999999</v>
      </c>
      <c r="E757" s="86">
        <v>8180</v>
      </c>
      <c r="F757" s="85">
        <v>554.30999999999995</v>
      </c>
      <c r="G757" s="87">
        <v>8180</v>
      </c>
      <c r="H757" s="85">
        <v>554.37</v>
      </c>
      <c r="I757" s="87">
        <v>8180</v>
      </c>
      <c r="J757" s="85">
        <v>502.47500000000002</v>
      </c>
      <c r="K757" s="87">
        <v>8180</v>
      </c>
      <c r="L757" s="85">
        <v>501.80099999999999</v>
      </c>
      <c r="M757" s="87">
        <v>8180</v>
      </c>
      <c r="N757" s="85">
        <v>502.31400000000002</v>
      </c>
      <c r="O757" s="87">
        <v>8160</v>
      </c>
      <c r="P757" s="85">
        <v>503.38499999999999</v>
      </c>
      <c r="Q757" s="87">
        <v>8180</v>
      </c>
      <c r="R757" s="85">
        <v>503.036</v>
      </c>
      <c r="S757" s="87">
        <v>8180</v>
      </c>
      <c r="T757" s="85">
        <v>503.71100000000001</v>
      </c>
      <c r="U757" s="87">
        <v>8170</v>
      </c>
      <c r="V757" s="85">
        <v>503.339</v>
      </c>
      <c r="W757" s="87">
        <v>8180</v>
      </c>
      <c r="X757" s="85">
        <v>502.77199999999999</v>
      </c>
      <c r="Y757" s="87">
        <v>8180</v>
      </c>
      <c r="Z757" s="85">
        <v>501.15199999999999</v>
      </c>
      <c r="AA757" s="87">
        <v>8180</v>
      </c>
      <c r="AB757" s="85">
        <v>501.459</v>
      </c>
      <c r="AC757" s="87">
        <v>8170</v>
      </c>
      <c r="AD757" s="85">
        <v>425.44</v>
      </c>
      <c r="AE757" s="87">
        <v>8180</v>
      </c>
      <c r="AF757" s="85">
        <v>427.05399999999997</v>
      </c>
      <c r="AG757" s="87">
        <v>8160</v>
      </c>
      <c r="AH757" s="85">
        <v>101.24</v>
      </c>
      <c r="AI757" s="87">
        <v>8160</v>
      </c>
      <c r="AJ757" s="85">
        <v>107.152</v>
      </c>
    </row>
    <row r="758" spans="1:36" ht="14.25" customHeight="1">
      <c r="A758" s="88">
        <v>8190</v>
      </c>
      <c r="B758" s="84">
        <v>229.61799999999999</v>
      </c>
      <c r="C758" s="88">
        <v>8200</v>
      </c>
      <c r="D758" s="85">
        <v>227.696</v>
      </c>
      <c r="E758" s="86">
        <v>8190</v>
      </c>
      <c r="F758" s="85">
        <v>552.851</v>
      </c>
      <c r="G758" s="87">
        <v>8190</v>
      </c>
      <c r="H758" s="85">
        <v>552.91099999999994</v>
      </c>
      <c r="I758" s="87">
        <v>8190</v>
      </c>
      <c r="J758" s="85">
        <v>501.26400000000001</v>
      </c>
      <c r="K758" s="87">
        <v>8190</v>
      </c>
      <c r="L758" s="85">
        <v>500.58800000000002</v>
      </c>
      <c r="M758" s="87">
        <v>8190</v>
      </c>
      <c r="N758" s="85">
        <v>501.10300000000001</v>
      </c>
      <c r="O758" s="87">
        <v>8170</v>
      </c>
      <c r="P758" s="85">
        <v>502.17399999999998</v>
      </c>
      <c r="Q758" s="87">
        <v>8190</v>
      </c>
      <c r="R758" s="85">
        <v>501.82400000000001</v>
      </c>
      <c r="S758" s="87">
        <v>8190</v>
      </c>
      <c r="T758" s="85">
        <v>502.5</v>
      </c>
      <c r="U758" s="87">
        <v>8180</v>
      </c>
      <c r="V758" s="85">
        <v>502.12900000000002</v>
      </c>
      <c r="W758" s="87">
        <v>8190</v>
      </c>
      <c r="X758" s="85">
        <v>501.56200000000001</v>
      </c>
      <c r="Y758" s="87">
        <v>8190</v>
      </c>
      <c r="Z758" s="85">
        <v>499.94200000000001</v>
      </c>
      <c r="AA758" s="87">
        <v>8190</v>
      </c>
      <c r="AB758" s="85">
        <v>500.25</v>
      </c>
      <c r="AC758" s="87">
        <v>8180</v>
      </c>
      <c r="AD758" s="85">
        <v>424.23599999999999</v>
      </c>
      <c r="AE758" s="87">
        <v>8190</v>
      </c>
      <c r="AF758" s="85">
        <v>425.85</v>
      </c>
      <c r="AG758" s="87">
        <v>8170</v>
      </c>
      <c r="AH758" s="85">
        <v>100.90300000000001</v>
      </c>
      <c r="AI758" s="87">
        <v>8170</v>
      </c>
      <c r="AJ758" s="85">
        <v>106.801</v>
      </c>
    </row>
    <row r="759" spans="1:36" ht="14.25" customHeight="1">
      <c r="A759" s="88">
        <v>8200</v>
      </c>
      <c r="B759" s="84">
        <v>228.89699999999999</v>
      </c>
      <c r="C759" s="88">
        <v>8210</v>
      </c>
      <c r="D759" s="85">
        <v>226.97800000000001</v>
      </c>
      <c r="E759" s="86">
        <v>8200</v>
      </c>
      <c r="F759" s="85">
        <v>551.39200000000005</v>
      </c>
      <c r="G759" s="87">
        <v>8200</v>
      </c>
      <c r="H759" s="85">
        <v>551.452</v>
      </c>
      <c r="I759" s="87">
        <v>8200</v>
      </c>
      <c r="J759" s="85">
        <v>500.05200000000002</v>
      </c>
      <c r="K759" s="87">
        <v>8200</v>
      </c>
      <c r="L759" s="85">
        <v>499.375</v>
      </c>
      <c r="M759" s="87">
        <v>8200</v>
      </c>
      <c r="N759" s="85">
        <v>499.89100000000002</v>
      </c>
      <c r="O759" s="87">
        <v>8180</v>
      </c>
      <c r="P759" s="85">
        <v>500.96199999999999</v>
      </c>
      <c r="Q759" s="87">
        <v>8200</v>
      </c>
      <c r="R759" s="85">
        <v>500.613</v>
      </c>
      <c r="S759" s="87">
        <v>8200</v>
      </c>
      <c r="T759" s="85">
        <v>501.28800000000001</v>
      </c>
      <c r="U759" s="87">
        <v>8190</v>
      </c>
      <c r="V759" s="85">
        <v>500.91899999999998</v>
      </c>
      <c r="W759" s="87">
        <v>8200</v>
      </c>
      <c r="X759" s="85">
        <v>500.35199999999998</v>
      </c>
      <c r="Y759" s="87">
        <v>8200</v>
      </c>
      <c r="Z759" s="85">
        <v>498.73200000000003</v>
      </c>
      <c r="AA759" s="87">
        <v>8200</v>
      </c>
      <c r="AB759" s="85">
        <v>499.04</v>
      </c>
      <c r="AC759" s="87">
        <v>8190</v>
      </c>
      <c r="AD759" s="85">
        <v>423.03300000000002</v>
      </c>
      <c r="AE759" s="87">
        <v>8200</v>
      </c>
      <c r="AF759" s="85">
        <v>424.64699999999999</v>
      </c>
      <c r="AG759" s="87">
        <v>8180</v>
      </c>
      <c r="AH759" s="85">
        <v>100.56699999999999</v>
      </c>
      <c r="AI759" s="87">
        <v>8180</v>
      </c>
      <c r="AJ759" s="85">
        <v>106.45099999999999</v>
      </c>
    </row>
    <row r="760" spans="1:36" ht="14.25" customHeight="1">
      <c r="A760" s="88">
        <v>8210</v>
      </c>
      <c r="B760" s="84">
        <v>228.17500000000001</v>
      </c>
      <c r="C760" s="88">
        <v>8220</v>
      </c>
      <c r="D760" s="85">
        <v>226.26</v>
      </c>
      <c r="E760" s="86">
        <v>8210</v>
      </c>
      <c r="F760" s="85">
        <v>549.93399999999997</v>
      </c>
      <c r="G760" s="87">
        <v>8210</v>
      </c>
      <c r="H760" s="85">
        <v>549.99300000000005</v>
      </c>
      <c r="I760" s="87">
        <v>8210</v>
      </c>
      <c r="J760" s="85">
        <v>498.84100000000001</v>
      </c>
      <c r="K760" s="87">
        <v>8210</v>
      </c>
      <c r="L760" s="85">
        <v>498.16199999999998</v>
      </c>
      <c r="M760" s="87">
        <v>8210</v>
      </c>
      <c r="N760" s="85">
        <v>498.68</v>
      </c>
      <c r="O760" s="87">
        <v>8190</v>
      </c>
      <c r="P760" s="85">
        <v>499.75</v>
      </c>
      <c r="Q760" s="87">
        <v>8210</v>
      </c>
      <c r="R760" s="85">
        <v>499.40100000000001</v>
      </c>
      <c r="S760" s="87">
        <v>8210</v>
      </c>
      <c r="T760" s="85">
        <v>500.077</v>
      </c>
      <c r="U760" s="87">
        <v>8200</v>
      </c>
      <c r="V760" s="85">
        <v>499.71</v>
      </c>
      <c r="W760" s="87">
        <v>8210</v>
      </c>
      <c r="X760" s="85">
        <v>499.14100000000002</v>
      </c>
      <c r="Y760" s="87">
        <v>8210</v>
      </c>
      <c r="Z760" s="85">
        <v>497.52100000000002</v>
      </c>
      <c r="AA760" s="87">
        <v>8210</v>
      </c>
      <c r="AB760" s="85">
        <v>497.83100000000002</v>
      </c>
      <c r="AC760" s="87">
        <v>8200</v>
      </c>
      <c r="AD760" s="85">
        <v>421.82900000000001</v>
      </c>
      <c r="AE760" s="87">
        <v>8210</v>
      </c>
      <c r="AF760" s="85">
        <v>423.44299999999998</v>
      </c>
      <c r="AG760" s="87">
        <v>8190</v>
      </c>
      <c r="AH760" s="85">
        <v>100.232</v>
      </c>
      <c r="AI760" s="87">
        <v>8190</v>
      </c>
      <c r="AJ760" s="85">
        <v>106.101</v>
      </c>
    </row>
    <row r="761" spans="1:36" ht="14.25" customHeight="1">
      <c r="A761" s="88">
        <v>8220</v>
      </c>
      <c r="B761" s="84">
        <v>227.45400000000001</v>
      </c>
      <c r="C761" s="88">
        <v>8230</v>
      </c>
      <c r="D761" s="85">
        <v>225.54300000000001</v>
      </c>
      <c r="E761" s="86">
        <v>8220</v>
      </c>
      <c r="F761" s="85">
        <v>548.47500000000002</v>
      </c>
      <c r="G761" s="87">
        <v>8220</v>
      </c>
      <c r="H761" s="85">
        <v>548.53499999999997</v>
      </c>
      <c r="I761" s="87">
        <v>8220</v>
      </c>
      <c r="J761" s="85">
        <v>497.63</v>
      </c>
      <c r="K761" s="87">
        <v>8220</v>
      </c>
      <c r="L761" s="85">
        <v>496.94900000000001</v>
      </c>
      <c r="M761" s="87">
        <v>8220</v>
      </c>
      <c r="N761" s="85">
        <v>497.46800000000002</v>
      </c>
      <c r="O761" s="87">
        <v>8200</v>
      </c>
      <c r="P761" s="85">
        <v>498.53899999999999</v>
      </c>
      <c r="Q761" s="87">
        <v>8220</v>
      </c>
      <c r="R761" s="85">
        <v>498.19</v>
      </c>
      <c r="S761" s="87">
        <v>8220</v>
      </c>
      <c r="T761" s="85">
        <v>498.86500000000001</v>
      </c>
      <c r="U761" s="87">
        <v>8210</v>
      </c>
      <c r="V761" s="85">
        <v>498.5</v>
      </c>
      <c r="W761" s="87">
        <v>8220</v>
      </c>
      <c r="X761" s="85">
        <v>497.93099999999998</v>
      </c>
      <c r="Y761" s="87">
        <v>8220</v>
      </c>
      <c r="Z761" s="85">
        <v>496.31099999999998</v>
      </c>
      <c r="AA761" s="87">
        <v>8220</v>
      </c>
      <c r="AB761" s="85">
        <v>496.62099999999998</v>
      </c>
      <c r="AC761" s="87">
        <v>8210</v>
      </c>
      <c r="AD761" s="85">
        <v>420.62599999999998</v>
      </c>
      <c r="AE761" s="87">
        <v>8220</v>
      </c>
      <c r="AF761" s="85">
        <v>422.24</v>
      </c>
      <c r="AG761" s="87">
        <v>8200</v>
      </c>
      <c r="AH761" s="85">
        <v>99.896000000000001</v>
      </c>
      <c r="AI761" s="87">
        <v>8200</v>
      </c>
      <c r="AJ761" s="85">
        <v>105.751</v>
      </c>
    </row>
    <row r="762" spans="1:36" ht="14.25" customHeight="1">
      <c r="A762" s="88">
        <v>8230</v>
      </c>
      <c r="B762" s="84">
        <v>226.733</v>
      </c>
      <c r="C762" s="88">
        <v>8240</v>
      </c>
      <c r="D762" s="85">
        <v>224.82599999999999</v>
      </c>
      <c r="E762" s="86">
        <v>8230</v>
      </c>
      <c r="F762" s="85">
        <v>547.01700000000005</v>
      </c>
      <c r="G762" s="87">
        <v>8230</v>
      </c>
      <c r="H762" s="85">
        <v>547.07600000000002</v>
      </c>
      <c r="I762" s="87">
        <v>8230</v>
      </c>
      <c r="J762" s="85">
        <v>496.41800000000001</v>
      </c>
      <c r="K762" s="87">
        <v>8230</v>
      </c>
      <c r="L762" s="85">
        <v>495.73599999999999</v>
      </c>
      <c r="M762" s="87">
        <v>8230</v>
      </c>
      <c r="N762" s="85">
        <v>496.25700000000001</v>
      </c>
      <c r="O762" s="87">
        <v>8210</v>
      </c>
      <c r="P762" s="85">
        <v>497.327</v>
      </c>
      <c r="Q762" s="87">
        <v>8230</v>
      </c>
      <c r="R762" s="85">
        <v>496.97899999999998</v>
      </c>
      <c r="S762" s="87">
        <v>8230</v>
      </c>
      <c r="T762" s="85">
        <v>497.654</v>
      </c>
      <c r="U762" s="87">
        <v>8220</v>
      </c>
      <c r="V762" s="85">
        <v>497.29</v>
      </c>
      <c r="W762" s="87">
        <v>8230</v>
      </c>
      <c r="X762" s="85">
        <v>496.72</v>
      </c>
      <c r="Y762" s="87">
        <v>8230</v>
      </c>
      <c r="Z762" s="85">
        <v>495.1</v>
      </c>
      <c r="AA762" s="87">
        <v>8230</v>
      </c>
      <c r="AB762" s="85">
        <v>495.41199999999998</v>
      </c>
      <c r="AC762" s="87">
        <v>8220</v>
      </c>
      <c r="AD762" s="85">
        <v>419.42200000000003</v>
      </c>
      <c r="AE762" s="87">
        <v>8230</v>
      </c>
      <c r="AF762" s="85">
        <v>421.03699999999998</v>
      </c>
      <c r="AG762" s="87">
        <v>8210</v>
      </c>
      <c r="AH762" s="85">
        <v>99.561999999999998</v>
      </c>
      <c r="AI762" s="87">
        <v>8210</v>
      </c>
      <c r="AJ762" s="85">
        <v>105.402</v>
      </c>
    </row>
    <row r="763" spans="1:36" ht="14.25" customHeight="1">
      <c r="A763" s="88">
        <v>8240</v>
      </c>
      <c r="B763" s="84">
        <v>226.01300000000001</v>
      </c>
      <c r="C763" s="88">
        <v>8250</v>
      </c>
      <c r="D763" s="85">
        <v>224.10900000000001</v>
      </c>
      <c r="E763" s="86">
        <v>8240</v>
      </c>
      <c r="F763" s="85">
        <v>545.55799999999999</v>
      </c>
      <c r="G763" s="87">
        <v>8240</v>
      </c>
      <c r="H763" s="85">
        <v>545.61800000000005</v>
      </c>
      <c r="I763" s="87">
        <v>8240</v>
      </c>
      <c r="J763" s="85">
        <v>495.20699999999999</v>
      </c>
      <c r="K763" s="87">
        <v>8240</v>
      </c>
      <c r="L763" s="85">
        <v>494.52300000000002</v>
      </c>
      <c r="M763" s="87">
        <v>8240</v>
      </c>
      <c r="N763" s="85">
        <v>495.04500000000002</v>
      </c>
      <c r="O763" s="87">
        <v>8220</v>
      </c>
      <c r="P763" s="85">
        <v>496.11500000000001</v>
      </c>
      <c r="Q763" s="87">
        <v>8240</v>
      </c>
      <c r="R763" s="85">
        <v>495.767</v>
      </c>
      <c r="S763" s="87">
        <v>8240</v>
      </c>
      <c r="T763" s="85">
        <v>496.44200000000001</v>
      </c>
      <c r="U763" s="87">
        <v>8230</v>
      </c>
      <c r="V763" s="85">
        <v>496.08100000000002</v>
      </c>
      <c r="W763" s="87">
        <v>8240</v>
      </c>
      <c r="X763" s="85">
        <v>495.51</v>
      </c>
      <c r="Y763" s="87">
        <v>8240</v>
      </c>
      <c r="Z763" s="85">
        <v>493.89</v>
      </c>
      <c r="AA763" s="87">
        <v>8240</v>
      </c>
      <c r="AB763" s="85">
        <v>494.20299999999997</v>
      </c>
      <c r="AC763" s="87">
        <v>8230</v>
      </c>
      <c r="AD763" s="85">
        <v>418.21899999999999</v>
      </c>
      <c r="AE763" s="87">
        <v>8240</v>
      </c>
      <c r="AF763" s="85">
        <v>419.83499999999998</v>
      </c>
      <c r="AG763" s="87">
        <v>8220</v>
      </c>
      <c r="AH763" s="85">
        <v>99.227999999999994</v>
      </c>
      <c r="AI763" s="87">
        <v>8220</v>
      </c>
      <c r="AJ763" s="85">
        <v>105.054</v>
      </c>
    </row>
    <row r="764" spans="1:36" ht="14.25" customHeight="1">
      <c r="A764" s="88">
        <v>8250</v>
      </c>
      <c r="B764" s="84">
        <v>225.292</v>
      </c>
      <c r="C764" s="88">
        <v>8260</v>
      </c>
      <c r="D764" s="85">
        <v>223.392</v>
      </c>
      <c r="E764" s="86">
        <v>8250</v>
      </c>
      <c r="F764" s="85">
        <v>544.1</v>
      </c>
      <c r="G764" s="87">
        <v>8250</v>
      </c>
      <c r="H764" s="85">
        <v>544.15899999999999</v>
      </c>
      <c r="I764" s="87">
        <v>8250</v>
      </c>
      <c r="J764" s="85">
        <v>493.99599999999998</v>
      </c>
      <c r="K764" s="87">
        <v>8250</v>
      </c>
      <c r="L764" s="85">
        <v>493.31099999999998</v>
      </c>
      <c r="M764" s="87">
        <v>8250</v>
      </c>
      <c r="N764" s="85">
        <v>493.834</v>
      </c>
      <c r="O764" s="87">
        <v>8230</v>
      </c>
      <c r="P764" s="85">
        <v>494.904</v>
      </c>
      <c r="Q764" s="87">
        <v>8250</v>
      </c>
      <c r="R764" s="85">
        <v>494.55599999999998</v>
      </c>
      <c r="S764" s="87">
        <v>8250</v>
      </c>
      <c r="T764" s="85">
        <v>495.23099999999999</v>
      </c>
      <c r="U764" s="87">
        <v>8240</v>
      </c>
      <c r="V764" s="85">
        <v>494.87099999999998</v>
      </c>
      <c r="W764" s="87">
        <v>8250</v>
      </c>
      <c r="X764" s="85">
        <v>494.29899999999998</v>
      </c>
      <c r="Y764" s="87">
        <v>8250</v>
      </c>
      <c r="Z764" s="85">
        <v>492.68</v>
      </c>
      <c r="AA764" s="87">
        <v>8250</v>
      </c>
      <c r="AB764" s="85">
        <v>492.99299999999999</v>
      </c>
      <c r="AC764" s="87">
        <v>8240</v>
      </c>
      <c r="AD764" s="85">
        <v>417.017</v>
      </c>
      <c r="AE764" s="87">
        <v>8250</v>
      </c>
      <c r="AF764" s="85">
        <v>418.63200000000001</v>
      </c>
      <c r="AG764" s="87">
        <v>8230</v>
      </c>
      <c r="AH764" s="85">
        <v>98.894000000000005</v>
      </c>
      <c r="AI764" s="87">
        <v>8230</v>
      </c>
      <c r="AJ764" s="85">
        <v>104.706</v>
      </c>
    </row>
    <row r="765" spans="1:36" ht="14.25" customHeight="1">
      <c r="A765" s="88">
        <v>8260</v>
      </c>
      <c r="B765" s="84">
        <v>224.572</v>
      </c>
      <c r="C765" s="88">
        <v>8270</v>
      </c>
      <c r="D765" s="85">
        <v>222.67500000000001</v>
      </c>
      <c r="E765" s="86">
        <v>8260</v>
      </c>
      <c r="F765" s="85">
        <v>542.64200000000005</v>
      </c>
      <c r="G765" s="87">
        <v>8260</v>
      </c>
      <c r="H765" s="85">
        <v>542.70100000000002</v>
      </c>
      <c r="I765" s="87">
        <v>8260</v>
      </c>
      <c r="J765" s="85">
        <v>492.78399999999999</v>
      </c>
      <c r="K765" s="87">
        <v>8260</v>
      </c>
      <c r="L765" s="85">
        <v>492.09800000000001</v>
      </c>
      <c r="M765" s="87">
        <v>8260</v>
      </c>
      <c r="N765" s="85">
        <v>492.62299999999999</v>
      </c>
      <c r="O765" s="87">
        <v>8240</v>
      </c>
      <c r="P765" s="85">
        <v>493.69200000000001</v>
      </c>
      <c r="Q765" s="87">
        <v>8260</v>
      </c>
      <c r="R765" s="85">
        <v>493.34399999999999</v>
      </c>
      <c r="S765" s="87">
        <v>8260</v>
      </c>
      <c r="T765" s="85">
        <v>494.01900000000001</v>
      </c>
      <c r="U765" s="87">
        <v>8250</v>
      </c>
      <c r="V765" s="85">
        <v>493.66199999999998</v>
      </c>
      <c r="W765" s="87">
        <v>8260</v>
      </c>
      <c r="X765" s="85">
        <v>493.089</v>
      </c>
      <c r="Y765" s="87">
        <v>8260</v>
      </c>
      <c r="Z765" s="85">
        <v>491.46899999999999</v>
      </c>
      <c r="AA765" s="87">
        <v>8260</v>
      </c>
      <c r="AB765" s="85">
        <v>491.78399999999999</v>
      </c>
      <c r="AC765" s="87">
        <v>8250</v>
      </c>
      <c r="AD765" s="85">
        <v>415.81400000000002</v>
      </c>
      <c r="AE765" s="87">
        <v>8260</v>
      </c>
      <c r="AF765" s="85">
        <v>417.43</v>
      </c>
      <c r="AG765" s="87">
        <v>8240</v>
      </c>
      <c r="AH765" s="85">
        <v>98.561000000000007</v>
      </c>
      <c r="AI765" s="87">
        <v>8240</v>
      </c>
      <c r="AJ765" s="85">
        <v>104.358</v>
      </c>
    </row>
    <row r="766" spans="1:36" ht="14.25" customHeight="1">
      <c r="A766" s="88">
        <v>8270</v>
      </c>
      <c r="B766" s="84">
        <v>223.852</v>
      </c>
      <c r="C766" s="88">
        <v>8280</v>
      </c>
      <c r="D766" s="85">
        <v>221.959</v>
      </c>
      <c r="E766" s="86">
        <v>8270</v>
      </c>
      <c r="F766" s="85">
        <v>541.18399999999997</v>
      </c>
      <c r="G766" s="87">
        <v>8270</v>
      </c>
      <c r="H766" s="85">
        <v>541.24300000000005</v>
      </c>
      <c r="I766" s="87">
        <v>8270</v>
      </c>
      <c r="J766" s="85">
        <v>491.57299999999998</v>
      </c>
      <c r="K766" s="87">
        <v>8270</v>
      </c>
      <c r="L766" s="85">
        <v>490.88499999999999</v>
      </c>
      <c r="M766" s="87">
        <v>8270</v>
      </c>
      <c r="N766" s="85">
        <v>491.411</v>
      </c>
      <c r="O766" s="87">
        <v>8250</v>
      </c>
      <c r="P766" s="85">
        <v>492.48</v>
      </c>
      <c r="Q766" s="87">
        <v>8270</v>
      </c>
      <c r="R766" s="85">
        <v>492.13299999999998</v>
      </c>
      <c r="S766" s="87">
        <v>8270</v>
      </c>
      <c r="T766" s="85">
        <v>492.80799999999999</v>
      </c>
      <c r="U766" s="87">
        <v>8260</v>
      </c>
      <c r="V766" s="85">
        <v>492.452</v>
      </c>
      <c r="W766" s="87">
        <v>8270</v>
      </c>
      <c r="X766" s="85">
        <v>491.87900000000002</v>
      </c>
      <c r="Y766" s="87">
        <v>8270</v>
      </c>
      <c r="Z766" s="85">
        <v>490.25900000000001</v>
      </c>
      <c r="AA766" s="87">
        <v>8270</v>
      </c>
      <c r="AB766" s="85">
        <v>490.57400000000001</v>
      </c>
      <c r="AC766" s="87">
        <v>8260</v>
      </c>
      <c r="AD766" s="85">
        <v>414.61200000000002</v>
      </c>
      <c r="AE766" s="87">
        <v>8270</v>
      </c>
      <c r="AF766" s="85">
        <v>416.22800000000001</v>
      </c>
      <c r="AG766" s="87">
        <v>8250</v>
      </c>
      <c r="AH766" s="85">
        <v>98.228999999999999</v>
      </c>
      <c r="AI766" s="87">
        <v>8250</v>
      </c>
      <c r="AJ766" s="85">
        <v>104.011</v>
      </c>
    </row>
    <row r="767" spans="1:36" ht="14.25" customHeight="1">
      <c r="A767" s="88">
        <v>8280</v>
      </c>
      <c r="B767" s="84">
        <v>223.13200000000001</v>
      </c>
      <c r="C767" s="88">
        <v>8290</v>
      </c>
      <c r="D767" s="85">
        <v>221.24299999999999</v>
      </c>
      <c r="E767" s="86">
        <v>8280</v>
      </c>
      <c r="F767" s="85">
        <v>539.726</v>
      </c>
      <c r="G767" s="87">
        <v>8280</v>
      </c>
      <c r="H767" s="85">
        <v>539.78499999999997</v>
      </c>
      <c r="I767" s="87">
        <v>8280</v>
      </c>
      <c r="J767" s="85">
        <v>490.36200000000002</v>
      </c>
      <c r="K767" s="87">
        <v>8280</v>
      </c>
      <c r="L767" s="85">
        <v>489.67200000000003</v>
      </c>
      <c r="M767" s="87">
        <v>8280</v>
      </c>
      <c r="N767" s="85">
        <v>490.2</v>
      </c>
      <c r="O767" s="87">
        <v>8260</v>
      </c>
      <c r="P767" s="85">
        <v>491.26900000000001</v>
      </c>
      <c r="Q767" s="87">
        <v>8280</v>
      </c>
      <c r="R767" s="85">
        <v>490.92099999999999</v>
      </c>
      <c r="S767" s="87">
        <v>8280</v>
      </c>
      <c r="T767" s="85">
        <v>491.596</v>
      </c>
      <c r="U767" s="87">
        <v>8270</v>
      </c>
      <c r="V767" s="85">
        <v>491.24200000000002</v>
      </c>
      <c r="W767" s="87">
        <v>8280</v>
      </c>
      <c r="X767" s="85">
        <v>490.66800000000001</v>
      </c>
      <c r="Y767" s="87">
        <v>8280</v>
      </c>
      <c r="Z767" s="85">
        <v>489.04899999999998</v>
      </c>
      <c r="AA767" s="87">
        <v>8280</v>
      </c>
      <c r="AB767" s="85">
        <v>489.36500000000001</v>
      </c>
      <c r="AC767" s="87">
        <v>8270</v>
      </c>
      <c r="AD767" s="85">
        <v>413.41</v>
      </c>
      <c r="AE767" s="87">
        <v>8280</v>
      </c>
      <c r="AF767" s="85">
        <v>415.02600000000001</v>
      </c>
      <c r="AG767" s="87">
        <v>8260</v>
      </c>
      <c r="AH767" s="85">
        <v>97.897000000000006</v>
      </c>
      <c r="AI767" s="87">
        <v>8260</v>
      </c>
      <c r="AJ767" s="85">
        <v>103.66500000000001</v>
      </c>
    </row>
    <row r="768" spans="1:36" ht="14.25" customHeight="1">
      <c r="A768" s="88">
        <v>8290</v>
      </c>
      <c r="B768" s="84">
        <v>222.41300000000001</v>
      </c>
      <c r="C768" s="88">
        <v>8300</v>
      </c>
      <c r="D768" s="85">
        <v>220.52699999999999</v>
      </c>
      <c r="E768" s="86">
        <v>8290</v>
      </c>
      <c r="F768" s="85">
        <v>538.26800000000003</v>
      </c>
      <c r="G768" s="87">
        <v>8290</v>
      </c>
      <c r="H768" s="85">
        <v>538.327</v>
      </c>
      <c r="I768" s="87">
        <v>8290</v>
      </c>
      <c r="J768" s="85">
        <v>489.15</v>
      </c>
      <c r="K768" s="87">
        <v>8290</v>
      </c>
      <c r="L768" s="85">
        <v>488.459</v>
      </c>
      <c r="M768" s="87">
        <v>8290</v>
      </c>
      <c r="N768" s="85">
        <v>488.98899999999998</v>
      </c>
      <c r="O768" s="87">
        <v>8270</v>
      </c>
      <c r="P768" s="85">
        <v>490.05700000000002</v>
      </c>
      <c r="Q768" s="87">
        <v>8290</v>
      </c>
      <c r="R768" s="85">
        <v>489.71</v>
      </c>
      <c r="S768" s="87">
        <v>8290</v>
      </c>
      <c r="T768" s="85">
        <v>490.38499999999999</v>
      </c>
      <c r="U768" s="87">
        <v>8280</v>
      </c>
      <c r="V768" s="85">
        <v>490.03300000000002</v>
      </c>
      <c r="W768" s="87">
        <v>8290</v>
      </c>
      <c r="X768" s="85">
        <v>489.45800000000003</v>
      </c>
      <c r="Y768" s="87">
        <v>8290</v>
      </c>
      <c r="Z768" s="85">
        <v>487.83800000000002</v>
      </c>
      <c r="AA768" s="87">
        <v>8290</v>
      </c>
      <c r="AB768" s="85">
        <v>488.15499999999997</v>
      </c>
      <c r="AC768" s="87">
        <v>8280</v>
      </c>
      <c r="AD768" s="85">
        <v>412.20800000000003</v>
      </c>
      <c r="AE768" s="87">
        <v>8290</v>
      </c>
      <c r="AF768" s="85">
        <v>413.82499999999999</v>
      </c>
      <c r="AG768" s="87">
        <v>8270</v>
      </c>
      <c r="AH768" s="85">
        <v>97.564999999999998</v>
      </c>
      <c r="AI768" s="87">
        <v>8270</v>
      </c>
      <c r="AJ768" s="85">
        <v>103.319</v>
      </c>
    </row>
    <row r="769" spans="1:36" ht="14.25" customHeight="1">
      <c r="A769" s="88">
        <v>8300</v>
      </c>
      <c r="B769" s="84">
        <v>221.69300000000001</v>
      </c>
      <c r="C769" s="88">
        <v>8310</v>
      </c>
      <c r="D769" s="85">
        <v>219.81100000000001</v>
      </c>
      <c r="E769" s="86">
        <v>8300</v>
      </c>
      <c r="F769" s="85">
        <v>536.81100000000004</v>
      </c>
      <c r="G769" s="87">
        <v>8300</v>
      </c>
      <c r="H769" s="85">
        <v>536.86900000000003</v>
      </c>
      <c r="I769" s="87">
        <v>8300</v>
      </c>
      <c r="J769" s="85">
        <v>487.93900000000002</v>
      </c>
      <c r="K769" s="87">
        <v>8300</v>
      </c>
      <c r="L769" s="85">
        <v>487.24599999999998</v>
      </c>
      <c r="M769" s="87">
        <v>8300</v>
      </c>
      <c r="N769" s="85">
        <v>487.77699999999999</v>
      </c>
      <c r="O769" s="87">
        <v>8280</v>
      </c>
      <c r="P769" s="85">
        <v>488.84500000000003</v>
      </c>
      <c r="Q769" s="87">
        <v>8300</v>
      </c>
      <c r="R769" s="85">
        <v>488.49900000000002</v>
      </c>
      <c r="S769" s="87">
        <v>8300</v>
      </c>
      <c r="T769" s="85">
        <v>489.173</v>
      </c>
      <c r="U769" s="87">
        <v>8290</v>
      </c>
      <c r="V769" s="85">
        <v>488.82299999999998</v>
      </c>
      <c r="W769" s="87">
        <v>8300</v>
      </c>
      <c r="X769" s="85">
        <v>488.24700000000001</v>
      </c>
      <c r="Y769" s="87">
        <v>8300</v>
      </c>
      <c r="Z769" s="85">
        <v>486.62799999999999</v>
      </c>
      <c r="AA769" s="87">
        <v>8300</v>
      </c>
      <c r="AB769" s="85">
        <v>486.94600000000003</v>
      </c>
      <c r="AC769" s="87">
        <v>8290</v>
      </c>
      <c r="AD769" s="85">
        <v>411.00700000000001</v>
      </c>
      <c r="AE769" s="87">
        <v>8300</v>
      </c>
      <c r="AF769" s="85">
        <v>412.62400000000002</v>
      </c>
      <c r="AG769" s="87">
        <v>8280</v>
      </c>
      <c r="AH769" s="85">
        <v>97.233999999999995</v>
      </c>
      <c r="AI769" s="87">
        <v>8280</v>
      </c>
      <c r="AJ769" s="85">
        <v>102.974</v>
      </c>
    </row>
    <row r="770" spans="1:36" ht="14.25" customHeight="1">
      <c r="A770" s="88">
        <v>8310</v>
      </c>
      <c r="B770" s="84">
        <v>220.97399999999999</v>
      </c>
      <c r="C770" s="88">
        <v>8320</v>
      </c>
      <c r="D770" s="85">
        <v>219.096</v>
      </c>
      <c r="E770" s="86">
        <v>8310</v>
      </c>
      <c r="F770" s="85">
        <v>535.35299999999995</v>
      </c>
      <c r="G770" s="87">
        <v>8310</v>
      </c>
      <c r="H770" s="85">
        <v>535.41099999999994</v>
      </c>
      <c r="I770" s="87">
        <v>8310</v>
      </c>
      <c r="J770" s="85">
        <v>486.72800000000001</v>
      </c>
      <c r="K770" s="87">
        <v>8310</v>
      </c>
      <c r="L770" s="85">
        <v>486.03300000000002</v>
      </c>
      <c r="M770" s="87">
        <v>8310</v>
      </c>
      <c r="N770" s="85">
        <v>486.56599999999997</v>
      </c>
      <c r="O770" s="87">
        <v>8290</v>
      </c>
      <c r="P770" s="85">
        <v>487.63400000000001</v>
      </c>
      <c r="Q770" s="87">
        <v>8310</v>
      </c>
      <c r="R770" s="85">
        <v>487.28699999999998</v>
      </c>
      <c r="S770" s="87">
        <v>8310</v>
      </c>
      <c r="T770" s="85">
        <v>487.96199999999999</v>
      </c>
      <c r="U770" s="87">
        <v>8300</v>
      </c>
      <c r="V770" s="85">
        <v>487.613</v>
      </c>
      <c r="W770" s="87">
        <v>8310</v>
      </c>
      <c r="X770" s="85">
        <v>487.03699999999998</v>
      </c>
      <c r="Y770" s="87">
        <v>8310</v>
      </c>
      <c r="Z770" s="85">
        <v>485.41800000000001</v>
      </c>
      <c r="AA770" s="87">
        <v>8310</v>
      </c>
      <c r="AB770" s="85">
        <v>485.73700000000002</v>
      </c>
      <c r="AC770" s="87">
        <v>8300</v>
      </c>
      <c r="AD770" s="85">
        <v>409.80500000000001</v>
      </c>
      <c r="AE770" s="87">
        <v>8310</v>
      </c>
      <c r="AF770" s="85">
        <v>411.423</v>
      </c>
      <c r="AG770" s="87">
        <v>8290</v>
      </c>
      <c r="AH770" s="85">
        <v>96.903999999999996</v>
      </c>
      <c r="AI770" s="87">
        <v>8290</v>
      </c>
      <c r="AJ770" s="85">
        <v>102.629</v>
      </c>
    </row>
    <row r="771" spans="1:36" ht="14.25" customHeight="1">
      <c r="A771" s="88">
        <v>8320</v>
      </c>
      <c r="B771" s="84">
        <v>220.255</v>
      </c>
      <c r="C771" s="88">
        <v>8330</v>
      </c>
      <c r="D771" s="85">
        <v>218.38</v>
      </c>
      <c r="E771" s="86">
        <v>8320</v>
      </c>
      <c r="F771" s="85">
        <v>533.89499999999998</v>
      </c>
      <c r="G771" s="87">
        <v>8320</v>
      </c>
      <c r="H771" s="85">
        <v>533.95399999999995</v>
      </c>
      <c r="I771" s="87">
        <v>8320</v>
      </c>
      <c r="J771" s="85">
        <v>485.517</v>
      </c>
      <c r="K771" s="87">
        <v>8320</v>
      </c>
      <c r="L771" s="85">
        <v>484.82</v>
      </c>
      <c r="M771" s="87">
        <v>8320</v>
      </c>
      <c r="N771" s="85">
        <v>485.35399999999998</v>
      </c>
      <c r="O771" s="87">
        <v>8300</v>
      </c>
      <c r="P771" s="85">
        <v>486.42200000000003</v>
      </c>
      <c r="Q771" s="87">
        <v>8320</v>
      </c>
      <c r="R771" s="85">
        <v>486.07600000000002</v>
      </c>
      <c r="S771" s="87">
        <v>8320</v>
      </c>
      <c r="T771" s="85">
        <v>486.75</v>
      </c>
      <c r="U771" s="87">
        <v>8310</v>
      </c>
      <c r="V771" s="85">
        <v>486.404</v>
      </c>
      <c r="W771" s="87">
        <v>8320</v>
      </c>
      <c r="X771" s="85">
        <v>485.827</v>
      </c>
      <c r="Y771" s="87">
        <v>8320</v>
      </c>
      <c r="Z771" s="85">
        <v>484.20699999999999</v>
      </c>
      <c r="AA771" s="87">
        <v>8320</v>
      </c>
      <c r="AB771" s="85">
        <v>484.52699999999999</v>
      </c>
      <c r="AC771" s="87">
        <v>8310</v>
      </c>
      <c r="AD771" s="85">
        <v>408.60399999999998</v>
      </c>
      <c r="AE771" s="87">
        <v>8320</v>
      </c>
      <c r="AF771" s="85">
        <v>410.22199999999998</v>
      </c>
      <c r="AG771" s="87">
        <v>8300</v>
      </c>
      <c r="AH771" s="85">
        <v>96.573999999999998</v>
      </c>
      <c r="AI771" s="87">
        <v>8300</v>
      </c>
      <c r="AJ771" s="85">
        <v>102.285</v>
      </c>
    </row>
    <row r="772" spans="1:36" ht="14.25" customHeight="1">
      <c r="A772" s="88">
        <v>8330</v>
      </c>
      <c r="B772" s="84">
        <v>219.536</v>
      </c>
      <c r="C772" s="88">
        <v>8340</v>
      </c>
      <c r="D772" s="85">
        <v>217.66499999999999</v>
      </c>
      <c r="E772" s="86">
        <v>8330</v>
      </c>
      <c r="F772" s="85">
        <v>532.43799999999999</v>
      </c>
      <c r="G772" s="87">
        <v>8330</v>
      </c>
      <c r="H772" s="85">
        <v>532.49599999999998</v>
      </c>
      <c r="I772" s="87">
        <v>8330</v>
      </c>
      <c r="J772" s="85">
        <v>484.30500000000001</v>
      </c>
      <c r="K772" s="87">
        <v>8330</v>
      </c>
      <c r="L772" s="85">
        <v>483.608</v>
      </c>
      <c r="M772" s="87">
        <v>8330</v>
      </c>
      <c r="N772" s="85">
        <v>484.14299999999997</v>
      </c>
      <c r="O772" s="87">
        <v>8310</v>
      </c>
      <c r="P772" s="85">
        <v>485.21</v>
      </c>
      <c r="Q772" s="87">
        <v>8330</v>
      </c>
      <c r="R772" s="85">
        <v>484.86399999999998</v>
      </c>
      <c r="S772" s="87">
        <v>8330</v>
      </c>
      <c r="T772" s="85">
        <v>485.53899999999999</v>
      </c>
      <c r="U772" s="87">
        <v>8320</v>
      </c>
      <c r="V772" s="85">
        <v>485.19400000000002</v>
      </c>
      <c r="W772" s="87">
        <v>8330</v>
      </c>
      <c r="X772" s="85">
        <v>484.61599999999999</v>
      </c>
      <c r="Y772" s="87">
        <v>8330</v>
      </c>
      <c r="Z772" s="85">
        <v>482.99700000000001</v>
      </c>
      <c r="AA772" s="87">
        <v>8330</v>
      </c>
      <c r="AB772" s="85">
        <v>483.31799999999998</v>
      </c>
      <c r="AC772" s="87">
        <v>8320</v>
      </c>
      <c r="AD772" s="85">
        <v>407.404</v>
      </c>
      <c r="AE772" s="87">
        <v>8330</v>
      </c>
      <c r="AF772" s="85">
        <v>409.02100000000002</v>
      </c>
      <c r="AG772" s="87">
        <v>8310</v>
      </c>
      <c r="AH772" s="85">
        <v>96.245000000000005</v>
      </c>
      <c r="AI772" s="87">
        <v>8310</v>
      </c>
      <c r="AJ772" s="85">
        <v>101.941</v>
      </c>
    </row>
    <row r="773" spans="1:36" ht="14.25" customHeight="1">
      <c r="A773" s="88">
        <v>8340</v>
      </c>
      <c r="B773" s="84">
        <v>218.81800000000001</v>
      </c>
      <c r="C773" s="88">
        <v>8350</v>
      </c>
      <c r="D773" s="85">
        <v>216.95</v>
      </c>
      <c r="E773" s="86">
        <v>8340</v>
      </c>
      <c r="F773" s="85">
        <v>530.98099999999999</v>
      </c>
      <c r="G773" s="87">
        <v>8340</v>
      </c>
      <c r="H773" s="85">
        <v>531.03800000000001</v>
      </c>
      <c r="I773" s="87">
        <v>8340</v>
      </c>
      <c r="J773" s="85">
        <v>483.09399999999999</v>
      </c>
      <c r="K773" s="87">
        <v>8340</v>
      </c>
      <c r="L773" s="85">
        <v>482.39499999999998</v>
      </c>
      <c r="M773" s="87">
        <v>8340</v>
      </c>
      <c r="N773" s="85">
        <v>482.93099999999998</v>
      </c>
      <c r="O773" s="87">
        <v>8320</v>
      </c>
      <c r="P773" s="85">
        <v>483.99900000000002</v>
      </c>
      <c r="Q773" s="87">
        <v>8340</v>
      </c>
      <c r="R773" s="85">
        <v>483.65300000000002</v>
      </c>
      <c r="S773" s="87">
        <v>8340</v>
      </c>
      <c r="T773" s="85">
        <v>484.327</v>
      </c>
      <c r="U773" s="87">
        <v>8330</v>
      </c>
      <c r="V773" s="85">
        <v>483.98500000000001</v>
      </c>
      <c r="W773" s="87">
        <v>8340</v>
      </c>
      <c r="X773" s="85">
        <v>483.40600000000001</v>
      </c>
      <c r="Y773" s="87">
        <v>8340</v>
      </c>
      <c r="Z773" s="85">
        <v>481.78699999999998</v>
      </c>
      <c r="AA773" s="87">
        <v>8340</v>
      </c>
      <c r="AB773" s="85">
        <v>482.108</v>
      </c>
      <c r="AC773" s="87">
        <v>8330</v>
      </c>
      <c r="AD773" s="85">
        <v>406.20299999999997</v>
      </c>
      <c r="AE773" s="87">
        <v>8340</v>
      </c>
      <c r="AF773" s="85">
        <v>407.82100000000003</v>
      </c>
      <c r="AG773" s="87">
        <v>8320</v>
      </c>
      <c r="AH773" s="85">
        <v>95.915999999999997</v>
      </c>
      <c r="AI773" s="87">
        <v>8320</v>
      </c>
      <c r="AJ773" s="85">
        <v>101.598</v>
      </c>
    </row>
    <row r="774" spans="1:36" ht="14.25" customHeight="1">
      <c r="A774" s="88">
        <v>8350</v>
      </c>
      <c r="B774" s="84">
        <v>218.1</v>
      </c>
      <c r="C774" s="88">
        <v>8360</v>
      </c>
      <c r="D774" s="85">
        <v>216.23599999999999</v>
      </c>
      <c r="E774" s="86">
        <v>8350</v>
      </c>
      <c r="F774" s="85">
        <v>529.524</v>
      </c>
      <c r="G774" s="87">
        <v>8350</v>
      </c>
      <c r="H774" s="85">
        <v>529.58100000000002</v>
      </c>
      <c r="I774" s="87">
        <v>8350</v>
      </c>
      <c r="J774" s="85">
        <v>481.88299999999998</v>
      </c>
      <c r="K774" s="87">
        <v>8350</v>
      </c>
      <c r="L774" s="85">
        <v>481.18200000000002</v>
      </c>
      <c r="M774" s="87">
        <v>8350</v>
      </c>
      <c r="N774" s="85">
        <v>481.72</v>
      </c>
      <c r="O774" s="87">
        <v>8330</v>
      </c>
      <c r="P774" s="85">
        <v>482.78699999999998</v>
      </c>
      <c r="Q774" s="87">
        <v>8350</v>
      </c>
      <c r="R774" s="85">
        <v>482.44099999999997</v>
      </c>
      <c r="S774" s="87">
        <v>8350</v>
      </c>
      <c r="T774" s="85">
        <v>483.11599999999999</v>
      </c>
      <c r="U774" s="87">
        <v>8340</v>
      </c>
      <c r="V774" s="85">
        <v>482.77499999999998</v>
      </c>
      <c r="W774" s="87">
        <v>8350</v>
      </c>
      <c r="X774" s="85">
        <v>482.19499999999999</v>
      </c>
      <c r="Y774" s="87">
        <v>8350</v>
      </c>
      <c r="Z774" s="85">
        <v>480.57600000000002</v>
      </c>
      <c r="AA774" s="87">
        <v>8350</v>
      </c>
      <c r="AB774" s="85">
        <v>480.899</v>
      </c>
      <c r="AC774" s="87">
        <v>8340</v>
      </c>
      <c r="AD774" s="85">
        <v>405.00299999999999</v>
      </c>
      <c r="AE774" s="87">
        <v>8350</v>
      </c>
      <c r="AF774" s="85">
        <v>406.62099999999998</v>
      </c>
      <c r="AG774" s="87">
        <v>8330</v>
      </c>
      <c r="AH774" s="85">
        <v>95.587999999999994</v>
      </c>
      <c r="AI774" s="87">
        <v>8330</v>
      </c>
      <c r="AJ774" s="85">
        <v>101.255</v>
      </c>
    </row>
    <row r="775" spans="1:36" ht="14.25" customHeight="1">
      <c r="A775" s="88">
        <v>8360</v>
      </c>
      <c r="B775" s="84">
        <v>217.38200000000001</v>
      </c>
      <c r="C775" s="88">
        <v>8370</v>
      </c>
      <c r="D775" s="85">
        <v>215.52099999999999</v>
      </c>
      <c r="E775" s="86">
        <v>8360</v>
      </c>
      <c r="F775" s="85">
        <v>528.06600000000003</v>
      </c>
      <c r="G775" s="87">
        <v>8360</v>
      </c>
      <c r="H775" s="85">
        <v>528.12400000000002</v>
      </c>
      <c r="I775" s="87">
        <v>8360</v>
      </c>
      <c r="J775" s="85">
        <v>480.67200000000003</v>
      </c>
      <c r="K775" s="87">
        <v>8360</v>
      </c>
      <c r="L775" s="85">
        <v>479.96899999999999</v>
      </c>
      <c r="M775" s="87">
        <v>8360</v>
      </c>
      <c r="N775" s="85">
        <v>480.50900000000001</v>
      </c>
      <c r="O775" s="87">
        <v>8340</v>
      </c>
      <c r="P775" s="85">
        <v>481.57499999999999</v>
      </c>
      <c r="Q775" s="87">
        <v>8360</v>
      </c>
      <c r="R775" s="85">
        <v>481.23</v>
      </c>
      <c r="S775" s="87">
        <v>8360</v>
      </c>
      <c r="T775" s="85">
        <v>481.904</v>
      </c>
      <c r="U775" s="87">
        <v>8350</v>
      </c>
      <c r="V775" s="85">
        <v>481.565</v>
      </c>
      <c r="W775" s="87">
        <v>8360</v>
      </c>
      <c r="X775" s="85">
        <v>480.98500000000001</v>
      </c>
      <c r="Y775" s="87">
        <v>8360</v>
      </c>
      <c r="Z775" s="85">
        <v>479.36599999999999</v>
      </c>
      <c r="AA775" s="87">
        <v>8360</v>
      </c>
      <c r="AB775" s="85">
        <v>479.68900000000002</v>
      </c>
      <c r="AC775" s="87">
        <v>8350</v>
      </c>
      <c r="AD775" s="85">
        <v>403.803</v>
      </c>
      <c r="AE775" s="87">
        <v>8360</v>
      </c>
      <c r="AF775" s="85">
        <v>405.42200000000003</v>
      </c>
      <c r="AG775" s="87">
        <v>8340</v>
      </c>
      <c r="AH775" s="85">
        <v>95.26</v>
      </c>
      <c r="AI775" s="87">
        <v>8340</v>
      </c>
      <c r="AJ775" s="85">
        <v>100.913</v>
      </c>
    </row>
    <row r="776" spans="1:36" ht="14.25" customHeight="1">
      <c r="A776" s="88">
        <v>8370</v>
      </c>
      <c r="B776" s="84">
        <v>216.66399999999999</v>
      </c>
      <c r="C776" s="88">
        <v>8380</v>
      </c>
      <c r="D776" s="85">
        <v>214.80699999999999</v>
      </c>
      <c r="E776" s="86">
        <v>8370</v>
      </c>
      <c r="F776" s="85">
        <v>526.60900000000004</v>
      </c>
      <c r="G776" s="87">
        <v>8370</v>
      </c>
      <c r="H776" s="85">
        <v>526.66700000000003</v>
      </c>
      <c r="I776" s="87">
        <v>8370</v>
      </c>
      <c r="J776" s="85">
        <v>479.46</v>
      </c>
      <c r="K776" s="87">
        <v>8370</v>
      </c>
      <c r="L776" s="85">
        <v>478.75599999999997</v>
      </c>
      <c r="M776" s="87">
        <v>8370</v>
      </c>
      <c r="N776" s="93">
        <v>479.29700000000003</v>
      </c>
      <c r="O776" s="87">
        <v>8350</v>
      </c>
      <c r="P776" s="85">
        <v>480.36399999999998</v>
      </c>
      <c r="Q776" s="87">
        <v>8370</v>
      </c>
      <c r="R776" s="85">
        <v>480.01799999999997</v>
      </c>
      <c r="S776" s="87">
        <v>8370</v>
      </c>
      <c r="T776" s="85">
        <v>480.69299999999998</v>
      </c>
      <c r="U776" s="87">
        <v>8360</v>
      </c>
      <c r="V776" s="85">
        <v>480.35599999999999</v>
      </c>
      <c r="W776" s="87">
        <v>8370</v>
      </c>
      <c r="X776" s="85">
        <v>479.774</v>
      </c>
      <c r="Y776" s="87">
        <v>8370</v>
      </c>
      <c r="Z776" s="85">
        <v>478.15499999999997</v>
      </c>
      <c r="AA776" s="87">
        <v>8370</v>
      </c>
      <c r="AB776" s="85">
        <v>478.48</v>
      </c>
      <c r="AC776" s="87">
        <v>8360</v>
      </c>
      <c r="AD776" s="85">
        <v>402.60399999999998</v>
      </c>
      <c r="AE776" s="87">
        <v>8370</v>
      </c>
      <c r="AF776" s="85">
        <v>404.22199999999998</v>
      </c>
      <c r="AG776" s="87">
        <v>8350</v>
      </c>
      <c r="AH776" s="85">
        <v>94.933000000000007</v>
      </c>
      <c r="AI776" s="87">
        <v>8350</v>
      </c>
      <c r="AJ776" s="85">
        <v>100.571</v>
      </c>
    </row>
    <row r="777" spans="1:36" ht="14.25" customHeight="1">
      <c r="A777" s="88">
        <v>8380</v>
      </c>
      <c r="B777" s="84">
        <v>215.946</v>
      </c>
      <c r="C777" s="88">
        <v>8390</v>
      </c>
      <c r="D777" s="85">
        <v>214.09299999999999</v>
      </c>
      <c r="E777" s="86">
        <v>8380</v>
      </c>
      <c r="F777" s="85">
        <v>525.15300000000002</v>
      </c>
      <c r="G777" s="87">
        <v>8380</v>
      </c>
      <c r="H777" s="85">
        <v>525.20899999999995</v>
      </c>
      <c r="I777" s="87">
        <v>8380</v>
      </c>
      <c r="J777" s="85">
        <v>478.24900000000002</v>
      </c>
      <c r="K777" s="87">
        <v>8380</v>
      </c>
      <c r="L777" s="85">
        <v>477.54300000000001</v>
      </c>
      <c r="M777" s="87">
        <v>8380</v>
      </c>
      <c r="N777" s="85">
        <v>478.08600000000001</v>
      </c>
      <c r="O777" s="87">
        <v>8360</v>
      </c>
      <c r="P777" s="85">
        <v>479.15199999999999</v>
      </c>
      <c r="Q777" s="87">
        <v>8380</v>
      </c>
      <c r="R777" s="85">
        <v>478.80700000000002</v>
      </c>
      <c r="S777" s="87">
        <v>8380</v>
      </c>
      <c r="T777" s="85">
        <v>479.48099999999999</v>
      </c>
      <c r="U777" s="87">
        <v>8370</v>
      </c>
      <c r="V777" s="85">
        <v>479.14600000000002</v>
      </c>
      <c r="W777" s="87">
        <v>8380</v>
      </c>
      <c r="X777" s="85">
        <v>478.56400000000002</v>
      </c>
      <c r="Y777" s="87">
        <v>8380</v>
      </c>
      <c r="Z777" s="85">
        <v>476.94499999999999</v>
      </c>
      <c r="AA777" s="87">
        <v>8380</v>
      </c>
      <c r="AB777" s="85">
        <v>477.27100000000002</v>
      </c>
      <c r="AC777" s="87">
        <v>8370</v>
      </c>
      <c r="AD777" s="85">
        <v>401.404</v>
      </c>
      <c r="AE777" s="87">
        <v>8380</v>
      </c>
      <c r="AF777" s="85">
        <v>403.02300000000002</v>
      </c>
      <c r="AG777" s="87">
        <v>8360</v>
      </c>
      <c r="AH777" s="85">
        <v>94.605999999999995</v>
      </c>
      <c r="AI777" s="87">
        <v>8360</v>
      </c>
      <c r="AJ777" s="85">
        <v>100.23</v>
      </c>
    </row>
    <row r="778" spans="1:36" ht="14.25" customHeight="1">
      <c r="A778" s="88">
        <v>8390</v>
      </c>
      <c r="B778" s="84">
        <v>215.22900000000001</v>
      </c>
      <c r="C778" s="88">
        <v>8400</v>
      </c>
      <c r="D778" s="85">
        <v>213.37899999999999</v>
      </c>
      <c r="E778" s="86">
        <v>8390</v>
      </c>
      <c r="F778" s="85">
        <v>523.69600000000003</v>
      </c>
      <c r="G778" s="87">
        <v>8390</v>
      </c>
      <c r="H778" s="85">
        <v>523.75199999999995</v>
      </c>
      <c r="I778" s="87">
        <v>8390</v>
      </c>
      <c r="J778" s="85">
        <v>477.03800000000001</v>
      </c>
      <c r="K778" s="87">
        <v>8390</v>
      </c>
      <c r="L778" s="85">
        <v>476.33</v>
      </c>
      <c r="M778" s="87">
        <v>8390</v>
      </c>
      <c r="N778" s="85">
        <v>476.875</v>
      </c>
      <c r="O778" s="87">
        <v>8370</v>
      </c>
      <c r="P778" s="85">
        <v>477.94</v>
      </c>
      <c r="Q778" s="87">
        <v>8390</v>
      </c>
      <c r="R778" s="85">
        <v>477.596</v>
      </c>
      <c r="S778" s="87">
        <v>8390</v>
      </c>
      <c r="T778" s="85">
        <v>478.27</v>
      </c>
      <c r="U778" s="87">
        <v>8380</v>
      </c>
      <c r="V778" s="85">
        <v>477.93599999999998</v>
      </c>
      <c r="W778" s="87">
        <v>8390</v>
      </c>
      <c r="X778" s="85">
        <v>477.35399999999998</v>
      </c>
      <c r="Y778" s="87">
        <v>8390</v>
      </c>
      <c r="Z778" s="85">
        <v>475.73500000000001</v>
      </c>
      <c r="AA778" s="87">
        <v>8390</v>
      </c>
      <c r="AB778" s="85">
        <v>476.06099999999998</v>
      </c>
      <c r="AC778" s="87">
        <v>8380</v>
      </c>
      <c r="AD778" s="85">
        <v>400.20499999999998</v>
      </c>
      <c r="AE778" s="87">
        <v>8390</v>
      </c>
      <c r="AF778" s="85">
        <v>401.82400000000001</v>
      </c>
      <c r="AG778" s="87">
        <v>8370</v>
      </c>
      <c r="AH778" s="85">
        <v>94.28</v>
      </c>
      <c r="AI778" s="87">
        <v>8370</v>
      </c>
      <c r="AJ778" s="85">
        <v>99.89</v>
      </c>
    </row>
    <row r="779" spans="1:36" ht="14.25" customHeight="1">
      <c r="A779" s="88">
        <v>8400</v>
      </c>
      <c r="B779" s="84">
        <v>214.512</v>
      </c>
      <c r="C779" s="88">
        <v>8410</v>
      </c>
      <c r="D779" s="85">
        <v>212.666</v>
      </c>
      <c r="E779" s="86">
        <v>8400</v>
      </c>
      <c r="F779" s="85">
        <v>522.23900000000003</v>
      </c>
      <c r="G779" s="87">
        <v>8400</v>
      </c>
      <c r="H779" s="85">
        <v>522.29499999999996</v>
      </c>
      <c r="I779" s="87">
        <v>8400</v>
      </c>
      <c r="J779" s="85">
        <v>475.82600000000002</v>
      </c>
      <c r="K779" s="87">
        <v>8400</v>
      </c>
      <c r="L779" s="85">
        <v>475.11799999999999</v>
      </c>
      <c r="M779" s="87">
        <v>8400</v>
      </c>
      <c r="N779" s="85">
        <v>475.66300000000001</v>
      </c>
      <c r="O779" s="87">
        <v>8380</v>
      </c>
      <c r="P779" s="85">
        <v>476.72899999999998</v>
      </c>
      <c r="Q779" s="87">
        <v>8400</v>
      </c>
      <c r="R779" s="85">
        <v>476.38400000000001</v>
      </c>
      <c r="S779" s="87">
        <v>8400</v>
      </c>
      <c r="T779" s="85">
        <v>477.05799999999999</v>
      </c>
      <c r="U779" s="87">
        <v>8390</v>
      </c>
      <c r="V779" s="85">
        <v>476.72699999999998</v>
      </c>
      <c r="W779" s="87">
        <v>8400</v>
      </c>
      <c r="X779" s="85">
        <v>476.14299999999997</v>
      </c>
      <c r="Y779" s="87">
        <v>8400</v>
      </c>
      <c r="Z779" s="85">
        <v>474.524</v>
      </c>
      <c r="AA779" s="87">
        <v>8400</v>
      </c>
      <c r="AB779" s="85">
        <v>474.85199999999998</v>
      </c>
      <c r="AC779" s="87">
        <v>8390</v>
      </c>
      <c r="AD779" s="85">
        <v>399.00700000000001</v>
      </c>
      <c r="AE779" s="87">
        <v>8400</v>
      </c>
      <c r="AF779" s="85">
        <v>400.62599999999998</v>
      </c>
      <c r="AG779" s="87">
        <v>8380</v>
      </c>
      <c r="AH779" s="85">
        <v>93.953999999999994</v>
      </c>
      <c r="AI779" s="87">
        <v>8380</v>
      </c>
      <c r="AJ779" s="85">
        <v>99.55</v>
      </c>
    </row>
    <row r="780" spans="1:36" ht="14.25" customHeight="1">
      <c r="A780" s="88">
        <v>8410</v>
      </c>
      <c r="B780" s="84">
        <v>213.79499999999999</v>
      </c>
      <c r="C780" s="88">
        <v>8420</v>
      </c>
      <c r="D780" s="85">
        <v>211.952</v>
      </c>
      <c r="E780" s="86">
        <v>8410</v>
      </c>
      <c r="F780" s="85">
        <v>520.78300000000002</v>
      </c>
      <c r="G780" s="87">
        <v>8410</v>
      </c>
      <c r="H780" s="85">
        <v>520.83900000000006</v>
      </c>
      <c r="I780" s="87">
        <v>8410</v>
      </c>
      <c r="J780" s="85">
        <v>474.61500000000001</v>
      </c>
      <c r="K780" s="87">
        <v>8410</v>
      </c>
      <c r="L780" s="85">
        <v>473.90499999999997</v>
      </c>
      <c r="M780" s="87">
        <v>8410</v>
      </c>
      <c r="N780" s="85">
        <v>474.452</v>
      </c>
      <c r="O780" s="87">
        <v>8390</v>
      </c>
      <c r="P780" s="85">
        <v>475.517</v>
      </c>
      <c r="Q780" s="87">
        <v>8410</v>
      </c>
      <c r="R780" s="85">
        <v>475.173</v>
      </c>
      <c r="S780" s="87">
        <v>8410</v>
      </c>
      <c r="T780" s="85">
        <v>475.84699999999998</v>
      </c>
      <c r="U780" s="87">
        <v>8400</v>
      </c>
      <c r="V780" s="85">
        <v>475.517</v>
      </c>
      <c r="W780" s="87">
        <v>8410</v>
      </c>
      <c r="X780" s="85">
        <v>474.93299999999999</v>
      </c>
      <c r="Y780" s="87">
        <v>8410</v>
      </c>
      <c r="Z780" s="85">
        <v>473.31400000000002</v>
      </c>
      <c r="AA780" s="87">
        <v>8410</v>
      </c>
      <c r="AB780" s="85">
        <v>473.642</v>
      </c>
      <c r="AC780" s="87">
        <v>8400</v>
      </c>
      <c r="AD780" s="85">
        <v>397.80799999999999</v>
      </c>
      <c r="AE780" s="87">
        <v>8410</v>
      </c>
      <c r="AF780" s="85">
        <v>399.428</v>
      </c>
      <c r="AG780" s="87">
        <v>8390</v>
      </c>
      <c r="AH780" s="85">
        <v>93.629000000000005</v>
      </c>
      <c r="AI780" s="87">
        <v>8390</v>
      </c>
      <c r="AJ780" s="85">
        <v>99.21</v>
      </c>
    </row>
    <row r="781" spans="1:36" ht="14.25" customHeight="1">
      <c r="A781" s="88">
        <v>8420</v>
      </c>
      <c r="B781" s="84">
        <v>213.078</v>
      </c>
      <c r="C781" s="88">
        <v>8430</v>
      </c>
      <c r="D781" s="85">
        <v>211.239</v>
      </c>
      <c r="E781" s="86">
        <v>8420</v>
      </c>
      <c r="F781" s="85">
        <v>519.32600000000002</v>
      </c>
      <c r="G781" s="87">
        <v>8420</v>
      </c>
      <c r="H781" s="85">
        <v>519.38199999999995</v>
      </c>
      <c r="I781" s="87">
        <v>8420</v>
      </c>
      <c r="J781" s="85">
        <v>473.404</v>
      </c>
      <c r="K781" s="87">
        <v>8420</v>
      </c>
      <c r="L781" s="85">
        <v>472.69200000000001</v>
      </c>
      <c r="M781" s="87">
        <v>8420</v>
      </c>
      <c r="N781" s="85">
        <v>473.24</v>
      </c>
      <c r="O781" s="87">
        <v>8400</v>
      </c>
      <c r="P781" s="85">
        <v>474.30500000000001</v>
      </c>
      <c r="Q781" s="87">
        <v>8420</v>
      </c>
      <c r="R781" s="85">
        <v>473.96100000000001</v>
      </c>
      <c r="S781" s="87">
        <v>8420</v>
      </c>
      <c r="T781" s="85">
        <v>474.63499999999999</v>
      </c>
      <c r="U781" s="87">
        <v>8410</v>
      </c>
      <c r="V781" s="85">
        <v>474.30700000000002</v>
      </c>
      <c r="W781" s="87">
        <v>8420</v>
      </c>
      <c r="X781" s="85">
        <v>473.72199999999998</v>
      </c>
      <c r="Y781" s="87">
        <v>8420</v>
      </c>
      <c r="Z781" s="85">
        <v>472.10399999999998</v>
      </c>
      <c r="AA781" s="87">
        <v>8420</v>
      </c>
      <c r="AB781" s="85">
        <v>472.43299999999999</v>
      </c>
      <c r="AC781" s="87">
        <v>8410</v>
      </c>
      <c r="AD781" s="85">
        <v>396.61</v>
      </c>
      <c r="AE781" s="87">
        <v>8420</v>
      </c>
      <c r="AF781" s="85">
        <v>398.23</v>
      </c>
      <c r="AG781" s="87">
        <v>8400</v>
      </c>
      <c r="AH781" s="85">
        <v>93.305000000000007</v>
      </c>
      <c r="AI781" s="87">
        <v>8400</v>
      </c>
      <c r="AJ781" s="85">
        <v>98.870999999999995</v>
      </c>
    </row>
    <row r="782" spans="1:36" ht="14.25" customHeight="1">
      <c r="A782" s="88">
        <v>8430</v>
      </c>
      <c r="B782" s="84">
        <v>212.36099999999999</v>
      </c>
      <c r="C782" s="88">
        <v>8440</v>
      </c>
      <c r="D782" s="85">
        <v>210.52600000000001</v>
      </c>
      <c r="E782" s="86">
        <v>8430</v>
      </c>
      <c r="F782" s="85">
        <v>517.87</v>
      </c>
      <c r="G782" s="87">
        <v>8430</v>
      </c>
      <c r="H782" s="85">
        <v>517.92499999999995</v>
      </c>
      <c r="I782" s="87">
        <v>8430</v>
      </c>
      <c r="J782" s="85">
        <v>472.19299999999998</v>
      </c>
      <c r="K782" s="87">
        <v>8430</v>
      </c>
      <c r="L782" s="85">
        <v>471.47899999999998</v>
      </c>
      <c r="M782" s="87">
        <v>8430</v>
      </c>
      <c r="N782" s="85">
        <v>472.029</v>
      </c>
      <c r="O782" s="87">
        <v>8410</v>
      </c>
      <c r="P782" s="85">
        <v>473.09399999999999</v>
      </c>
      <c r="Q782" s="87">
        <v>8430</v>
      </c>
      <c r="R782" s="85">
        <v>472.75</v>
      </c>
      <c r="S782" s="87">
        <v>8430</v>
      </c>
      <c r="T782" s="85">
        <v>473.42399999999998</v>
      </c>
      <c r="U782" s="87">
        <v>8420</v>
      </c>
      <c r="V782" s="85">
        <v>473.09800000000001</v>
      </c>
      <c r="W782" s="87">
        <v>8430</v>
      </c>
      <c r="X782" s="85">
        <v>472.512</v>
      </c>
      <c r="Y782" s="87">
        <v>8430</v>
      </c>
      <c r="Z782" s="85">
        <v>470.89299999999997</v>
      </c>
      <c r="AA782" s="87">
        <v>8430</v>
      </c>
      <c r="AB782" s="85">
        <v>471.22300000000001</v>
      </c>
      <c r="AC782" s="87">
        <v>8420</v>
      </c>
      <c r="AD782" s="85">
        <v>395.41300000000001</v>
      </c>
      <c r="AE782" s="87">
        <v>8430</v>
      </c>
      <c r="AF782" s="85">
        <v>397.03399999999999</v>
      </c>
      <c r="AG782" s="87">
        <v>8410</v>
      </c>
      <c r="AH782" s="85">
        <v>92.98</v>
      </c>
      <c r="AI782" s="87">
        <v>8410</v>
      </c>
      <c r="AJ782" s="85">
        <v>98.531999999999996</v>
      </c>
    </row>
    <row r="783" spans="1:36" ht="14.25" customHeight="1">
      <c r="A783" s="88">
        <v>8440</v>
      </c>
      <c r="B783" s="84">
        <v>211.64500000000001</v>
      </c>
      <c r="C783" s="88">
        <v>8450</v>
      </c>
      <c r="D783" s="85">
        <v>209.81299999999999</v>
      </c>
      <c r="E783" s="86">
        <v>8440</v>
      </c>
      <c r="F783" s="85">
        <v>516.41399999999999</v>
      </c>
      <c r="G783" s="87">
        <v>8440</v>
      </c>
      <c r="H783" s="85">
        <v>516.46900000000005</v>
      </c>
      <c r="I783" s="87">
        <v>8440</v>
      </c>
      <c r="J783" s="85">
        <v>470.98200000000003</v>
      </c>
      <c r="K783" s="87">
        <v>8440</v>
      </c>
      <c r="L783" s="85">
        <v>470.26600000000002</v>
      </c>
      <c r="M783" s="87">
        <v>8440</v>
      </c>
      <c r="N783" s="85">
        <v>470.81799999999998</v>
      </c>
      <c r="O783" s="87">
        <v>8420</v>
      </c>
      <c r="P783" s="85">
        <v>471.88200000000001</v>
      </c>
      <c r="Q783" s="87">
        <v>8440</v>
      </c>
      <c r="R783" s="85">
        <v>471.53899999999999</v>
      </c>
      <c r="S783" s="87">
        <v>8440</v>
      </c>
      <c r="T783" s="85">
        <v>472.21199999999999</v>
      </c>
      <c r="U783" s="87">
        <v>8430</v>
      </c>
      <c r="V783" s="85">
        <v>471.88799999999998</v>
      </c>
      <c r="W783" s="87">
        <v>8440</v>
      </c>
      <c r="X783" s="85">
        <v>471.30099999999999</v>
      </c>
      <c r="Y783" s="87">
        <v>8440</v>
      </c>
      <c r="Z783" s="85">
        <v>469.68299999999999</v>
      </c>
      <c r="AA783" s="87">
        <v>8440</v>
      </c>
      <c r="AB783" s="85">
        <v>470.01400000000001</v>
      </c>
      <c r="AC783" s="87">
        <v>8430</v>
      </c>
      <c r="AD783" s="85">
        <v>394.21499999999997</v>
      </c>
      <c r="AE783" s="87">
        <v>8440</v>
      </c>
      <c r="AF783" s="85">
        <v>395.83699999999999</v>
      </c>
      <c r="AG783" s="87">
        <v>8420</v>
      </c>
      <c r="AH783" s="85">
        <v>92.656999999999996</v>
      </c>
      <c r="AI783" s="87">
        <v>8420</v>
      </c>
      <c r="AJ783" s="85">
        <v>98.194000000000003</v>
      </c>
    </row>
    <row r="784" spans="1:36" ht="14.25" customHeight="1">
      <c r="A784" s="88">
        <v>8450</v>
      </c>
      <c r="B784" s="84">
        <v>210.929</v>
      </c>
      <c r="C784" s="88">
        <v>8460</v>
      </c>
      <c r="D784" s="85">
        <v>209.101</v>
      </c>
      <c r="E784" s="86">
        <v>8450</v>
      </c>
      <c r="F784" s="85">
        <v>514.95799999999997</v>
      </c>
      <c r="G784" s="87">
        <v>8450</v>
      </c>
      <c r="H784" s="85">
        <v>515.01199999999994</v>
      </c>
      <c r="I784" s="87">
        <v>8450</v>
      </c>
      <c r="J784" s="85">
        <v>469.77</v>
      </c>
      <c r="K784" s="87">
        <v>8450</v>
      </c>
      <c r="L784" s="85">
        <v>469.053</v>
      </c>
      <c r="M784" s="87">
        <v>8450</v>
      </c>
      <c r="N784" s="85">
        <v>469.60599999999999</v>
      </c>
      <c r="O784" s="87">
        <v>8430</v>
      </c>
      <c r="P784" s="85">
        <v>470.67099999999999</v>
      </c>
      <c r="Q784" s="87">
        <v>8450</v>
      </c>
      <c r="R784" s="85">
        <v>470.327</v>
      </c>
      <c r="S784" s="87">
        <v>8450</v>
      </c>
      <c r="T784" s="85">
        <v>471.00099999999998</v>
      </c>
      <c r="U784" s="87">
        <v>8440</v>
      </c>
      <c r="V784" s="85">
        <v>470.678</v>
      </c>
      <c r="W784" s="87">
        <v>8450</v>
      </c>
      <c r="X784" s="85">
        <v>470.09100000000001</v>
      </c>
      <c r="Y784" s="87">
        <v>8450</v>
      </c>
      <c r="Z784" s="85">
        <v>468.47300000000001</v>
      </c>
      <c r="AA784" s="87">
        <v>8450</v>
      </c>
      <c r="AB784" s="85">
        <v>468.80500000000001</v>
      </c>
      <c r="AC784" s="87">
        <v>8440</v>
      </c>
      <c r="AD784" s="85">
        <v>393.01799999999997</v>
      </c>
      <c r="AE784" s="87">
        <v>8450</v>
      </c>
      <c r="AF784" s="85">
        <v>394.64100000000002</v>
      </c>
      <c r="AG784" s="87">
        <v>8430</v>
      </c>
      <c r="AH784" s="85">
        <v>92.332999999999998</v>
      </c>
      <c r="AI784" s="87">
        <v>8430</v>
      </c>
      <c r="AJ784" s="85">
        <v>97.855999999999995</v>
      </c>
    </row>
    <row r="785" spans="1:36" ht="14.25" customHeight="1">
      <c r="A785" s="88">
        <v>8460</v>
      </c>
      <c r="B785" s="84">
        <v>210.21299999999999</v>
      </c>
      <c r="C785" s="88">
        <v>8470</v>
      </c>
      <c r="D785" s="85">
        <v>208.38800000000001</v>
      </c>
      <c r="E785" s="86">
        <v>8460</v>
      </c>
      <c r="F785" s="85">
        <v>513.50199999999995</v>
      </c>
      <c r="G785" s="87">
        <v>8460</v>
      </c>
      <c r="H785" s="85">
        <v>513.55600000000004</v>
      </c>
      <c r="I785" s="87">
        <v>8460</v>
      </c>
      <c r="J785" s="85">
        <v>468.55900000000003</v>
      </c>
      <c r="K785" s="87">
        <v>8460</v>
      </c>
      <c r="L785" s="85">
        <v>467.84100000000001</v>
      </c>
      <c r="M785" s="87">
        <v>8460</v>
      </c>
      <c r="N785" s="85">
        <v>468.39499999999998</v>
      </c>
      <c r="O785" s="87">
        <v>8440</v>
      </c>
      <c r="P785" s="85">
        <v>469.459</v>
      </c>
      <c r="Q785" s="87">
        <v>8460</v>
      </c>
      <c r="R785" s="85">
        <v>469.11599999999999</v>
      </c>
      <c r="S785" s="87">
        <v>8460</v>
      </c>
      <c r="T785" s="85">
        <v>469.78899999999999</v>
      </c>
      <c r="U785" s="87">
        <v>8450</v>
      </c>
      <c r="V785" s="85">
        <v>469.46899999999999</v>
      </c>
      <c r="W785" s="87">
        <v>8460</v>
      </c>
      <c r="X785" s="85">
        <v>468.88099999999997</v>
      </c>
      <c r="Y785" s="87">
        <v>8460</v>
      </c>
      <c r="Z785" s="85">
        <v>467.262</v>
      </c>
      <c r="AA785" s="87">
        <v>8460</v>
      </c>
      <c r="AB785" s="85">
        <v>467.59500000000003</v>
      </c>
      <c r="AC785" s="87">
        <v>8450</v>
      </c>
      <c r="AD785" s="85">
        <v>391.822</v>
      </c>
      <c r="AE785" s="87">
        <v>8460</v>
      </c>
      <c r="AF785" s="85">
        <v>393.44499999999999</v>
      </c>
      <c r="AG785" s="87">
        <v>8440</v>
      </c>
      <c r="AH785" s="85">
        <v>92.01</v>
      </c>
      <c r="AI785" s="87">
        <v>8440</v>
      </c>
      <c r="AJ785" s="85">
        <v>97.519000000000005</v>
      </c>
    </row>
    <row r="786" spans="1:36" ht="14.25" customHeight="1">
      <c r="A786" s="88">
        <v>8470</v>
      </c>
      <c r="B786" s="84">
        <v>209.49799999999999</v>
      </c>
      <c r="C786" s="88">
        <v>8480</v>
      </c>
      <c r="D786" s="85">
        <v>207.67599999999999</v>
      </c>
      <c r="E786" s="86">
        <v>8470</v>
      </c>
      <c r="F786" s="85">
        <v>512.04600000000005</v>
      </c>
      <c r="G786" s="87">
        <v>8470</v>
      </c>
      <c r="H786" s="85">
        <v>512.1</v>
      </c>
      <c r="I786" s="87">
        <v>8470</v>
      </c>
      <c r="J786" s="85">
        <v>467.34800000000001</v>
      </c>
      <c r="K786" s="87">
        <v>8470</v>
      </c>
      <c r="L786" s="85">
        <v>466.62799999999999</v>
      </c>
      <c r="M786" s="87">
        <v>8470</v>
      </c>
      <c r="N786" s="85">
        <v>467.18400000000003</v>
      </c>
      <c r="O786" s="87">
        <v>8450</v>
      </c>
      <c r="P786" s="85">
        <v>468.24700000000001</v>
      </c>
      <c r="Q786" s="87">
        <v>8470</v>
      </c>
      <c r="R786" s="85">
        <v>467.904</v>
      </c>
      <c r="S786" s="87">
        <v>8470</v>
      </c>
      <c r="T786" s="85">
        <v>468.57799999999997</v>
      </c>
      <c r="U786" s="87">
        <v>8460</v>
      </c>
      <c r="V786" s="85">
        <v>468.25900000000001</v>
      </c>
      <c r="W786" s="87">
        <v>8470</v>
      </c>
      <c r="X786" s="85">
        <v>467.67</v>
      </c>
      <c r="Y786" s="87">
        <v>8470</v>
      </c>
      <c r="Z786" s="85">
        <v>466.05200000000002</v>
      </c>
      <c r="AA786" s="87">
        <v>8470</v>
      </c>
      <c r="AB786" s="85">
        <v>466.38600000000002</v>
      </c>
      <c r="AC786" s="87">
        <v>8460</v>
      </c>
      <c r="AD786" s="85">
        <v>390.62599999999998</v>
      </c>
      <c r="AE786" s="87">
        <v>8470</v>
      </c>
      <c r="AF786" s="85">
        <v>392.24799999999999</v>
      </c>
      <c r="AG786" s="87">
        <v>8450</v>
      </c>
      <c r="AH786" s="85">
        <v>91.688000000000002</v>
      </c>
      <c r="AI786" s="87">
        <v>8450</v>
      </c>
      <c r="AJ786" s="85">
        <v>97.182000000000002</v>
      </c>
    </row>
    <row r="787" spans="1:36" ht="14.25" customHeight="1">
      <c r="A787" s="88">
        <v>8480</v>
      </c>
      <c r="B787" s="84">
        <v>208.78200000000001</v>
      </c>
      <c r="C787" s="88">
        <v>8490</v>
      </c>
      <c r="D787" s="85">
        <v>206.964</v>
      </c>
      <c r="E787" s="86">
        <v>8480</v>
      </c>
      <c r="F787" s="85">
        <v>510.59</v>
      </c>
      <c r="G787" s="87">
        <v>8480</v>
      </c>
      <c r="H787" s="85">
        <v>510.64299999999997</v>
      </c>
      <c r="I787" s="87">
        <v>8480</v>
      </c>
      <c r="J787" s="85">
        <v>466.13600000000002</v>
      </c>
      <c r="K787" s="87">
        <v>8480</v>
      </c>
      <c r="L787" s="85">
        <v>465.41500000000002</v>
      </c>
      <c r="M787" s="87">
        <v>8480</v>
      </c>
      <c r="N787" s="85">
        <v>465.97199999999998</v>
      </c>
      <c r="O787" s="87">
        <v>8460</v>
      </c>
      <c r="P787" s="85">
        <v>467.036</v>
      </c>
      <c r="Q787" s="87">
        <v>8480</v>
      </c>
      <c r="R787" s="85">
        <v>466.69299999999998</v>
      </c>
      <c r="S787" s="87">
        <v>8480</v>
      </c>
      <c r="T787" s="85">
        <v>467.36599999999999</v>
      </c>
      <c r="U787" s="87">
        <v>8470</v>
      </c>
      <c r="V787" s="85">
        <v>467.04899999999998</v>
      </c>
      <c r="W787" s="87">
        <v>8480</v>
      </c>
      <c r="X787" s="85">
        <v>466.46</v>
      </c>
      <c r="Y787" s="87">
        <v>8480</v>
      </c>
      <c r="Z787" s="85">
        <v>464.84199999999998</v>
      </c>
      <c r="AA787" s="87">
        <v>8480</v>
      </c>
      <c r="AB787" s="85">
        <v>465.17599999999999</v>
      </c>
      <c r="AC787" s="87">
        <v>8470</v>
      </c>
      <c r="AD787" s="85">
        <v>389.43</v>
      </c>
      <c r="AE787" s="87">
        <v>8480</v>
      </c>
      <c r="AF787" s="85">
        <v>391.05200000000002</v>
      </c>
      <c r="AG787" s="87">
        <v>8460</v>
      </c>
      <c r="AH787" s="85">
        <v>91.366</v>
      </c>
      <c r="AI787" s="87">
        <v>8460</v>
      </c>
      <c r="AJ787" s="85">
        <v>96.844999999999999</v>
      </c>
    </row>
    <row r="788" spans="1:36" ht="14.25" customHeight="1">
      <c r="A788" s="88">
        <v>8490</v>
      </c>
      <c r="B788" s="84">
        <v>208.06700000000001</v>
      </c>
      <c r="C788" s="88">
        <v>8500</v>
      </c>
      <c r="D788" s="85">
        <v>206.25299999999999</v>
      </c>
      <c r="E788" s="86">
        <v>8490</v>
      </c>
      <c r="F788" s="85">
        <v>509.13400000000001</v>
      </c>
      <c r="G788" s="87">
        <v>8490</v>
      </c>
      <c r="H788" s="85">
        <v>509.18700000000001</v>
      </c>
      <c r="I788" s="87">
        <v>8490</v>
      </c>
      <c r="J788" s="85">
        <v>464.92500000000001</v>
      </c>
      <c r="K788" s="87">
        <v>8490</v>
      </c>
      <c r="L788" s="85">
        <v>464.202</v>
      </c>
      <c r="M788" s="87">
        <v>8490</v>
      </c>
      <c r="N788" s="85">
        <v>464.76100000000002</v>
      </c>
      <c r="O788" s="87">
        <v>8470</v>
      </c>
      <c r="P788" s="85">
        <v>465.82400000000001</v>
      </c>
      <c r="Q788" s="87">
        <v>8490</v>
      </c>
      <c r="R788" s="85">
        <v>465.48200000000003</v>
      </c>
      <c r="S788" s="87">
        <v>8490</v>
      </c>
      <c r="T788" s="85">
        <v>466.15499999999997</v>
      </c>
      <c r="U788" s="87">
        <v>8480</v>
      </c>
      <c r="V788" s="85">
        <v>465.84</v>
      </c>
      <c r="W788" s="87">
        <v>8490</v>
      </c>
      <c r="X788" s="85">
        <v>465.24900000000002</v>
      </c>
      <c r="Y788" s="87">
        <v>8490</v>
      </c>
      <c r="Z788" s="85">
        <v>463.63099999999997</v>
      </c>
      <c r="AA788" s="87">
        <v>8490</v>
      </c>
      <c r="AB788" s="85">
        <v>463.96699999999998</v>
      </c>
      <c r="AC788" s="87">
        <v>8480</v>
      </c>
      <c r="AD788" s="85">
        <v>388.23500000000001</v>
      </c>
      <c r="AE788" s="87">
        <v>8490</v>
      </c>
      <c r="AF788" s="85">
        <v>389.85599999999999</v>
      </c>
      <c r="AG788" s="87">
        <v>8470</v>
      </c>
      <c r="AH788" s="85">
        <v>91.043999999999997</v>
      </c>
      <c r="AI788" s="87">
        <v>8470</v>
      </c>
      <c r="AJ788" s="85">
        <v>96.509</v>
      </c>
    </row>
    <row r="789" spans="1:36" ht="14.25" customHeight="1">
      <c r="A789" s="88">
        <v>8500</v>
      </c>
      <c r="B789" s="84">
        <v>207.352</v>
      </c>
      <c r="C789" s="88">
        <v>8510</v>
      </c>
      <c r="D789" s="85">
        <v>205.541</v>
      </c>
      <c r="E789" s="86">
        <v>8500</v>
      </c>
      <c r="F789" s="85">
        <v>507.67899999999997</v>
      </c>
      <c r="G789" s="87">
        <v>8500</v>
      </c>
      <c r="H789" s="85">
        <v>507.73099999999999</v>
      </c>
      <c r="I789" s="87">
        <v>8500</v>
      </c>
      <c r="J789" s="85">
        <v>463.714</v>
      </c>
      <c r="K789" s="87">
        <v>8500</v>
      </c>
      <c r="L789" s="85">
        <v>462.98899999999998</v>
      </c>
      <c r="M789" s="87">
        <v>8500</v>
      </c>
      <c r="N789" s="85">
        <v>463.54899999999998</v>
      </c>
      <c r="O789" s="87">
        <v>8480</v>
      </c>
      <c r="P789" s="85">
        <v>464.61200000000002</v>
      </c>
      <c r="Q789" s="87">
        <v>8500</v>
      </c>
      <c r="R789" s="85">
        <v>464.27</v>
      </c>
      <c r="S789" s="87">
        <v>8500</v>
      </c>
      <c r="T789" s="85">
        <v>464.94299999999998</v>
      </c>
      <c r="U789" s="87">
        <v>8490</v>
      </c>
      <c r="V789" s="85">
        <v>464.63</v>
      </c>
      <c r="W789" s="87">
        <v>8500</v>
      </c>
      <c r="X789" s="85">
        <v>464.03899999999999</v>
      </c>
      <c r="Y789" s="87">
        <v>8500</v>
      </c>
      <c r="Z789" s="85">
        <v>462.42099999999999</v>
      </c>
      <c r="AA789" s="87">
        <v>8500</v>
      </c>
      <c r="AB789" s="85">
        <v>462.75700000000001</v>
      </c>
      <c r="AC789" s="87">
        <v>8490</v>
      </c>
      <c r="AD789" s="85">
        <v>387.041</v>
      </c>
      <c r="AE789" s="87">
        <v>8500</v>
      </c>
      <c r="AF789" s="85">
        <v>388.66199999999998</v>
      </c>
      <c r="AG789" s="87">
        <v>8480</v>
      </c>
      <c r="AH789" s="85">
        <v>90.722999999999999</v>
      </c>
      <c r="AI789" s="87">
        <v>8480</v>
      </c>
      <c r="AJ789" s="85">
        <v>96.173000000000002</v>
      </c>
    </row>
    <row r="790" spans="1:36" ht="14.25" customHeight="1">
      <c r="A790" s="88">
        <v>8510</v>
      </c>
      <c r="B790" s="84">
        <v>206.637</v>
      </c>
      <c r="C790" s="88">
        <v>8520</v>
      </c>
      <c r="D790" s="85">
        <v>204.83</v>
      </c>
      <c r="E790" s="86">
        <v>8510</v>
      </c>
      <c r="F790" s="85">
        <v>506.22300000000001</v>
      </c>
      <c r="G790" s="87">
        <v>8510</v>
      </c>
      <c r="H790" s="85">
        <v>506.27499999999998</v>
      </c>
      <c r="I790" s="87">
        <v>8510</v>
      </c>
      <c r="J790" s="85">
        <v>462.50299999999999</v>
      </c>
      <c r="K790" s="87">
        <v>8510</v>
      </c>
      <c r="L790" s="85">
        <v>461.77600000000001</v>
      </c>
      <c r="M790" s="87">
        <v>8510</v>
      </c>
      <c r="N790" s="85">
        <v>462.33800000000002</v>
      </c>
      <c r="O790" s="87">
        <v>8490</v>
      </c>
      <c r="P790" s="85">
        <v>463.40100000000001</v>
      </c>
      <c r="Q790" s="87">
        <v>8510</v>
      </c>
      <c r="R790" s="85">
        <v>463.05900000000003</v>
      </c>
      <c r="S790" s="87">
        <v>8510</v>
      </c>
      <c r="T790" s="85">
        <v>463.73200000000003</v>
      </c>
      <c r="U790" s="87">
        <v>8500</v>
      </c>
      <c r="V790" s="85">
        <v>463.42</v>
      </c>
      <c r="W790" s="87">
        <v>8510</v>
      </c>
      <c r="X790" s="85">
        <v>462.82799999999997</v>
      </c>
      <c r="Y790" s="87">
        <v>8510</v>
      </c>
      <c r="Z790" s="85">
        <v>461.21100000000001</v>
      </c>
      <c r="AA790" s="87">
        <v>8510</v>
      </c>
      <c r="AB790" s="85">
        <v>461.548</v>
      </c>
      <c r="AC790" s="87">
        <v>8500</v>
      </c>
      <c r="AD790" s="85">
        <v>385.84699999999998</v>
      </c>
      <c r="AE790" s="87">
        <v>8510</v>
      </c>
      <c r="AF790" s="85">
        <v>387.46800000000002</v>
      </c>
      <c r="AG790" s="87">
        <v>8490</v>
      </c>
      <c r="AH790" s="85">
        <v>90.402000000000001</v>
      </c>
      <c r="AI790" s="87">
        <v>8490</v>
      </c>
      <c r="AJ790" s="85">
        <v>95.837999999999994</v>
      </c>
    </row>
    <row r="791" spans="1:36" ht="14.25" customHeight="1">
      <c r="A791" s="88">
        <v>8520</v>
      </c>
      <c r="B791" s="84">
        <v>205.923</v>
      </c>
      <c r="C791" s="88">
        <v>8530</v>
      </c>
      <c r="D791" s="85">
        <v>204.11799999999999</v>
      </c>
      <c r="E791" s="86">
        <v>8520</v>
      </c>
      <c r="F791" s="85">
        <v>504.76799999999997</v>
      </c>
      <c r="G791" s="87">
        <v>8520</v>
      </c>
      <c r="H791" s="85">
        <v>504.82</v>
      </c>
      <c r="I791" s="87">
        <v>8520</v>
      </c>
      <c r="J791" s="85">
        <v>461.29199999999997</v>
      </c>
      <c r="K791" s="87">
        <v>8520</v>
      </c>
      <c r="L791" s="85">
        <v>460.56299999999999</v>
      </c>
      <c r="M791" s="87">
        <v>8520</v>
      </c>
      <c r="N791" s="85">
        <v>461.12700000000001</v>
      </c>
      <c r="O791" s="87">
        <v>8500</v>
      </c>
      <c r="P791" s="85">
        <v>462.18900000000002</v>
      </c>
      <c r="Q791" s="87">
        <v>8520</v>
      </c>
      <c r="R791" s="85">
        <v>461.84800000000001</v>
      </c>
      <c r="S791" s="87">
        <v>8520</v>
      </c>
      <c r="T791" s="85">
        <v>462.52100000000002</v>
      </c>
      <c r="U791" s="87">
        <v>8510</v>
      </c>
      <c r="V791" s="85">
        <v>462.21100000000001</v>
      </c>
      <c r="W791" s="87">
        <v>8520</v>
      </c>
      <c r="X791" s="85">
        <v>461.61799999999999</v>
      </c>
      <c r="Y791" s="87">
        <v>8520</v>
      </c>
      <c r="Z791" s="85">
        <v>460</v>
      </c>
      <c r="AA791" s="87">
        <v>8520</v>
      </c>
      <c r="AB791" s="85">
        <v>460.339</v>
      </c>
      <c r="AC791" s="87">
        <v>8510</v>
      </c>
      <c r="AD791" s="85">
        <v>384.65300000000002</v>
      </c>
      <c r="AE791" s="87">
        <v>8520</v>
      </c>
      <c r="AF791" s="85">
        <v>386.274</v>
      </c>
      <c r="AG791" s="87">
        <v>8500</v>
      </c>
      <c r="AH791" s="85">
        <v>90.081000000000003</v>
      </c>
      <c r="AI791" s="87">
        <v>8500</v>
      </c>
      <c r="AJ791" s="85">
        <v>95.503</v>
      </c>
    </row>
    <row r="792" spans="1:36" ht="14.25" customHeight="1">
      <c r="A792" s="88">
        <v>8530</v>
      </c>
      <c r="B792" s="84">
        <v>205.208</v>
      </c>
      <c r="C792" s="88">
        <v>8540</v>
      </c>
      <c r="D792" s="85">
        <v>203.40700000000001</v>
      </c>
      <c r="E792" s="86">
        <v>8530</v>
      </c>
      <c r="F792" s="85">
        <v>503.31200000000001</v>
      </c>
      <c r="G792" s="87">
        <v>8530</v>
      </c>
      <c r="H792" s="85">
        <v>503.36399999999998</v>
      </c>
      <c r="I792" s="87">
        <v>8530</v>
      </c>
      <c r="J792" s="85">
        <v>460.08</v>
      </c>
      <c r="K792" s="87">
        <v>8530</v>
      </c>
      <c r="L792" s="85">
        <v>459.35</v>
      </c>
      <c r="M792" s="87">
        <v>8530</v>
      </c>
      <c r="N792" s="85">
        <v>459.91500000000002</v>
      </c>
      <c r="O792" s="87">
        <v>8510</v>
      </c>
      <c r="P792" s="85">
        <v>460.97699999999998</v>
      </c>
      <c r="Q792" s="87">
        <v>8530</v>
      </c>
      <c r="R792" s="85">
        <v>460.63600000000002</v>
      </c>
      <c r="S792" s="87">
        <v>8530</v>
      </c>
      <c r="T792" s="85">
        <v>461.30900000000003</v>
      </c>
      <c r="U792" s="87">
        <v>8520</v>
      </c>
      <c r="V792" s="85">
        <v>461.00099999999998</v>
      </c>
      <c r="W792" s="87">
        <v>8530</v>
      </c>
      <c r="X792" s="85">
        <v>460.40699999999998</v>
      </c>
      <c r="Y792" s="87">
        <v>8530</v>
      </c>
      <c r="Z792" s="85">
        <v>458.79</v>
      </c>
      <c r="AA792" s="87">
        <v>8530</v>
      </c>
      <c r="AB792" s="85">
        <v>459.12900000000002</v>
      </c>
      <c r="AC792" s="87">
        <v>8520</v>
      </c>
      <c r="AD792" s="85">
        <v>383.459</v>
      </c>
      <c r="AE792" s="87">
        <v>8530</v>
      </c>
      <c r="AF792" s="85">
        <v>385.08100000000002</v>
      </c>
      <c r="AG792" s="87">
        <v>8510</v>
      </c>
      <c r="AH792" s="85">
        <v>89.76</v>
      </c>
      <c r="AI792" s="87">
        <v>8510</v>
      </c>
      <c r="AJ792" s="85">
        <v>95.168000000000006</v>
      </c>
    </row>
    <row r="793" spans="1:36" ht="14.25" customHeight="1">
      <c r="A793" s="88">
        <v>8540</v>
      </c>
      <c r="B793" s="84">
        <v>204.49299999999999</v>
      </c>
      <c r="C793" s="88">
        <v>8550</v>
      </c>
      <c r="D793" s="85">
        <v>202.696</v>
      </c>
      <c r="E793" s="86">
        <v>8540</v>
      </c>
      <c r="F793" s="85">
        <v>501.85599999999999</v>
      </c>
      <c r="G793" s="87">
        <v>8540</v>
      </c>
      <c r="H793" s="85">
        <v>501.90699999999998</v>
      </c>
      <c r="I793" s="87">
        <v>8540</v>
      </c>
      <c r="J793" s="85">
        <v>458.86900000000003</v>
      </c>
      <c r="K793" s="87">
        <v>8540</v>
      </c>
      <c r="L793" s="85">
        <v>458.13600000000002</v>
      </c>
      <c r="M793" s="87">
        <v>8540</v>
      </c>
      <c r="N793" s="85">
        <v>458.70299999999997</v>
      </c>
      <c r="O793" s="87">
        <v>8520</v>
      </c>
      <c r="P793" s="85">
        <v>459.76499999999999</v>
      </c>
      <c r="Q793" s="87">
        <v>8540</v>
      </c>
      <c r="R793" s="85">
        <v>459.42399999999998</v>
      </c>
      <c r="S793" s="87">
        <v>8540</v>
      </c>
      <c r="T793" s="85">
        <v>460.09699999999998</v>
      </c>
      <c r="U793" s="87">
        <v>8530</v>
      </c>
      <c r="V793" s="85">
        <v>459.791</v>
      </c>
      <c r="W793" s="87">
        <v>8540</v>
      </c>
      <c r="X793" s="85">
        <v>459.19600000000003</v>
      </c>
      <c r="Y793" s="87">
        <v>8540</v>
      </c>
      <c r="Z793" s="85">
        <v>457.57900000000001</v>
      </c>
      <c r="AA793" s="87">
        <v>8540</v>
      </c>
      <c r="AB793" s="85">
        <v>457.91899999999998</v>
      </c>
      <c r="AC793" s="87">
        <v>8530</v>
      </c>
      <c r="AD793" s="85">
        <v>382.26600000000002</v>
      </c>
      <c r="AE793" s="87">
        <v>8540</v>
      </c>
      <c r="AF793" s="85">
        <v>383.88900000000001</v>
      </c>
      <c r="AG793" s="87">
        <v>8520</v>
      </c>
      <c r="AH793" s="85">
        <v>89.44</v>
      </c>
      <c r="AI793" s="87">
        <v>8520</v>
      </c>
      <c r="AJ793" s="85">
        <v>94.832999999999998</v>
      </c>
    </row>
    <row r="794" spans="1:36" ht="14.25" customHeight="1">
      <c r="A794" s="88">
        <v>8550</v>
      </c>
      <c r="B794" s="84">
        <v>203.779</v>
      </c>
      <c r="C794" s="88">
        <v>8560</v>
      </c>
      <c r="D794" s="85">
        <v>201.98500000000001</v>
      </c>
      <c r="E794" s="86">
        <v>8550</v>
      </c>
      <c r="F794" s="85">
        <v>500.40100000000001</v>
      </c>
      <c r="G794" s="87">
        <v>8550</v>
      </c>
      <c r="H794" s="85">
        <v>500.45100000000002</v>
      </c>
      <c r="I794" s="87">
        <v>8550</v>
      </c>
      <c r="J794" s="85">
        <v>457.65699999999998</v>
      </c>
      <c r="K794" s="87">
        <v>8550</v>
      </c>
      <c r="L794" s="85">
        <v>456.923</v>
      </c>
      <c r="M794" s="87">
        <v>8550</v>
      </c>
      <c r="N794" s="85">
        <v>457.49099999999999</v>
      </c>
      <c r="O794" s="87">
        <v>8530</v>
      </c>
      <c r="P794" s="85">
        <v>458.553</v>
      </c>
      <c r="Q794" s="87">
        <v>8550</v>
      </c>
      <c r="R794" s="85">
        <v>458.21199999999999</v>
      </c>
      <c r="S794" s="87">
        <v>8550</v>
      </c>
      <c r="T794" s="85">
        <v>458.88499999999999</v>
      </c>
      <c r="U794" s="87">
        <v>8540</v>
      </c>
      <c r="V794" s="85">
        <v>458.58</v>
      </c>
      <c r="W794" s="87">
        <v>8550</v>
      </c>
      <c r="X794" s="85">
        <v>457.98500000000001</v>
      </c>
      <c r="Y794" s="87">
        <v>8550</v>
      </c>
      <c r="Z794" s="85">
        <v>456.36799999999999</v>
      </c>
      <c r="AA794" s="87">
        <v>8550</v>
      </c>
      <c r="AB794" s="85">
        <v>456.709</v>
      </c>
      <c r="AC794" s="87">
        <v>8540</v>
      </c>
      <c r="AD794" s="85">
        <v>381.07299999999998</v>
      </c>
      <c r="AE794" s="87">
        <v>8550</v>
      </c>
      <c r="AF794" s="85">
        <v>382.69600000000003</v>
      </c>
      <c r="AG794" s="87">
        <v>8530</v>
      </c>
      <c r="AH794" s="85">
        <v>89.12</v>
      </c>
      <c r="AI794" s="87">
        <v>8530</v>
      </c>
      <c r="AJ794" s="85">
        <v>94.498999999999995</v>
      </c>
    </row>
    <row r="795" spans="1:36" ht="14.25" customHeight="1">
      <c r="A795" s="88">
        <v>8560</v>
      </c>
      <c r="B795" s="84">
        <v>203.065</v>
      </c>
      <c r="C795" s="88">
        <v>8570</v>
      </c>
      <c r="D795" s="85">
        <v>201.274</v>
      </c>
      <c r="E795" s="86">
        <v>8560</v>
      </c>
      <c r="F795" s="85">
        <v>498.94499999999999</v>
      </c>
      <c r="G795" s="87">
        <v>8560</v>
      </c>
      <c r="H795" s="85">
        <v>498.995</v>
      </c>
      <c r="I795" s="87">
        <v>8560</v>
      </c>
      <c r="J795" s="85">
        <v>456.44499999999999</v>
      </c>
      <c r="K795" s="87">
        <v>8560</v>
      </c>
      <c r="L795" s="85">
        <v>455.709</v>
      </c>
      <c r="M795" s="87">
        <v>8560</v>
      </c>
      <c r="N795" s="85">
        <v>456.279</v>
      </c>
      <c r="O795" s="87">
        <v>8540</v>
      </c>
      <c r="P795" s="85">
        <v>457.34100000000001</v>
      </c>
      <c r="Q795" s="87">
        <v>8560</v>
      </c>
      <c r="R795" s="85">
        <v>457</v>
      </c>
      <c r="S795" s="87">
        <v>8560</v>
      </c>
      <c r="T795" s="85">
        <v>457.673</v>
      </c>
      <c r="U795" s="87">
        <v>8550</v>
      </c>
      <c r="V795" s="85">
        <v>457.37</v>
      </c>
      <c r="W795" s="87">
        <v>8560</v>
      </c>
      <c r="X795" s="85">
        <v>456.774</v>
      </c>
      <c r="Y795" s="87">
        <v>8560</v>
      </c>
      <c r="Z795" s="85">
        <v>455.15699999999998</v>
      </c>
      <c r="AA795" s="87">
        <v>8560</v>
      </c>
      <c r="AB795" s="85">
        <v>455.49900000000002</v>
      </c>
      <c r="AC795" s="87">
        <v>8550</v>
      </c>
      <c r="AD795" s="85">
        <v>379.88099999999997</v>
      </c>
      <c r="AE795" s="87">
        <v>8560</v>
      </c>
      <c r="AF795" s="85">
        <v>381.50400000000002</v>
      </c>
      <c r="AG795" s="87">
        <v>8540</v>
      </c>
      <c r="AH795" s="85">
        <v>88.801000000000002</v>
      </c>
      <c r="AI795" s="87">
        <v>8540</v>
      </c>
      <c r="AJ795" s="85">
        <v>94.165000000000006</v>
      </c>
    </row>
    <row r="796" spans="1:36" ht="14.25" customHeight="1">
      <c r="A796" s="88">
        <v>8570</v>
      </c>
      <c r="B796" s="84">
        <v>202.351</v>
      </c>
      <c r="C796" s="88">
        <v>8580</v>
      </c>
      <c r="D796" s="85">
        <v>200.56399999999999</v>
      </c>
      <c r="E796" s="86">
        <v>8570</v>
      </c>
      <c r="F796" s="85">
        <v>497.49</v>
      </c>
      <c r="G796" s="87">
        <v>8570</v>
      </c>
      <c r="H796" s="85">
        <v>497.54</v>
      </c>
      <c r="I796" s="87">
        <v>8570</v>
      </c>
      <c r="J796" s="85">
        <v>455.233</v>
      </c>
      <c r="K796" s="87">
        <v>8570</v>
      </c>
      <c r="L796" s="85">
        <v>454.49599999999998</v>
      </c>
      <c r="M796" s="87">
        <v>8570</v>
      </c>
      <c r="N796" s="85">
        <v>455.06700000000001</v>
      </c>
      <c r="O796" s="87">
        <v>8550</v>
      </c>
      <c r="P796" s="85">
        <v>456.12900000000002</v>
      </c>
      <c r="Q796" s="87">
        <v>8570</v>
      </c>
      <c r="R796" s="85">
        <v>455.78800000000001</v>
      </c>
      <c r="S796" s="87">
        <v>8570</v>
      </c>
      <c r="T796" s="85">
        <v>456.46100000000001</v>
      </c>
      <c r="U796" s="87">
        <v>8560</v>
      </c>
      <c r="V796" s="85">
        <v>456.16</v>
      </c>
      <c r="W796" s="87">
        <v>8570</v>
      </c>
      <c r="X796" s="85">
        <v>455.56299999999999</v>
      </c>
      <c r="Y796" s="87">
        <v>8570</v>
      </c>
      <c r="Z796" s="85">
        <v>453.94600000000003</v>
      </c>
      <c r="AA796" s="87">
        <v>8570</v>
      </c>
      <c r="AB796" s="85">
        <v>454.28899999999999</v>
      </c>
      <c r="AC796" s="87">
        <v>8560</v>
      </c>
      <c r="AD796" s="85">
        <v>378.68900000000002</v>
      </c>
      <c r="AE796" s="87">
        <v>8570</v>
      </c>
      <c r="AF796" s="85">
        <v>380.31299999999999</v>
      </c>
      <c r="AG796" s="87">
        <v>8550</v>
      </c>
      <c r="AH796" s="85">
        <v>88.481999999999999</v>
      </c>
      <c r="AI796" s="87">
        <v>8550</v>
      </c>
      <c r="AJ796" s="85">
        <v>93.831000000000003</v>
      </c>
    </row>
    <row r="797" spans="1:36" ht="14.25" customHeight="1">
      <c r="A797" s="88">
        <v>8580</v>
      </c>
      <c r="B797" s="84">
        <v>201.637</v>
      </c>
      <c r="C797" s="88">
        <v>8590</v>
      </c>
      <c r="D797" s="85">
        <v>199.85300000000001</v>
      </c>
      <c r="E797" s="86">
        <v>8580</v>
      </c>
      <c r="F797" s="85">
        <v>496.03399999999999</v>
      </c>
      <c r="G797" s="87">
        <v>8580</v>
      </c>
      <c r="H797" s="85">
        <v>496.084</v>
      </c>
      <c r="I797" s="87">
        <v>8580</v>
      </c>
      <c r="J797" s="85">
        <v>454.02199999999999</v>
      </c>
      <c r="K797" s="87">
        <v>8580</v>
      </c>
      <c r="L797" s="85">
        <v>453.28300000000002</v>
      </c>
      <c r="M797" s="87">
        <v>8580</v>
      </c>
      <c r="N797" s="85">
        <v>453.85500000000002</v>
      </c>
      <c r="O797" s="87">
        <v>8560</v>
      </c>
      <c r="P797" s="85">
        <v>454.916</v>
      </c>
      <c r="Q797" s="87">
        <v>8580</v>
      </c>
      <c r="R797" s="85">
        <v>454.57600000000002</v>
      </c>
      <c r="S797" s="87">
        <v>8580</v>
      </c>
      <c r="T797" s="85">
        <v>455.24900000000002</v>
      </c>
      <c r="U797" s="87">
        <v>8570</v>
      </c>
      <c r="V797" s="85">
        <v>454.95</v>
      </c>
      <c r="W797" s="87">
        <v>8580</v>
      </c>
      <c r="X797" s="85">
        <v>454.35199999999998</v>
      </c>
      <c r="Y797" s="87">
        <v>8580</v>
      </c>
      <c r="Z797" s="85">
        <v>452.73500000000001</v>
      </c>
      <c r="AA797" s="87">
        <v>8580</v>
      </c>
      <c r="AB797" s="85">
        <v>453.07900000000001</v>
      </c>
      <c r="AC797" s="87">
        <v>8570</v>
      </c>
      <c r="AD797" s="85">
        <v>377.49799999999999</v>
      </c>
      <c r="AE797" s="87">
        <v>8580</v>
      </c>
      <c r="AF797" s="85">
        <v>379.12200000000001</v>
      </c>
      <c r="AG797" s="87">
        <v>8560</v>
      </c>
      <c r="AH797" s="85">
        <v>88.162999999999997</v>
      </c>
      <c r="AI797" s="87">
        <v>8560</v>
      </c>
      <c r="AJ797" s="85">
        <v>93.498000000000005</v>
      </c>
    </row>
    <row r="798" spans="1:36" ht="14.25" customHeight="1">
      <c r="A798" s="88">
        <v>8590</v>
      </c>
      <c r="B798" s="84">
        <v>200.923</v>
      </c>
      <c r="C798" s="88">
        <v>8600</v>
      </c>
      <c r="D798" s="85">
        <v>199.143</v>
      </c>
      <c r="E798" s="86">
        <v>8590</v>
      </c>
      <c r="F798" s="85">
        <v>494.57900000000001</v>
      </c>
      <c r="G798" s="87">
        <v>8590</v>
      </c>
      <c r="H798" s="85">
        <v>494.62799999999999</v>
      </c>
      <c r="I798" s="87">
        <v>8590</v>
      </c>
      <c r="J798" s="85">
        <v>452.81</v>
      </c>
      <c r="K798" s="87">
        <v>8590</v>
      </c>
      <c r="L798" s="85">
        <v>452.06900000000002</v>
      </c>
      <c r="M798" s="87">
        <v>8590</v>
      </c>
      <c r="N798" s="85">
        <v>452.64299999999997</v>
      </c>
      <c r="O798" s="87">
        <v>8570</v>
      </c>
      <c r="P798" s="85">
        <v>453.70400000000001</v>
      </c>
      <c r="Q798" s="87">
        <v>8590</v>
      </c>
      <c r="R798" s="85">
        <v>453.36399999999998</v>
      </c>
      <c r="S798" s="87">
        <v>8590</v>
      </c>
      <c r="T798" s="85">
        <v>454.03699999999998</v>
      </c>
      <c r="U798" s="87">
        <v>8580</v>
      </c>
      <c r="V798" s="85">
        <v>453.74</v>
      </c>
      <c r="W798" s="87">
        <v>8590</v>
      </c>
      <c r="X798" s="85">
        <v>453.14100000000002</v>
      </c>
      <c r="Y798" s="87">
        <v>8590</v>
      </c>
      <c r="Z798" s="85">
        <v>451.524</v>
      </c>
      <c r="AA798" s="87">
        <v>8590</v>
      </c>
      <c r="AB798" s="85">
        <v>451.86900000000003</v>
      </c>
      <c r="AC798" s="87">
        <v>8580</v>
      </c>
      <c r="AD798" s="85">
        <v>376.30799999999999</v>
      </c>
      <c r="AE798" s="87">
        <v>8590</v>
      </c>
      <c r="AF798" s="85">
        <v>377.93099999999998</v>
      </c>
      <c r="AG798" s="87">
        <v>8570</v>
      </c>
      <c r="AH798" s="85">
        <v>87.844999999999999</v>
      </c>
      <c r="AI798" s="87">
        <v>8570</v>
      </c>
      <c r="AJ798" s="85">
        <v>93.165000000000006</v>
      </c>
    </row>
    <row r="799" spans="1:36" ht="14.25" customHeight="1">
      <c r="A799" s="88">
        <v>8600</v>
      </c>
      <c r="B799" s="84">
        <v>200.21</v>
      </c>
      <c r="C799" s="88">
        <v>8610</v>
      </c>
      <c r="D799" s="85">
        <v>198.43299999999999</v>
      </c>
      <c r="E799" s="86">
        <v>8600</v>
      </c>
      <c r="F799" s="85">
        <v>493.12400000000002</v>
      </c>
      <c r="G799" s="87">
        <v>8600</v>
      </c>
      <c r="H799" s="85">
        <v>493.17200000000003</v>
      </c>
      <c r="I799" s="87">
        <v>8600</v>
      </c>
      <c r="J799" s="85">
        <v>451.59800000000001</v>
      </c>
      <c r="K799" s="87">
        <v>8600</v>
      </c>
      <c r="L799" s="85">
        <v>450.85599999999999</v>
      </c>
      <c r="M799" s="87">
        <v>8600</v>
      </c>
      <c r="N799" s="85">
        <v>451.43099999999998</v>
      </c>
      <c r="O799" s="87">
        <v>8580</v>
      </c>
      <c r="P799" s="85">
        <v>452.49200000000002</v>
      </c>
      <c r="Q799" s="87">
        <v>8600</v>
      </c>
      <c r="R799" s="85">
        <v>452.15199999999999</v>
      </c>
      <c r="S799" s="87">
        <v>8600</v>
      </c>
      <c r="T799" s="85">
        <v>452.82499999999999</v>
      </c>
      <c r="U799" s="87">
        <v>8590</v>
      </c>
      <c r="V799" s="85">
        <v>452.529</v>
      </c>
      <c r="W799" s="87">
        <v>8600</v>
      </c>
      <c r="X799" s="85">
        <v>451.93</v>
      </c>
      <c r="Y799" s="87">
        <v>8600</v>
      </c>
      <c r="Z799" s="85">
        <v>450.31299999999999</v>
      </c>
      <c r="AA799" s="87">
        <v>8600</v>
      </c>
      <c r="AB799" s="85">
        <v>450.65899999999999</v>
      </c>
      <c r="AC799" s="87">
        <v>8590</v>
      </c>
      <c r="AD799" s="85">
        <v>375.11799999999999</v>
      </c>
      <c r="AE799" s="87">
        <v>8600</v>
      </c>
      <c r="AF799" s="85">
        <v>376.74099999999999</v>
      </c>
      <c r="AG799" s="87">
        <v>8580</v>
      </c>
      <c r="AH799" s="85">
        <v>87.527000000000001</v>
      </c>
      <c r="AI799" s="87">
        <v>8580</v>
      </c>
      <c r="AJ799" s="85">
        <v>92.832999999999998</v>
      </c>
    </row>
    <row r="800" spans="1:36" ht="14.25" customHeight="1">
      <c r="A800" s="88">
        <v>8610</v>
      </c>
      <c r="B800" s="84">
        <v>199.49700000000001</v>
      </c>
      <c r="C800" s="88">
        <v>8620</v>
      </c>
      <c r="D800" s="85">
        <v>197.72399999999999</v>
      </c>
      <c r="E800" s="86">
        <v>8610</v>
      </c>
      <c r="F800" s="85">
        <v>491.66899999999998</v>
      </c>
      <c r="G800" s="87">
        <v>8610</v>
      </c>
      <c r="H800" s="85">
        <v>491.71699999999998</v>
      </c>
      <c r="I800" s="87">
        <v>8610</v>
      </c>
      <c r="J800" s="85">
        <v>450.38600000000002</v>
      </c>
      <c r="K800" s="87">
        <v>8610</v>
      </c>
      <c r="L800" s="85">
        <v>449.642</v>
      </c>
      <c r="M800" s="87">
        <v>8610</v>
      </c>
      <c r="N800" s="85">
        <v>450.21899999999999</v>
      </c>
      <c r="O800" s="87">
        <v>8590</v>
      </c>
      <c r="P800" s="85">
        <v>451.28</v>
      </c>
      <c r="Q800" s="87">
        <v>8610</v>
      </c>
      <c r="R800" s="85">
        <v>450.94</v>
      </c>
      <c r="S800" s="87">
        <v>8610</v>
      </c>
      <c r="T800" s="85">
        <v>451.613</v>
      </c>
      <c r="U800" s="87">
        <v>8600</v>
      </c>
      <c r="V800" s="85">
        <v>451.31900000000002</v>
      </c>
      <c r="W800" s="87">
        <v>8610</v>
      </c>
      <c r="X800" s="85">
        <v>450.71899999999999</v>
      </c>
      <c r="Y800" s="87">
        <v>8610</v>
      </c>
      <c r="Z800" s="85">
        <v>449.10300000000001</v>
      </c>
      <c r="AA800" s="87">
        <v>8610</v>
      </c>
      <c r="AB800" s="85">
        <v>449.44900000000001</v>
      </c>
      <c r="AC800" s="87">
        <v>8600</v>
      </c>
      <c r="AD800" s="85">
        <v>373.928</v>
      </c>
      <c r="AE800" s="87">
        <v>8610</v>
      </c>
      <c r="AF800" s="85">
        <v>375.55200000000002</v>
      </c>
      <c r="AG800" s="87">
        <v>8590</v>
      </c>
      <c r="AH800" s="85">
        <v>87.209000000000003</v>
      </c>
      <c r="AI800" s="87">
        <v>8590</v>
      </c>
      <c r="AJ800" s="85">
        <v>92.501000000000005</v>
      </c>
    </row>
    <row r="801" spans="1:36" ht="14.25" customHeight="1">
      <c r="A801" s="88">
        <v>8620</v>
      </c>
      <c r="B801" s="84">
        <v>198.78399999999999</v>
      </c>
      <c r="C801" s="88">
        <v>8630</v>
      </c>
      <c r="D801" s="85">
        <v>197.01400000000001</v>
      </c>
      <c r="E801" s="86">
        <v>8620</v>
      </c>
      <c r="F801" s="85">
        <v>490.214</v>
      </c>
      <c r="G801" s="87">
        <v>8620</v>
      </c>
      <c r="H801" s="85">
        <v>490.26100000000002</v>
      </c>
      <c r="I801" s="87">
        <v>8620</v>
      </c>
      <c r="J801" s="85">
        <v>449.17500000000001</v>
      </c>
      <c r="K801" s="87">
        <v>8620</v>
      </c>
      <c r="L801" s="85">
        <v>448.42899999999997</v>
      </c>
      <c r="M801" s="87">
        <v>8620</v>
      </c>
      <c r="N801" s="85">
        <v>449.00799999999998</v>
      </c>
      <c r="O801" s="87">
        <v>8600</v>
      </c>
      <c r="P801" s="85">
        <v>450.06799999999998</v>
      </c>
      <c r="Q801" s="87">
        <v>8620</v>
      </c>
      <c r="R801" s="85">
        <v>449.72800000000001</v>
      </c>
      <c r="S801" s="87">
        <v>8620</v>
      </c>
      <c r="T801" s="85">
        <v>450.40100000000001</v>
      </c>
      <c r="U801" s="87">
        <v>8610</v>
      </c>
      <c r="V801" s="85">
        <v>450.10899999999998</v>
      </c>
      <c r="W801" s="87">
        <v>8620</v>
      </c>
      <c r="X801" s="85">
        <v>449.50799999999998</v>
      </c>
      <c r="Y801" s="87">
        <v>8620</v>
      </c>
      <c r="Z801" s="85">
        <v>447.892</v>
      </c>
      <c r="AA801" s="87">
        <v>8620</v>
      </c>
      <c r="AB801" s="85">
        <v>448.23899999999998</v>
      </c>
      <c r="AC801" s="87">
        <v>8610</v>
      </c>
      <c r="AD801" s="85">
        <v>372.73899999999998</v>
      </c>
      <c r="AE801" s="87">
        <v>8620</v>
      </c>
      <c r="AF801" s="85">
        <v>374.363</v>
      </c>
      <c r="AG801" s="87">
        <v>8600</v>
      </c>
      <c r="AH801" s="85">
        <v>86.891999999999996</v>
      </c>
      <c r="AI801" s="87">
        <v>8600</v>
      </c>
      <c r="AJ801" s="85">
        <v>92.168999999999997</v>
      </c>
    </row>
    <row r="802" spans="1:36" ht="14.25" customHeight="1">
      <c r="A802" s="88">
        <v>8630</v>
      </c>
      <c r="B802" s="84">
        <v>198.072</v>
      </c>
      <c r="C802" s="88">
        <v>8640</v>
      </c>
      <c r="D802" s="85">
        <v>196.30500000000001</v>
      </c>
      <c r="E802" s="86">
        <v>8630</v>
      </c>
      <c r="F802" s="85">
        <v>488.75900000000001</v>
      </c>
      <c r="G802" s="87">
        <v>8630</v>
      </c>
      <c r="H802" s="85">
        <v>488.80599999999998</v>
      </c>
      <c r="I802" s="87">
        <v>8630</v>
      </c>
      <c r="J802" s="85">
        <v>447.96300000000002</v>
      </c>
      <c r="K802" s="87">
        <v>8630</v>
      </c>
      <c r="L802" s="85">
        <v>447.21600000000001</v>
      </c>
      <c r="M802" s="87">
        <v>8630</v>
      </c>
      <c r="N802" s="85">
        <v>447.79599999999999</v>
      </c>
      <c r="O802" s="87">
        <v>8610</v>
      </c>
      <c r="P802" s="85">
        <v>448.85599999999999</v>
      </c>
      <c r="Q802" s="87">
        <v>8630</v>
      </c>
      <c r="R802" s="85">
        <v>448.51600000000002</v>
      </c>
      <c r="S802" s="87">
        <v>8630</v>
      </c>
      <c r="T802" s="85">
        <v>449.18900000000002</v>
      </c>
      <c r="U802" s="87">
        <v>8620</v>
      </c>
      <c r="V802" s="85">
        <v>448.899</v>
      </c>
      <c r="W802" s="87">
        <v>8630</v>
      </c>
      <c r="X802" s="85">
        <v>448.29700000000003</v>
      </c>
      <c r="Y802" s="87">
        <v>8630</v>
      </c>
      <c r="Z802" s="85">
        <v>446.68099999999998</v>
      </c>
      <c r="AA802" s="87">
        <v>8630</v>
      </c>
      <c r="AB802" s="85">
        <v>447.029</v>
      </c>
      <c r="AC802" s="87">
        <v>8620</v>
      </c>
      <c r="AD802" s="85">
        <v>371.55099999999999</v>
      </c>
      <c r="AE802" s="87">
        <v>8630</v>
      </c>
      <c r="AF802" s="85">
        <v>373.17500000000001</v>
      </c>
      <c r="AG802" s="87">
        <v>8610</v>
      </c>
      <c r="AH802" s="85">
        <v>86.575000000000003</v>
      </c>
      <c r="AI802" s="87">
        <v>8610</v>
      </c>
      <c r="AJ802" s="85">
        <v>91.837999999999994</v>
      </c>
    </row>
    <row r="803" spans="1:36" ht="14.25" customHeight="1">
      <c r="A803" s="88">
        <v>8640</v>
      </c>
      <c r="B803" s="84">
        <v>197.35900000000001</v>
      </c>
      <c r="C803" s="88">
        <v>8650</v>
      </c>
      <c r="D803" s="85">
        <v>195.596</v>
      </c>
      <c r="E803" s="86">
        <v>8640</v>
      </c>
      <c r="F803" s="85">
        <v>487.30500000000001</v>
      </c>
      <c r="G803" s="87">
        <v>8640</v>
      </c>
      <c r="H803" s="85">
        <v>487.351</v>
      </c>
      <c r="I803" s="87">
        <v>8640</v>
      </c>
      <c r="J803" s="85">
        <v>446.75099999999998</v>
      </c>
      <c r="K803" s="87">
        <v>8640</v>
      </c>
      <c r="L803" s="85">
        <v>446.00200000000001</v>
      </c>
      <c r="M803" s="87">
        <v>8640</v>
      </c>
      <c r="N803" s="85">
        <v>446.584</v>
      </c>
      <c r="O803" s="87">
        <v>8620</v>
      </c>
      <c r="P803" s="85">
        <v>447.64400000000001</v>
      </c>
      <c r="Q803" s="87">
        <v>8640</v>
      </c>
      <c r="R803" s="85">
        <v>447.30500000000001</v>
      </c>
      <c r="S803" s="87">
        <v>8640</v>
      </c>
      <c r="T803" s="85">
        <v>447.976</v>
      </c>
      <c r="U803" s="87">
        <v>8630</v>
      </c>
      <c r="V803" s="85">
        <v>447.68799999999999</v>
      </c>
      <c r="W803" s="87">
        <v>8640</v>
      </c>
      <c r="X803" s="85">
        <v>447.08600000000001</v>
      </c>
      <c r="Y803" s="87">
        <v>8640</v>
      </c>
      <c r="Z803" s="85">
        <v>445.47</v>
      </c>
      <c r="AA803" s="87">
        <v>8640</v>
      </c>
      <c r="AB803" s="85">
        <v>445.81900000000002</v>
      </c>
      <c r="AC803" s="87">
        <v>8630</v>
      </c>
      <c r="AD803" s="85">
        <v>370.363</v>
      </c>
      <c r="AE803" s="87">
        <v>8640</v>
      </c>
      <c r="AF803" s="85">
        <v>371.98700000000002</v>
      </c>
      <c r="AG803" s="87">
        <v>8620</v>
      </c>
      <c r="AH803" s="85">
        <v>86.259</v>
      </c>
      <c r="AI803" s="87">
        <v>8620</v>
      </c>
      <c r="AJ803" s="85">
        <v>91.507000000000005</v>
      </c>
    </row>
    <row r="804" spans="1:36" ht="14.25" customHeight="1">
      <c r="A804" s="88">
        <v>8650</v>
      </c>
      <c r="B804" s="84">
        <v>196.64699999999999</v>
      </c>
      <c r="C804" s="88">
        <v>8660</v>
      </c>
      <c r="D804" s="85">
        <v>194.887</v>
      </c>
      <c r="E804" s="86">
        <v>8650</v>
      </c>
      <c r="F804" s="85">
        <v>485.85</v>
      </c>
      <c r="G804" s="87">
        <v>8650</v>
      </c>
      <c r="H804" s="85">
        <v>485.89600000000002</v>
      </c>
      <c r="I804" s="87">
        <v>8650</v>
      </c>
      <c r="J804" s="85">
        <v>445.53899999999999</v>
      </c>
      <c r="K804" s="87">
        <v>8650</v>
      </c>
      <c r="L804" s="85">
        <v>444.78899999999999</v>
      </c>
      <c r="M804" s="87">
        <v>8650</v>
      </c>
      <c r="N804" s="85">
        <v>445.37200000000001</v>
      </c>
      <c r="O804" s="87">
        <v>8630</v>
      </c>
      <c r="P804" s="85">
        <v>446.43200000000002</v>
      </c>
      <c r="Q804" s="87">
        <v>8650</v>
      </c>
      <c r="R804" s="85">
        <v>446.09300000000002</v>
      </c>
      <c r="S804" s="87">
        <v>8650</v>
      </c>
      <c r="T804" s="85">
        <v>446.76400000000001</v>
      </c>
      <c r="U804" s="87">
        <v>8640</v>
      </c>
      <c r="V804" s="85">
        <v>446.47800000000001</v>
      </c>
      <c r="W804" s="87">
        <v>8650</v>
      </c>
      <c r="X804" s="85">
        <v>445.875</v>
      </c>
      <c r="Y804" s="87">
        <v>8650</v>
      </c>
      <c r="Z804" s="85">
        <v>444.25900000000001</v>
      </c>
      <c r="AA804" s="87">
        <v>8650</v>
      </c>
      <c r="AB804" s="85">
        <v>444.60899999999998</v>
      </c>
      <c r="AC804" s="87">
        <v>8640</v>
      </c>
      <c r="AD804" s="85">
        <v>369.17500000000001</v>
      </c>
      <c r="AE804" s="87">
        <v>8650</v>
      </c>
      <c r="AF804" s="85">
        <v>370.8</v>
      </c>
      <c r="AG804" s="87">
        <v>8630</v>
      </c>
      <c r="AH804" s="85">
        <v>85.942999999999998</v>
      </c>
      <c r="AI804" s="87">
        <v>8630</v>
      </c>
      <c r="AJ804" s="85">
        <v>91.177000000000007</v>
      </c>
    </row>
    <row r="805" spans="1:36" ht="14.25" customHeight="1">
      <c r="A805" s="88">
        <v>8660</v>
      </c>
      <c r="B805" s="84">
        <v>195.935</v>
      </c>
      <c r="C805" s="88">
        <v>8670</v>
      </c>
      <c r="D805" s="85">
        <v>194.178</v>
      </c>
      <c r="E805" s="86">
        <v>8660</v>
      </c>
      <c r="F805" s="85">
        <v>484.39600000000002</v>
      </c>
      <c r="G805" s="87">
        <v>8660</v>
      </c>
      <c r="H805" s="85">
        <v>484.44099999999997</v>
      </c>
      <c r="I805" s="87">
        <v>8660</v>
      </c>
      <c r="J805" s="85">
        <v>444.32799999999997</v>
      </c>
      <c r="K805" s="87">
        <v>8660</v>
      </c>
      <c r="L805" s="85">
        <v>443.57499999999999</v>
      </c>
      <c r="M805" s="87">
        <v>8660</v>
      </c>
      <c r="N805" s="85">
        <v>444.16</v>
      </c>
      <c r="O805" s="87">
        <v>8640</v>
      </c>
      <c r="P805" s="85">
        <v>445.21899999999999</v>
      </c>
      <c r="Q805" s="87">
        <v>8660</v>
      </c>
      <c r="R805" s="85">
        <v>444.88099999999997</v>
      </c>
      <c r="S805" s="87">
        <v>8660</v>
      </c>
      <c r="T805" s="85">
        <v>445.553</v>
      </c>
      <c r="U805" s="87">
        <v>8650</v>
      </c>
      <c r="V805" s="85">
        <v>445.26799999999997</v>
      </c>
      <c r="W805" s="87">
        <v>8660</v>
      </c>
      <c r="X805" s="85">
        <v>444.66399999999999</v>
      </c>
      <c r="Y805" s="87">
        <v>8660</v>
      </c>
      <c r="Z805" s="85">
        <v>443.048</v>
      </c>
      <c r="AA805" s="87">
        <v>8660</v>
      </c>
      <c r="AB805" s="85">
        <v>443.399</v>
      </c>
      <c r="AC805" s="87">
        <v>8650</v>
      </c>
      <c r="AD805" s="85">
        <v>367.98899999999998</v>
      </c>
      <c r="AE805" s="87">
        <v>8660</v>
      </c>
      <c r="AF805" s="85">
        <v>369.613</v>
      </c>
      <c r="AG805" s="87">
        <v>8640</v>
      </c>
      <c r="AH805" s="85">
        <v>85.628</v>
      </c>
      <c r="AI805" s="87">
        <v>8640</v>
      </c>
      <c r="AJ805" s="85">
        <v>90.846999999999994</v>
      </c>
    </row>
    <row r="806" spans="1:36" ht="14.25" customHeight="1">
      <c r="A806" s="88">
        <v>8670</v>
      </c>
      <c r="B806" s="84">
        <v>195.22300000000001</v>
      </c>
      <c r="C806" s="88">
        <v>8680</v>
      </c>
      <c r="D806" s="85">
        <v>193.47</v>
      </c>
      <c r="E806" s="86">
        <v>8670</v>
      </c>
      <c r="F806" s="85">
        <v>482.94099999999997</v>
      </c>
      <c r="G806" s="87">
        <v>8670</v>
      </c>
      <c r="H806" s="85">
        <v>482.98599999999999</v>
      </c>
      <c r="I806" s="87">
        <v>8670</v>
      </c>
      <c r="J806" s="85">
        <v>443.11599999999999</v>
      </c>
      <c r="K806" s="87">
        <v>8670</v>
      </c>
      <c r="L806" s="85">
        <v>442.36200000000002</v>
      </c>
      <c r="M806" s="87">
        <v>8670</v>
      </c>
      <c r="N806" s="85">
        <v>442.94799999999998</v>
      </c>
      <c r="O806" s="87">
        <v>8650</v>
      </c>
      <c r="P806" s="85">
        <v>444.00700000000001</v>
      </c>
      <c r="Q806" s="87">
        <v>8670</v>
      </c>
      <c r="R806" s="85">
        <v>443.66899999999998</v>
      </c>
      <c r="S806" s="87">
        <v>8670</v>
      </c>
      <c r="T806" s="85">
        <v>444.34</v>
      </c>
      <c r="U806" s="87">
        <v>8660</v>
      </c>
      <c r="V806" s="85">
        <v>444.05799999999999</v>
      </c>
      <c r="W806" s="87">
        <v>8670</v>
      </c>
      <c r="X806" s="85">
        <v>443.45299999999997</v>
      </c>
      <c r="Y806" s="87">
        <v>8670</v>
      </c>
      <c r="Z806" s="85">
        <v>441.83699999999999</v>
      </c>
      <c r="AA806" s="87">
        <v>8670</v>
      </c>
      <c r="AB806" s="85">
        <v>442.18900000000002</v>
      </c>
      <c r="AC806" s="87">
        <v>8660</v>
      </c>
      <c r="AD806" s="85">
        <v>366.80200000000002</v>
      </c>
      <c r="AE806" s="87">
        <v>8670</v>
      </c>
      <c r="AF806" s="85">
        <v>368.42700000000002</v>
      </c>
      <c r="AG806" s="87">
        <v>8650</v>
      </c>
      <c r="AH806" s="85">
        <v>85.313000000000002</v>
      </c>
      <c r="AI806" s="87">
        <v>8650</v>
      </c>
      <c r="AJ806" s="85">
        <v>90.516999999999996</v>
      </c>
    </row>
    <row r="807" spans="1:36" ht="14.25" customHeight="1">
      <c r="A807" s="88">
        <v>8680</v>
      </c>
      <c r="B807" s="84">
        <v>194.512</v>
      </c>
      <c r="C807" s="88">
        <v>8690</v>
      </c>
      <c r="D807" s="85">
        <v>192.762</v>
      </c>
      <c r="E807" s="86">
        <v>8680</v>
      </c>
      <c r="F807" s="85">
        <v>481.48700000000002</v>
      </c>
      <c r="G807" s="87">
        <v>8680</v>
      </c>
      <c r="H807" s="85">
        <v>481.53100000000001</v>
      </c>
      <c r="I807" s="87">
        <v>8680</v>
      </c>
      <c r="J807" s="85">
        <v>441.904</v>
      </c>
      <c r="K807" s="87">
        <v>8680</v>
      </c>
      <c r="L807" s="85">
        <v>441.149</v>
      </c>
      <c r="M807" s="87">
        <v>8680</v>
      </c>
      <c r="N807" s="85">
        <v>441.73599999999999</v>
      </c>
      <c r="O807" s="87">
        <v>8660</v>
      </c>
      <c r="P807" s="85">
        <v>442.79500000000002</v>
      </c>
      <c r="Q807" s="87">
        <v>8680</v>
      </c>
      <c r="R807" s="85">
        <v>442.45699999999999</v>
      </c>
      <c r="S807" s="87">
        <v>8680</v>
      </c>
      <c r="T807" s="85">
        <v>443.12799999999999</v>
      </c>
      <c r="U807" s="87">
        <v>8670</v>
      </c>
      <c r="V807" s="85">
        <v>442.84699999999998</v>
      </c>
      <c r="W807" s="87">
        <v>8680</v>
      </c>
      <c r="X807" s="85">
        <v>442.24200000000002</v>
      </c>
      <c r="Y807" s="87">
        <v>8680</v>
      </c>
      <c r="Z807" s="85">
        <v>440.62599999999998</v>
      </c>
      <c r="AA807" s="87">
        <v>8680</v>
      </c>
      <c r="AB807" s="85">
        <v>440.97899999999998</v>
      </c>
      <c r="AC807" s="87">
        <v>8670</v>
      </c>
      <c r="AD807" s="85">
        <v>365.61700000000002</v>
      </c>
      <c r="AE807" s="87">
        <v>8680</v>
      </c>
      <c r="AF807" s="85">
        <v>367.24099999999999</v>
      </c>
      <c r="AG807" s="87">
        <v>8660</v>
      </c>
      <c r="AH807" s="85">
        <v>84.998000000000005</v>
      </c>
      <c r="AI807" s="87">
        <v>8660</v>
      </c>
      <c r="AJ807" s="85">
        <v>90.188000000000002</v>
      </c>
    </row>
    <row r="808" spans="1:36" ht="14.25" customHeight="1">
      <c r="A808" s="88">
        <v>8690</v>
      </c>
      <c r="B808" s="84">
        <v>193.8</v>
      </c>
      <c r="C808" s="88">
        <v>8700</v>
      </c>
      <c r="D808" s="85">
        <v>192.054</v>
      </c>
      <c r="E808" s="86">
        <v>8690</v>
      </c>
      <c r="F808" s="85">
        <v>480.03300000000002</v>
      </c>
      <c r="G808" s="87">
        <v>8690</v>
      </c>
      <c r="H808" s="85">
        <v>480.07600000000002</v>
      </c>
      <c r="I808" s="87">
        <v>8690</v>
      </c>
      <c r="J808" s="85">
        <v>440.69299999999998</v>
      </c>
      <c r="K808" s="87">
        <v>8690</v>
      </c>
      <c r="L808" s="85">
        <v>439.935</v>
      </c>
      <c r="M808" s="87">
        <v>8690</v>
      </c>
      <c r="N808" s="85">
        <v>440.52499999999998</v>
      </c>
      <c r="O808" s="87">
        <v>8670</v>
      </c>
      <c r="P808" s="85">
        <v>441.58300000000003</v>
      </c>
      <c r="Q808" s="87">
        <v>8690</v>
      </c>
      <c r="R808" s="85">
        <v>441.245</v>
      </c>
      <c r="S808" s="87">
        <v>8690</v>
      </c>
      <c r="T808" s="85">
        <v>441.916</v>
      </c>
      <c r="U808" s="87">
        <v>8680</v>
      </c>
      <c r="V808" s="85">
        <v>441.637</v>
      </c>
      <c r="W808" s="87">
        <v>8690</v>
      </c>
      <c r="X808" s="85">
        <v>441.03100000000001</v>
      </c>
      <c r="Y808" s="87">
        <v>8690</v>
      </c>
      <c r="Z808" s="85">
        <v>439.416</v>
      </c>
      <c r="AA808" s="87">
        <v>8690</v>
      </c>
      <c r="AB808" s="85">
        <v>439.76900000000001</v>
      </c>
      <c r="AC808" s="87">
        <v>8680</v>
      </c>
      <c r="AD808" s="85">
        <v>364.43200000000002</v>
      </c>
      <c r="AE808" s="87">
        <v>8690</v>
      </c>
      <c r="AF808" s="85">
        <v>366.05599999999998</v>
      </c>
      <c r="AG808" s="87">
        <v>8670</v>
      </c>
      <c r="AH808" s="85">
        <v>84.683999999999997</v>
      </c>
      <c r="AI808" s="87">
        <v>8670</v>
      </c>
      <c r="AJ808" s="85">
        <v>89.858999999999995</v>
      </c>
    </row>
    <row r="809" spans="1:36" ht="14.25" customHeight="1">
      <c r="A809" s="88">
        <v>8700</v>
      </c>
      <c r="B809" s="84">
        <v>193.089</v>
      </c>
      <c r="C809" s="88">
        <v>8710</v>
      </c>
      <c r="D809" s="85">
        <v>191.346</v>
      </c>
      <c r="E809" s="86">
        <v>8700</v>
      </c>
      <c r="F809" s="85">
        <v>478.57900000000001</v>
      </c>
      <c r="G809" s="87">
        <v>8700</v>
      </c>
      <c r="H809" s="85">
        <v>478.62200000000001</v>
      </c>
      <c r="I809" s="87">
        <v>8700</v>
      </c>
      <c r="J809" s="85">
        <v>439.48099999999999</v>
      </c>
      <c r="K809" s="87">
        <v>8700</v>
      </c>
      <c r="L809" s="85">
        <v>438.72199999999998</v>
      </c>
      <c r="M809" s="87">
        <v>8700</v>
      </c>
      <c r="N809" s="85">
        <v>439.31299999999999</v>
      </c>
      <c r="O809" s="87">
        <v>8680</v>
      </c>
      <c r="P809" s="85">
        <v>440.37099999999998</v>
      </c>
      <c r="Q809" s="87">
        <v>8700</v>
      </c>
      <c r="R809" s="85">
        <v>440.03300000000002</v>
      </c>
      <c r="S809" s="87">
        <v>8700</v>
      </c>
      <c r="T809" s="85">
        <v>440.70400000000001</v>
      </c>
      <c r="U809" s="87">
        <v>8690</v>
      </c>
      <c r="V809" s="85">
        <v>440.42700000000002</v>
      </c>
      <c r="W809" s="87">
        <v>8700</v>
      </c>
      <c r="X809" s="85">
        <v>439.82</v>
      </c>
      <c r="Y809" s="87">
        <v>8700</v>
      </c>
      <c r="Z809" s="85">
        <v>438.20499999999998</v>
      </c>
      <c r="AA809" s="87">
        <v>8700</v>
      </c>
      <c r="AB809" s="85">
        <v>438.55900000000003</v>
      </c>
      <c r="AC809" s="87">
        <v>8690</v>
      </c>
      <c r="AD809" s="85">
        <v>363.24700000000001</v>
      </c>
      <c r="AE809" s="87">
        <v>8700</v>
      </c>
      <c r="AF809" s="85">
        <v>364.87200000000001</v>
      </c>
      <c r="AG809" s="87">
        <v>8680</v>
      </c>
      <c r="AH809" s="85">
        <v>84.37</v>
      </c>
      <c r="AI809" s="87">
        <v>8680</v>
      </c>
      <c r="AJ809" s="85">
        <v>89.531000000000006</v>
      </c>
    </row>
    <row r="810" spans="1:36" ht="14.25" customHeight="1">
      <c r="A810" s="88">
        <v>8710</v>
      </c>
      <c r="B810" s="84">
        <v>192.37899999999999</v>
      </c>
      <c r="C810" s="88">
        <v>8720</v>
      </c>
      <c r="D810" s="85">
        <v>190.63800000000001</v>
      </c>
      <c r="E810" s="86">
        <v>8710</v>
      </c>
      <c r="F810" s="85">
        <v>477.125</v>
      </c>
      <c r="G810" s="87">
        <v>8710</v>
      </c>
      <c r="H810" s="85">
        <v>477.16699999999997</v>
      </c>
      <c r="I810" s="87">
        <v>8710</v>
      </c>
      <c r="J810" s="85">
        <v>438.26900000000001</v>
      </c>
      <c r="K810" s="87">
        <v>8710</v>
      </c>
      <c r="L810" s="85">
        <v>437.50900000000001</v>
      </c>
      <c r="M810" s="87">
        <v>8710</v>
      </c>
      <c r="N810" s="85">
        <v>438.101</v>
      </c>
      <c r="O810" s="87">
        <v>8690</v>
      </c>
      <c r="P810" s="85">
        <v>439.15899999999999</v>
      </c>
      <c r="Q810" s="87">
        <v>8710</v>
      </c>
      <c r="R810" s="85">
        <v>438.82100000000003</v>
      </c>
      <c r="S810" s="87">
        <v>8710</v>
      </c>
      <c r="T810" s="85">
        <v>439.49200000000002</v>
      </c>
      <c r="U810" s="87">
        <v>8700</v>
      </c>
      <c r="V810" s="85">
        <v>439.21699999999998</v>
      </c>
      <c r="W810" s="87">
        <v>8710</v>
      </c>
      <c r="X810" s="85">
        <v>438.60899999999998</v>
      </c>
      <c r="Y810" s="87">
        <v>8710</v>
      </c>
      <c r="Z810" s="85">
        <v>436.99400000000003</v>
      </c>
      <c r="AA810" s="87">
        <v>8710</v>
      </c>
      <c r="AB810" s="85">
        <v>437.34899999999999</v>
      </c>
      <c r="AC810" s="87">
        <v>8700</v>
      </c>
      <c r="AD810" s="85">
        <v>362.06299999999999</v>
      </c>
      <c r="AE810" s="87">
        <v>8710</v>
      </c>
      <c r="AF810" s="85">
        <v>363.68799999999999</v>
      </c>
      <c r="AG810" s="87">
        <v>8690</v>
      </c>
      <c r="AH810" s="85">
        <v>84.055999999999997</v>
      </c>
      <c r="AI810" s="87">
        <v>8690</v>
      </c>
      <c r="AJ810" s="85">
        <v>89.203000000000003</v>
      </c>
    </row>
    <row r="811" spans="1:36" ht="14.25" customHeight="1">
      <c r="A811" s="88">
        <v>8720</v>
      </c>
      <c r="B811" s="84">
        <v>191.66800000000001</v>
      </c>
      <c r="C811" s="88">
        <v>8730</v>
      </c>
      <c r="D811" s="85">
        <v>189.93100000000001</v>
      </c>
      <c r="E811" s="86">
        <v>8720</v>
      </c>
      <c r="F811" s="85">
        <v>475.67099999999999</v>
      </c>
      <c r="G811" s="87">
        <v>8720</v>
      </c>
      <c r="H811" s="85">
        <v>475.71199999999999</v>
      </c>
      <c r="I811" s="87">
        <v>8720</v>
      </c>
      <c r="J811" s="85">
        <v>437.05700000000002</v>
      </c>
      <c r="K811" s="87">
        <v>8720</v>
      </c>
      <c r="L811" s="85">
        <v>436.29500000000002</v>
      </c>
      <c r="M811" s="87">
        <v>8720</v>
      </c>
      <c r="N811" s="85">
        <v>436.88900000000001</v>
      </c>
      <c r="O811" s="87">
        <v>8700</v>
      </c>
      <c r="P811" s="85">
        <v>437.947</v>
      </c>
      <c r="Q811" s="87">
        <v>8720</v>
      </c>
      <c r="R811" s="85">
        <v>437.60899999999998</v>
      </c>
      <c r="S811" s="87">
        <v>8720</v>
      </c>
      <c r="T811" s="85">
        <v>438.28</v>
      </c>
      <c r="U811" s="87">
        <v>8710</v>
      </c>
      <c r="V811" s="85">
        <v>438.00599999999997</v>
      </c>
      <c r="W811" s="87">
        <v>8720</v>
      </c>
      <c r="X811" s="85">
        <v>437.39800000000002</v>
      </c>
      <c r="Y811" s="87">
        <v>8720</v>
      </c>
      <c r="Z811" s="85">
        <v>435.78300000000002</v>
      </c>
      <c r="AA811" s="87">
        <v>8720</v>
      </c>
      <c r="AB811" s="85">
        <v>436.13900000000001</v>
      </c>
      <c r="AC811" s="87">
        <v>8710</v>
      </c>
      <c r="AD811" s="85">
        <v>360.88</v>
      </c>
      <c r="AE811" s="87">
        <v>8720</v>
      </c>
      <c r="AF811" s="85">
        <v>362.505</v>
      </c>
      <c r="AG811" s="87">
        <v>8700</v>
      </c>
      <c r="AH811" s="85">
        <v>83.742999999999995</v>
      </c>
      <c r="AI811" s="87">
        <v>8700</v>
      </c>
      <c r="AJ811" s="85">
        <v>88.875</v>
      </c>
    </row>
    <row r="812" spans="1:36" ht="14.25" customHeight="1">
      <c r="A812" s="88">
        <v>8730</v>
      </c>
      <c r="B812" s="84">
        <v>190.958</v>
      </c>
      <c r="C812" s="88">
        <v>8740</v>
      </c>
      <c r="D812" s="85">
        <v>189.22399999999999</v>
      </c>
      <c r="E812" s="86">
        <v>8730</v>
      </c>
      <c r="F812" s="85">
        <v>474.21699999999998</v>
      </c>
      <c r="G812" s="87">
        <v>8730</v>
      </c>
      <c r="H812" s="85">
        <v>474.25799999999998</v>
      </c>
      <c r="I812" s="87">
        <v>8730</v>
      </c>
      <c r="J812" s="85">
        <v>435.846</v>
      </c>
      <c r="K812" s="87">
        <v>8730</v>
      </c>
      <c r="L812" s="85">
        <v>435.08199999999999</v>
      </c>
      <c r="M812" s="87">
        <v>8730</v>
      </c>
      <c r="N812" s="85">
        <v>435.67700000000002</v>
      </c>
      <c r="O812" s="87">
        <v>8710</v>
      </c>
      <c r="P812" s="85">
        <v>436.73500000000001</v>
      </c>
      <c r="Q812" s="87">
        <v>8730</v>
      </c>
      <c r="R812" s="85">
        <v>436.39800000000002</v>
      </c>
      <c r="S812" s="87">
        <v>8730</v>
      </c>
      <c r="T812" s="85">
        <v>437.06799999999998</v>
      </c>
      <c r="U812" s="87">
        <v>8720</v>
      </c>
      <c r="V812" s="85">
        <v>436.79599999999999</v>
      </c>
      <c r="W812" s="87">
        <v>8730</v>
      </c>
      <c r="X812" s="85">
        <v>436.18700000000001</v>
      </c>
      <c r="Y812" s="87">
        <v>8730</v>
      </c>
      <c r="Z812" s="85">
        <v>434.572</v>
      </c>
      <c r="AA812" s="87">
        <v>8730</v>
      </c>
      <c r="AB812" s="85">
        <v>434.92899999999997</v>
      </c>
      <c r="AC812" s="87">
        <v>8720</v>
      </c>
      <c r="AD812" s="85">
        <v>359.697</v>
      </c>
      <c r="AE812" s="87">
        <v>8730</v>
      </c>
      <c r="AF812" s="85">
        <v>361.322</v>
      </c>
      <c r="AG812" s="87">
        <v>8710</v>
      </c>
      <c r="AH812" s="85">
        <v>83.43</v>
      </c>
      <c r="AI812" s="87">
        <v>8710</v>
      </c>
      <c r="AJ812" s="85">
        <v>88.548000000000002</v>
      </c>
    </row>
    <row r="813" spans="1:36" ht="14.25" customHeight="1">
      <c r="A813" s="88">
        <v>8740</v>
      </c>
      <c r="B813" s="84">
        <v>190.24700000000001</v>
      </c>
      <c r="C813" s="88">
        <v>8750</v>
      </c>
      <c r="D813" s="85">
        <v>188.517</v>
      </c>
      <c r="E813" s="86">
        <v>8740</v>
      </c>
      <c r="F813" s="85">
        <v>472.76400000000001</v>
      </c>
      <c r="G813" s="87">
        <v>8740</v>
      </c>
      <c r="H813" s="85">
        <v>472.80399999999997</v>
      </c>
      <c r="I813" s="87">
        <v>8740</v>
      </c>
      <c r="J813" s="85">
        <v>434.63400000000001</v>
      </c>
      <c r="K813" s="87">
        <v>8740</v>
      </c>
      <c r="L813" s="85">
        <v>433.86799999999999</v>
      </c>
      <c r="M813" s="87">
        <v>8740</v>
      </c>
      <c r="N813" s="85">
        <v>434.46499999999997</v>
      </c>
      <c r="O813" s="87">
        <v>8720</v>
      </c>
      <c r="P813" s="85">
        <v>435.52199999999999</v>
      </c>
      <c r="Q813" s="87">
        <v>8740</v>
      </c>
      <c r="R813" s="85">
        <v>435.18599999999998</v>
      </c>
      <c r="S813" s="87">
        <v>8740</v>
      </c>
      <c r="T813" s="85">
        <v>435.85599999999999</v>
      </c>
      <c r="U813" s="87">
        <v>8730</v>
      </c>
      <c r="V813" s="85">
        <v>435.58600000000001</v>
      </c>
      <c r="W813" s="87">
        <v>8740</v>
      </c>
      <c r="X813" s="85">
        <v>434.976</v>
      </c>
      <c r="Y813" s="87">
        <v>8740</v>
      </c>
      <c r="Z813" s="85">
        <v>433.36099999999999</v>
      </c>
      <c r="AA813" s="87">
        <v>8740</v>
      </c>
      <c r="AB813" s="85">
        <v>433.71899999999999</v>
      </c>
      <c r="AC813" s="87">
        <v>8730</v>
      </c>
      <c r="AD813" s="85">
        <v>358.51499999999999</v>
      </c>
      <c r="AE813" s="87">
        <v>8740</v>
      </c>
      <c r="AF813" s="85">
        <v>360.14</v>
      </c>
      <c r="AG813" s="87">
        <v>8720</v>
      </c>
      <c r="AH813" s="85">
        <v>83.117999999999995</v>
      </c>
      <c r="AI813" s="87">
        <v>8720</v>
      </c>
      <c r="AJ813" s="85">
        <v>88.221000000000004</v>
      </c>
    </row>
    <row r="814" spans="1:36" ht="14.25" customHeight="1">
      <c r="A814" s="88">
        <v>8750</v>
      </c>
      <c r="B814" s="84">
        <v>189.53700000000001</v>
      </c>
      <c r="C814" s="88">
        <v>8760</v>
      </c>
      <c r="D814" s="85">
        <v>187.81</v>
      </c>
      <c r="E814" s="86">
        <v>8750</v>
      </c>
      <c r="F814" s="85">
        <v>471.31</v>
      </c>
      <c r="G814" s="87">
        <v>8750</v>
      </c>
      <c r="H814" s="85">
        <v>471.35</v>
      </c>
      <c r="I814" s="87">
        <v>8750</v>
      </c>
      <c r="J814" s="85">
        <v>433.42200000000003</v>
      </c>
      <c r="K814" s="87">
        <v>8750</v>
      </c>
      <c r="L814" s="85">
        <v>432.65499999999997</v>
      </c>
      <c r="M814" s="87">
        <v>8750</v>
      </c>
      <c r="N814" s="85">
        <v>433.25299999999999</v>
      </c>
      <c r="O814" s="87">
        <v>8730</v>
      </c>
      <c r="P814" s="85">
        <v>434.31</v>
      </c>
      <c r="Q814" s="87">
        <v>8750</v>
      </c>
      <c r="R814" s="85">
        <v>433.97399999999999</v>
      </c>
      <c r="S814" s="87">
        <v>8750</v>
      </c>
      <c r="T814" s="85">
        <v>434.64400000000001</v>
      </c>
      <c r="U814" s="87">
        <v>8740</v>
      </c>
      <c r="V814" s="85">
        <v>434.37599999999998</v>
      </c>
      <c r="W814" s="87">
        <v>8750</v>
      </c>
      <c r="X814" s="85">
        <v>433.76499999999999</v>
      </c>
      <c r="Y814" s="87">
        <v>8750</v>
      </c>
      <c r="Z814" s="85">
        <v>432.15100000000001</v>
      </c>
      <c r="AA814" s="87">
        <v>8750</v>
      </c>
      <c r="AB814" s="85">
        <v>432.50900000000001</v>
      </c>
      <c r="AC814" s="87">
        <v>8740</v>
      </c>
      <c r="AD814" s="85">
        <v>357.33300000000003</v>
      </c>
      <c r="AE814" s="87">
        <v>8750</v>
      </c>
      <c r="AF814" s="85">
        <v>358.959</v>
      </c>
      <c r="AG814" s="87">
        <v>8730</v>
      </c>
      <c r="AH814" s="85">
        <v>82.805999999999997</v>
      </c>
      <c r="AI814" s="87">
        <v>8730</v>
      </c>
      <c r="AJ814" s="85">
        <v>87.894999999999996</v>
      </c>
    </row>
    <row r="815" spans="1:36" ht="14.25" customHeight="1">
      <c r="A815" s="88">
        <v>8760</v>
      </c>
      <c r="B815" s="84">
        <v>188.828</v>
      </c>
      <c r="C815" s="88">
        <v>8770</v>
      </c>
      <c r="D815" s="85">
        <v>187.10400000000001</v>
      </c>
      <c r="E815" s="86">
        <v>8760</v>
      </c>
      <c r="F815" s="85">
        <v>469.85700000000003</v>
      </c>
      <c r="G815" s="87">
        <v>8760</v>
      </c>
      <c r="H815" s="85">
        <v>469.89499999999998</v>
      </c>
      <c r="I815" s="87">
        <v>8760</v>
      </c>
      <c r="J815" s="85">
        <v>432.21100000000001</v>
      </c>
      <c r="K815" s="87">
        <v>8760</v>
      </c>
      <c r="L815" s="85">
        <v>431.44200000000001</v>
      </c>
      <c r="M815" s="87">
        <v>8760</v>
      </c>
      <c r="N815" s="85">
        <v>432.041</v>
      </c>
      <c r="O815" s="87">
        <v>8740</v>
      </c>
      <c r="P815" s="85">
        <v>433.09800000000001</v>
      </c>
      <c r="Q815" s="87">
        <v>8760</v>
      </c>
      <c r="R815" s="85">
        <v>432.762</v>
      </c>
      <c r="S815" s="87">
        <v>8760</v>
      </c>
      <c r="T815" s="85">
        <v>433.43200000000002</v>
      </c>
      <c r="U815" s="87">
        <v>8750</v>
      </c>
      <c r="V815" s="85">
        <v>433.16500000000002</v>
      </c>
      <c r="W815" s="87">
        <v>8760</v>
      </c>
      <c r="X815" s="85">
        <v>432.55399999999997</v>
      </c>
      <c r="Y815" s="87">
        <v>8760</v>
      </c>
      <c r="Z815" s="85">
        <v>430.94</v>
      </c>
      <c r="AA815" s="87">
        <v>8760</v>
      </c>
      <c r="AB815" s="85">
        <v>431.29899999999998</v>
      </c>
      <c r="AC815" s="87">
        <v>8750</v>
      </c>
      <c r="AD815" s="85">
        <v>356.15199999999999</v>
      </c>
      <c r="AE815" s="87">
        <v>8760</v>
      </c>
      <c r="AF815" s="85">
        <v>357.77800000000002</v>
      </c>
      <c r="AG815" s="87">
        <v>8740</v>
      </c>
      <c r="AH815" s="85">
        <v>82.495000000000005</v>
      </c>
      <c r="AI815" s="87">
        <v>8740</v>
      </c>
      <c r="AJ815" s="85">
        <v>87.569000000000003</v>
      </c>
    </row>
    <row r="816" spans="1:36" ht="14.25" customHeight="1">
      <c r="A816" s="88">
        <v>8770</v>
      </c>
      <c r="B816" s="84">
        <v>188.11799999999999</v>
      </c>
      <c r="C816" s="88">
        <v>8780</v>
      </c>
      <c r="D816" s="85">
        <v>186.398</v>
      </c>
      <c r="E816" s="86">
        <v>8770</v>
      </c>
      <c r="F816" s="85">
        <v>468.404</v>
      </c>
      <c r="G816" s="87">
        <v>8770</v>
      </c>
      <c r="H816" s="85">
        <v>468.44099999999997</v>
      </c>
      <c r="I816" s="87">
        <v>8770</v>
      </c>
      <c r="J816" s="85">
        <v>430.99900000000002</v>
      </c>
      <c r="K816" s="87">
        <v>8770</v>
      </c>
      <c r="L816" s="85">
        <v>430.22800000000001</v>
      </c>
      <c r="M816" s="87">
        <v>8770</v>
      </c>
      <c r="N816" s="85">
        <v>430.83</v>
      </c>
      <c r="O816" s="87">
        <v>8750</v>
      </c>
      <c r="P816" s="85">
        <v>431.88600000000002</v>
      </c>
      <c r="Q816" s="87">
        <v>8770</v>
      </c>
      <c r="R816" s="85">
        <v>431.55</v>
      </c>
      <c r="S816" s="87">
        <v>8770</v>
      </c>
      <c r="T816" s="85">
        <v>432.22</v>
      </c>
      <c r="U816" s="87">
        <v>8760</v>
      </c>
      <c r="V816" s="85">
        <v>431.95499999999998</v>
      </c>
      <c r="W816" s="87">
        <v>8770</v>
      </c>
      <c r="X816" s="85">
        <v>431.34300000000002</v>
      </c>
      <c r="Y816" s="87">
        <v>8770</v>
      </c>
      <c r="Z816" s="85">
        <v>429.72899999999998</v>
      </c>
      <c r="AA816" s="87">
        <v>8770</v>
      </c>
      <c r="AB816" s="85">
        <v>430.089</v>
      </c>
      <c r="AC816" s="87">
        <v>8760</v>
      </c>
      <c r="AD816" s="85">
        <v>354.97199999999998</v>
      </c>
      <c r="AE816" s="87">
        <v>8770</v>
      </c>
      <c r="AF816" s="85">
        <v>356.59699999999998</v>
      </c>
      <c r="AG816" s="87">
        <v>8750</v>
      </c>
      <c r="AH816" s="85">
        <v>82.183000000000007</v>
      </c>
      <c r="AI816" s="87">
        <v>8750</v>
      </c>
      <c r="AJ816" s="85">
        <v>87.244</v>
      </c>
    </row>
    <row r="817" spans="1:36" ht="14.25" customHeight="1">
      <c r="A817" s="88">
        <v>8780</v>
      </c>
      <c r="B817" s="84">
        <v>187.40899999999999</v>
      </c>
      <c r="C817" s="88">
        <v>8790</v>
      </c>
      <c r="D817" s="85">
        <v>185.69200000000001</v>
      </c>
      <c r="E817" s="86">
        <v>8780</v>
      </c>
      <c r="F817" s="85">
        <v>466.95</v>
      </c>
      <c r="G817" s="87">
        <v>8780</v>
      </c>
      <c r="H817" s="85">
        <v>466.988</v>
      </c>
      <c r="I817" s="87">
        <v>8780</v>
      </c>
      <c r="J817" s="85">
        <v>429.78699999999998</v>
      </c>
      <c r="K817" s="87">
        <v>8780</v>
      </c>
      <c r="L817" s="85">
        <v>429.01499999999999</v>
      </c>
      <c r="M817" s="87">
        <v>8780</v>
      </c>
      <c r="N817" s="85">
        <v>429.61799999999999</v>
      </c>
      <c r="O817" s="87">
        <v>8760</v>
      </c>
      <c r="P817" s="85">
        <v>430.67399999999998</v>
      </c>
      <c r="Q817" s="87">
        <v>8780</v>
      </c>
      <c r="R817" s="85">
        <v>430.33800000000002</v>
      </c>
      <c r="S817" s="87">
        <v>8780</v>
      </c>
      <c r="T817" s="85">
        <v>431.00799999999998</v>
      </c>
      <c r="U817" s="87">
        <v>8770</v>
      </c>
      <c r="V817" s="85">
        <v>430.745</v>
      </c>
      <c r="W817" s="87">
        <v>8780</v>
      </c>
      <c r="X817" s="85">
        <v>430.13200000000001</v>
      </c>
      <c r="Y817" s="87">
        <v>8780</v>
      </c>
      <c r="Z817" s="85">
        <v>428.51799999999997</v>
      </c>
      <c r="AA817" s="87">
        <v>8780</v>
      </c>
      <c r="AB817" s="85">
        <v>428.87900000000002</v>
      </c>
      <c r="AC817" s="87">
        <v>8770</v>
      </c>
      <c r="AD817" s="85">
        <v>353.79199999999997</v>
      </c>
      <c r="AE817" s="87">
        <v>8780</v>
      </c>
      <c r="AF817" s="85">
        <v>355.41699999999997</v>
      </c>
      <c r="AG817" s="87">
        <v>8760</v>
      </c>
      <c r="AH817" s="85">
        <v>81.873000000000005</v>
      </c>
      <c r="AI817" s="87">
        <v>8760</v>
      </c>
      <c r="AJ817" s="85">
        <v>86.918000000000006</v>
      </c>
    </row>
    <row r="818" spans="1:36" ht="14.25" customHeight="1">
      <c r="A818" s="88">
        <v>8790</v>
      </c>
      <c r="B818" s="84">
        <v>186.7</v>
      </c>
      <c r="C818" s="88">
        <v>8800</v>
      </c>
      <c r="D818" s="85">
        <v>184.98599999999999</v>
      </c>
      <c r="E818" s="86">
        <v>8790</v>
      </c>
      <c r="F818" s="85">
        <v>465.49700000000001</v>
      </c>
      <c r="G818" s="87">
        <v>8790</v>
      </c>
      <c r="H818" s="85">
        <v>465.53399999999999</v>
      </c>
      <c r="I818" s="87">
        <v>8790</v>
      </c>
      <c r="J818" s="85">
        <v>428.57600000000002</v>
      </c>
      <c r="K818" s="87">
        <v>8790</v>
      </c>
      <c r="L818" s="85">
        <v>427.80099999999999</v>
      </c>
      <c r="M818" s="87">
        <v>8790</v>
      </c>
      <c r="N818" s="85">
        <v>428.40600000000001</v>
      </c>
      <c r="O818" s="87">
        <v>8770</v>
      </c>
      <c r="P818" s="85">
        <v>429.46199999999999</v>
      </c>
      <c r="Q818" s="87">
        <v>8790</v>
      </c>
      <c r="R818" s="85">
        <v>429.12599999999998</v>
      </c>
      <c r="S818" s="87">
        <v>8790</v>
      </c>
      <c r="T818" s="85">
        <v>429.79599999999999</v>
      </c>
      <c r="U818" s="87">
        <v>8780</v>
      </c>
      <c r="V818" s="85">
        <v>429.53500000000003</v>
      </c>
      <c r="W818" s="87">
        <v>8790</v>
      </c>
      <c r="X818" s="85">
        <v>428.92099999999999</v>
      </c>
      <c r="Y818" s="87">
        <v>8790</v>
      </c>
      <c r="Z818" s="85">
        <v>427.30700000000002</v>
      </c>
      <c r="AA818" s="87">
        <v>8790</v>
      </c>
      <c r="AB818" s="85">
        <v>427.66899999999998</v>
      </c>
      <c r="AC818" s="87">
        <v>8780</v>
      </c>
      <c r="AD818" s="85">
        <v>352.613</v>
      </c>
      <c r="AE818" s="87">
        <v>8790</v>
      </c>
      <c r="AF818" s="85">
        <v>354.238</v>
      </c>
      <c r="AG818" s="87">
        <v>8770</v>
      </c>
      <c r="AH818" s="85">
        <v>81.561999999999998</v>
      </c>
      <c r="AI818" s="87">
        <v>8770</v>
      </c>
      <c r="AJ818" s="85">
        <v>86.593999999999994</v>
      </c>
    </row>
    <row r="819" spans="1:36" ht="14.25" customHeight="1">
      <c r="A819" s="88">
        <v>8800</v>
      </c>
      <c r="B819" s="84">
        <v>185.99100000000001</v>
      </c>
      <c r="C819" s="88">
        <v>8810</v>
      </c>
      <c r="D819" s="85">
        <v>184.28</v>
      </c>
      <c r="E819" s="86">
        <v>8800</v>
      </c>
      <c r="F819" s="85">
        <v>464.04399999999998</v>
      </c>
      <c r="G819" s="87">
        <v>8800</v>
      </c>
      <c r="H819" s="85">
        <v>464.08</v>
      </c>
      <c r="I819" s="87">
        <v>8800</v>
      </c>
      <c r="J819" s="85">
        <v>427.36399999999998</v>
      </c>
      <c r="K819" s="87">
        <v>8800</v>
      </c>
      <c r="L819" s="85">
        <v>426.58800000000002</v>
      </c>
      <c r="M819" s="87">
        <v>8800</v>
      </c>
      <c r="N819" s="85">
        <v>427.19400000000002</v>
      </c>
      <c r="O819" s="87">
        <v>8780</v>
      </c>
      <c r="P819" s="85">
        <v>428.25</v>
      </c>
      <c r="Q819" s="87">
        <v>8800</v>
      </c>
      <c r="R819" s="85">
        <v>427.91399999999999</v>
      </c>
      <c r="S819" s="87">
        <v>8800</v>
      </c>
      <c r="T819" s="85">
        <v>428.584</v>
      </c>
      <c r="U819" s="87">
        <v>8790</v>
      </c>
      <c r="V819" s="85">
        <v>428.32400000000001</v>
      </c>
      <c r="W819" s="87">
        <v>8800</v>
      </c>
      <c r="X819" s="85">
        <v>427.71</v>
      </c>
      <c r="Y819" s="87">
        <v>8800</v>
      </c>
      <c r="Z819" s="85">
        <v>426.096</v>
      </c>
      <c r="AA819" s="87">
        <v>8800</v>
      </c>
      <c r="AB819" s="85">
        <v>426.459</v>
      </c>
      <c r="AC819" s="87">
        <v>8790</v>
      </c>
      <c r="AD819" s="85">
        <v>351.43400000000003</v>
      </c>
      <c r="AE819" s="87">
        <v>8800</v>
      </c>
      <c r="AF819" s="85">
        <v>353.06</v>
      </c>
      <c r="AG819" s="87">
        <v>8780</v>
      </c>
      <c r="AH819" s="85">
        <v>81.251999999999995</v>
      </c>
      <c r="AI819" s="87">
        <v>8780</v>
      </c>
      <c r="AJ819" s="85">
        <v>86.269000000000005</v>
      </c>
    </row>
    <row r="820" spans="1:36" ht="14.25" customHeight="1">
      <c r="A820" s="88">
        <v>8810</v>
      </c>
      <c r="B820" s="84">
        <v>185.28200000000001</v>
      </c>
      <c r="C820" s="88">
        <v>8820</v>
      </c>
      <c r="D820" s="85">
        <v>183.57499999999999</v>
      </c>
      <c r="E820" s="86">
        <v>8810</v>
      </c>
      <c r="F820" s="85">
        <v>462.59100000000001</v>
      </c>
      <c r="G820" s="87">
        <v>8810</v>
      </c>
      <c r="H820" s="85">
        <v>462.62599999999998</v>
      </c>
      <c r="I820" s="87">
        <v>8810</v>
      </c>
      <c r="J820" s="85">
        <v>426.15199999999999</v>
      </c>
      <c r="K820" s="87">
        <v>8810</v>
      </c>
      <c r="L820" s="85">
        <v>425.375</v>
      </c>
      <c r="M820" s="87">
        <v>8810</v>
      </c>
      <c r="N820" s="85">
        <v>425.98200000000003</v>
      </c>
      <c r="O820" s="87">
        <v>8790</v>
      </c>
      <c r="P820" s="85">
        <v>427.03800000000001</v>
      </c>
      <c r="Q820" s="87">
        <v>8810</v>
      </c>
      <c r="R820" s="85">
        <v>426.70299999999997</v>
      </c>
      <c r="S820" s="87">
        <v>8810</v>
      </c>
      <c r="T820" s="85">
        <v>427.37200000000001</v>
      </c>
      <c r="U820" s="87">
        <v>8800</v>
      </c>
      <c r="V820" s="85">
        <v>427.11399999999998</v>
      </c>
      <c r="W820" s="87">
        <v>8810</v>
      </c>
      <c r="X820" s="85">
        <v>426.49900000000002</v>
      </c>
      <c r="Y820" s="87">
        <v>8810</v>
      </c>
      <c r="Z820" s="85">
        <v>424.88499999999999</v>
      </c>
      <c r="AA820" s="87">
        <v>8810</v>
      </c>
      <c r="AB820" s="85">
        <v>425.24900000000002</v>
      </c>
      <c r="AC820" s="87">
        <v>8800</v>
      </c>
      <c r="AD820" s="85">
        <v>350.25599999999997</v>
      </c>
      <c r="AE820" s="87">
        <v>8810</v>
      </c>
      <c r="AF820" s="85">
        <v>351.88200000000001</v>
      </c>
      <c r="AG820" s="87">
        <v>8790</v>
      </c>
      <c r="AH820" s="85">
        <v>80.942999999999998</v>
      </c>
      <c r="AI820" s="87">
        <v>8790</v>
      </c>
      <c r="AJ820" s="85">
        <v>85.944999999999993</v>
      </c>
    </row>
    <row r="821" spans="1:36" ht="14.25" customHeight="1">
      <c r="A821" s="88">
        <v>8820</v>
      </c>
      <c r="B821" s="84">
        <v>184.57400000000001</v>
      </c>
      <c r="C821" s="88">
        <v>8830</v>
      </c>
      <c r="D821" s="85">
        <v>182.869</v>
      </c>
      <c r="E821" s="86">
        <v>8820</v>
      </c>
      <c r="F821" s="85">
        <v>461.13900000000001</v>
      </c>
      <c r="G821" s="87">
        <v>8820</v>
      </c>
      <c r="H821" s="85">
        <v>461.173</v>
      </c>
      <c r="I821" s="87">
        <v>8820</v>
      </c>
      <c r="J821" s="85">
        <v>424.94099999999997</v>
      </c>
      <c r="K821" s="87">
        <v>8820</v>
      </c>
      <c r="L821" s="85">
        <v>424.161</v>
      </c>
      <c r="M821" s="87">
        <v>8820</v>
      </c>
      <c r="N821" s="85">
        <v>424.77</v>
      </c>
      <c r="O821" s="87">
        <v>8800</v>
      </c>
      <c r="P821" s="85">
        <v>425.82600000000002</v>
      </c>
      <c r="Q821" s="87">
        <v>8820</v>
      </c>
      <c r="R821" s="85">
        <v>425.49099999999999</v>
      </c>
      <c r="S821" s="87">
        <v>8820</v>
      </c>
      <c r="T821" s="85">
        <v>426.16</v>
      </c>
      <c r="U821" s="87">
        <v>8810</v>
      </c>
      <c r="V821" s="85">
        <v>425.904</v>
      </c>
      <c r="W821" s="87">
        <v>8820</v>
      </c>
      <c r="X821" s="85">
        <v>425.28800000000001</v>
      </c>
      <c r="Y821" s="87">
        <v>8820</v>
      </c>
      <c r="Z821" s="85">
        <v>423.67500000000001</v>
      </c>
      <c r="AA821" s="87">
        <v>8820</v>
      </c>
      <c r="AB821" s="85">
        <v>424.03899999999999</v>
      </c>
      <c r="AC821" s="87">
        <v>8810</v>
      </c>
      <c r="AD821" s="85">
        <v>349.07900000000001</v>
      </c>
      <c r="AE821" s="87">
        <v>8820</v>
      </c>
      <c r="AF821" s="85">
        <v>350.70499999999998</v>
      </c>
      <c r="AG821" s="87">
        <v>8800</v>
      </c>
      <c r="AH821" s="85">
        <v>80.634</v>
      </c>
      <c r="AI821" s="87">
        <v>8800</v>
      </c>
      <c r="AJ821" s="85">
        <v>85.622</v>
      </c>
    </row>
    <row r="822" spans="1:36" ht="14.25" customHeight="1">
      <c r="A822" s="88">
        <v>8830</v>
      </c>
      <c r="B822" s="84">
        <v>183.86600000000001</v>
      </c>
      <c r="C822" s="88">
        <v>8840</v>
      </c>
      <c r="D822" s="85">
        <v>182.16499999999999</v>
      </c>
      <c r="E822" s="86">
        <v>8830</v>
      </c>
      <c r="F822" s="85">
        <v>459.68599999999998</v>
      </c>
      <c r="G822" s="87">
        <v>8830</v>
      </c>
      <c r="H822" s="85">
        <v>459.72</v>
      </c>
      <c r="I822" s="87">
        <v>8830</v>
      </c>
      <c r="J822" s="85">
        <v>423.72899999999998</v>
      </c>
      <c r="K822" s="87">
        <v>8830</v>
      </c>
      <c r="L822" s="85">
        <v>422.94799999999998</v>
      </c>
      <c r="M822" s="87">
        <v>8830</v>
      </c>
      <c r="N822" s="85">
        <v>423.55900000000003</v>
      </c>
      <c r="O822" s="87">
        <v>8810</v>
      </c>
      <c r="P822" s="85">
        <v>424.61399999999998</v>
      </c>
      <c r="Q822" s="87">
        <v>8830</v>
      </c>
      <c r="R822" s="85">
        <v>424.279</v>
      </c>
      <c r="S822" s="87">
        <v>8830</v>
      </c>
      <c r="T822" s="85">
        <v>424.94799999999998</v>
      </c>
      <c r="U822" s="87">
        <v>8820</v>
      </c>
      <c r="V822" s="85">
        <v>424.69400000000002</v>
      </c>
      <c r="W822" s="87">
        <v>8830</v>
      </c>
      <c r="X822" s="85">
        <v>424.077</v>
      </c>
      <c r="Y822" s="87">
        <v>8830</v>
      </c>
      <c r="Z822" s="85">
        <v>422.464</v>
      </c>
      <c r="AA822" s="87">
        <v>8830</v>
      </c>
      <c r="AB822" s="85">
        <v>422.82900000000001</v>
      </c>
      <c r="AC822" s="87">
        <v>8820</v>
      </c>
      <c r="AD822" s="85">
        <v>347.90199999999999</v>
      </c>
      <c r="AE822" s="87">
        <v>8830</v>
      </c>
      <c r="AF822" s="85">
        <v>349.52800000000002</v>
      </c>
      <c r="AG822" s="87">
        <v>8810</v>
      </c>
      <c r="AH822" s="85">
        <v>80.325000000000003</v>
      </c>
      <c r="AI822" s="87">
        <v>8810</v>
      </c>
      <c r="AJ822" s="85">
        <v>85.299000000000007</v>
      </c>
    </row>
    <row r="823" spans="1:36" ht="14.25" customHeight="1">
      <c r="A823" s="88">
        <v>8840</v>
      </c>
      <c r="B823" s="84">
        <v>183.15799999999999</v>
      </c>
      <c r="C823" s="88">
        <v>8850</v>
      </c>
      <c r="D823" s="85">
        <v>181.46</v>
      </c>
      <c r="E823" s="86">
        <v>8840</v>
      </c>
      <c r="F823" s="85">
        <v>458.233</v>
      </c>
      <c r="G823" s="87">
        <v>8840</v>
      </c>
      <c r="H823" s="85">
        <v>458.26600000000002</v>
      </c>
      <c r="I823" s="87">
        <v>8840</v>
      </c>
      <c r="J823" s="85">
        <v>422.517</v>
      </c>
      <c r="K823" s="87">
        <v>8840</v>
      </c>
      <c r="L823" s="85">
        <v>421.73399999999998</v>
      </c>
      <c r="M823" s="87">
        <v>8840</v>
      </c>
      <c r="N823" s="85">
        <v>422.34699999999998</v>
      </c>
      <c r="O823" s="87">
        <v>8820</v>
      </c>
      <c r="P823" s="85">
        <v>423.40100000000001</v>
      </c>
      <c r="Q823" s="87">
        <v>8840</v>
      </c>
      <c r="R823" s="85">
        <v>423.06700000000001</v>
      </c>
      <c r="S823" s="87">
        <v>8840</v>
      </c>
      <c r="T823" s="85">
        <v>423.73599999999999</v>
      </c>
      <c r="U823" s="87">
        <v>8830</v>
      </c>
      <c r="V823" s="85">
        <v>423.483</v>
      </c>
      <c r="W823" s="87">
        <v>8840</v>
      </c>
      <c r="X823" s="85">
        <v>422.86599999999999</v>
      </c>
      <c r="Y823" s="87">
        <v>8840</v>
      </c>
      <c r="Z823" s="85">
        <v>421.25299999999999</v>
      </c>
      <c r="AA823" s="87">
        <v>8840</v>
      </c>
      <c r="AB823" s="85">
        <v>421.61900000000003</v>
      </c>
      <c r="AC823" s="87">
        <v>8830</v>
      </c>
      <c r="AD823" s="85">
        <v>346.726</v>
      </c>
      <c r="AE823" s="87">
        <v>8840</v>
      </c>
      <c r="AF823" s="85">
        <v>348.35199999999998</v>
      </c>
      <c r="AG823" s="87">
        <v>8820</v>
      </c>
      <c r="AH823" s="85">
        <v>80.016999999999996</v>
      </c>
      <c r="AI823" s="87">
        <v>8820</v>
      </c>
      <c r="AJ823" s="85">
        <v>84.975999999999999</v>
      </c>
    </row>
    <row r="824" spans="1:36" ht="14.25" customHeight="1">
      <c r="A824" s="88">
        <v>8850</v>
      </c>
      <c r="B824" s="84">
        <v>182.45</v>
      </c>
      <c r="C824" s="88">
        <v>8860</v>
      </c>
      <c r="D824" s="85">
        <v>180.755</v>
      </c>
      <c r="E824" s="86">
        <v>8850</v>
      </c>
      <c r="F824" s="85">
        <v>456.78100000000001</v>
      </c>
      <c r="G824" s="87">
        <v>8850</v>
      </c>
      <c r="H824" s="85">
        <v>456.81299999999999</v>
      </c>
      <c r="I824" s="87">
        <v>8850</v>
      </c>
      <c r="J824" s="85">
        <v>421.30599999999998</v>
      </c>
      <c r="K824" s="87">
        <v>8850</v>
      </c>
      <c r="L824" s="85">
        <v>420.52100000000002</v>
      </c>
      <c r="M824" s="87">
        <v>8850</v>
      </c>
      <c r="N824" s="85">
        <v>421.13499999999999</v>
      </c>
      <c r="O824" s="87">
        <v>8830</v>
      </c>
      <c r="P824" s="85">
        <v>422.18900000000002</v>
      </c>
      <c r="Q824" s="87">
        <v>8850</v>
      </c>
      <c r="R824" s="85">
        <v>421.85500000000002</v>
      </c>
      <c r="S824" s="87">
        <v>8850</v>
      </c>
      <c r="T824" s="85">
        <v>422.524</v>
      </c>
      <c r="U824" s="87">
        <v>8840</v>
      </c>
      <c r="V824" s="85">
        <v>422.27300000000002</v>
      </c>
      <c r="W824" s="87">
        <v>8850</v>
      </c>
      <c r="X824" s="85">
        <v>421.65499999999997</v>
      </c>
      <c r="Y824" s="87">
        <v>8850</v>
      </c>
      <c r="Z824" s="85">
        <v>420.04199999999997</v>
      </c>
      <c r="AA824" s="87">
        <v>8850</v>
      </c>
      <c r="AB824" s="85">
        <v>420.40899999999999</v>
      </c>
      <c r="AC824" s="87">
        <v>8840</v>
      </c>
      <c r="AD824" s="85">
        <v>345.55099999999999</v>
      </c>
      <c r="AE824" s="87">
        <v>8850</v>
      </c>
      <c r="AF824" s="85">
        <v>347.17700000000002</v>
      </c>
      <c r="AG824" s="87">
        <v>8830</v>
      </c>
      <c r="AH824" s="85">
        <v>79.709000000000003</v>
      </c>
      <c r="AI824" s="87">
        <v>8830</v>
      </c>
      <c r="AJ824" s="85">
        <v>84.653000000000006</v>
      </c>
    </row>
    <row r="825" spans="1:36" ht="14.25" customHeight="1">
      <c r="A825" s="88">
        <v>8860</v>
      </c>
      <c r="B825" s="84">
        <v>181.74199999999999</v>
      </c>
      <c r="C825" s="88">
        <v>8870</v>
      </c>
      <c r="D825" s="85">
        <v>180.05099999999999</v>
      </c>
      <c r="E825" s="86">
        <v>8860</v>
      </c>
      <c r="F825" s="85">
        <v>455.32900000000001</v>
      </c>
      <c r="G825" s="87">
        <v>8860</v>
      </c>
      <c r="H825" s="85">
        <v>455.36</v>
      </c>
      <c r="I825" s="87">
        <v>8860</v>
      </c>
      <c r="J825" s="85">
        <v>420.09399999999999</v>
      </c>
      <c r="K825" s="87">
        <v>8860</v>
      </c>
      <c r="L825" s="85">
        <v>419.30799999999999</v>
      </c>
      <c r="M825" s="87">
        <v>8860</v>
      </c>
      <c r="N825" s="85">
        <v>419.923</v>
      </c>
      <c r="O825" s="87">
        <v>8840</v>
      </c>
      <c r="P825" s="85">
        <v>420.97699999999998</v>
      </c>
      <c r="Q825" s="87">
        <v>8860</v>
      </c>
      <c r="R825" s="85">
        <v>420.64299999999997</v>
      </c>
      <c r="S825" s="87">
        <v>8860</v>
      </c>
      <c r="T825" s="85">
        <v>421.31200000000001</v>
      </c>
      <c r="U825" s="87">
        <v>8850</v>
      </c>
      <c r="V825" s="85">
        <v>421.06299999999999</v>
      </c>
      <c r="W825" s="87">
        <v>8860</v>
      </c>
      <c r="X825" s="85">
        <v>420.44400000000002</v>
      </c>
      <c r="Y825" s="87">
        <v>8860</v>
      </c>
      <c r="Z825" s="85">
        <v>418.83100000000002</v>
      </c>
      <c r="AA825" s="87">
        <v>8860</v>
      </c>
      <c r="AB825" s="85">
        <v>419.19900000000001</v>
      </c>
      <c r="AC825" s="87">
        <v>8850</v>
      </c>
      <c r="AD825" s="85">
        <v>344.37599999999998</v>
      </c>
      <c r="AE825" s="87">
        <v>8860</v>
      </c>
      <c r="AF825" s="85">
        <v>346.00200000000001</v>
      </c>
      <c r="AG825" s="87">
        <v>8840</v>
      </c>
      <c r="AH825" s="85">
        <v>79.400999999999996</v>
      </c>
      <c r="AI825" s="87">
        <v>8840</v>
      </c>
      <c r="AJ825" s="85">
        <v>84.331000000000003</v>
      </c>
    </row>
    <row r="826" spans="1:36" ht="14.25" customHeight="1">
      <c r="A826" s="88">
        <v>8870</v>
      </c>
      <c r="B826" s="84">
        <v>181.035</v>
      </c>
      <c r="C826" s="88">
        <v>8880</v>
      </c>
      <c r="D826" s="85">
        <v>179.34700000000001</v>
      </c>
      <c r="E826" s="86">
        <v>8870</v>
      </c>
      <c r="F826" s="85">
        <v>453.87599999999998</v>
      </c>
      <c r="G826" s="87">
        <v>8870</v>
      </c>
      <c r="H826" s="85">
        <v>453.90699999999998</v>
      </c>
      <c r="I826" s="87">
        <v>8870</v>
      </c>
      <c r="J826" s="85">
        <v>418.88200000000001</v>
      </c>
      <c r="K826" s="87">
        <v>8870</v>
      </c>
      <c r="L826" s="85">
        <v>418.09399999999999</v>
      </c>
      <c r="M826" s="87">
        <v>8870</v>
      </c>
      <c r="N826" s="85">
        <v>418.71100000000001</v>
      </c>
      <c r="O826" s="87">
        <v>8850</v>
      </c>
      <c r="P826" s="85">
        <v>419.76499999999999</v>
      </c>
      <c r="Q826" s="87">
        <v>8870</v>
      </c>
      <c r="R826" s="85">
        <v>419.43200000000002</v>
      </c>
      <c r="S826" s="87">
        <v>8870</v>
      </c>
      <c r="T826" s="85">
        <v>420.1</v>
      </c>
      <c r="U826" s="87">
        <v>8860</v>
      </c>
      <c r="V826" s="85">
        <v>419.85199999999998</v>
      </c>
      <c r="W826" s="87">
        <v>8870</v>
      </c>
      <c r="X826" s="85">
        <v>419.233</v>
      </c>
      <c r="Y826" s="87">
        <v>8870</v>
      </c>
      <c r="Z826" s="85">
        <v>417.62</v>
      </c>
      <c r="AA826" s="87">
        <v>8870</v>
      </c>
      <c r="AB826" s="85">
        <v>417.98899999999998</v>
      </c>
      <c r="AC826" s="87">
        <v>8860</v>
      </c>
      <c r="AD826" s="85">
        <v>343.202</v>
      </c>
      <c r="AE826" s="87">
        <v>8870</v>
      </c>
      <c r="AF826" s="85">
        <v>344.82799999999997</v>
      </c>
      <c r="AG826" s="87">
        <v>8850</v>
      </c>
      <c r="AH826" s="85">
        <v>79.093999999999994</v>
      </c>
      <c r="AI826" s="87">
        <v>8850</v>
      </c>
      <c r="AJ826" s="85">
        <v>84.01</v>
      </c>
    </row>
    <row r="827" spans="1:36" ht="14.25" customHeight="1">
      <c r="A827" s="88">
        <v>8880</v>
      </c>
      <c r="B827" s="84">
        <v>180.328</v>
      </c>
      <c r="C827" s="88">
        <v>8890</v>
      </c>
      <c r="D827" s="85">
        <v>178.643</v>
      </c>
      <c r="E827" s="86">
        <v>8880</v>
      </c>
      <c r="F827" s="85">
        <v>452.42399999999998</v>
      </c>
      <c r="G827" s="87">
        <v>8880</v>
      </c>
      <c r="H827" s="85">
        <v>452.45400000000001</v>
      </c>
      <c r="I827" s="87">
        <v>8880</v>
      </c>
      <c r="J827" s="85">
        <v>417.67099999999999</v>
      </c>
      <c r="K827" s="87">
        <v>8880</v>
      </c>
      <c r="L827" s="85">
        <v>416.88099999999997</v>
      </c>
      <c r="M827" s="87">
        <v>8880</v>
      </c>
      <c r="N827" s="85">
        <v>417.49900000000002</v>
      </c>
      <c r="O827" s="87">
        <v>8860</v>
      </c>
      <c r="P827" s="85">
        <v>418.553</v>
      </c>
      <c r="Q827" s="87">
        <v>8880</v>
      </c>
      <c r="R827" s="85">
        <v>418.22</v>
      </c>
      <c r="S827" s="87">
        <v>8880</v>
      </c>
      <c r="T827" s="85">
        <v>418.88799999999998</v>
      </c>
      <c r="U827" s="87">
        <v>8870</v>
      </c>
      <c r="V827" s="85">
        <v>418.642</v>
      </c>
      <c r="W827" s="87">
        <v>8880</v>
      </c>
      <c r="X827" s="85">
        <v>418.02199999999999</v>
      </c>
      <c r="Y827" s="87">
        <v>8880</v>
      </c>
      <c r="Z827" s="85">
        <v>416.41</v>
      </c>
      <c r="AA827" s="87">
        <v>8880</v>
      </c>
      <c r="AB827" s="85">
        <v>416.779</v>
      </c>
      <c r="AC827" s="87">
        <v>8870</v>
      </c>
      <c r="AD827" s="85">
        <v>342.029</v>
      </c>
      <c r="AE827" s="87">
        <v>8880</v>
      </c>
      <c r="AF827" s="85">
        <v>343.654</v>
      </c>
      <c r="AG827" s="87">
        <v>8860</v>
      </c>
      <c r="AH827" s="85">
        <v>78.787000000000006</v>
      </c>
      <c r="AI827" s="87">
        <v>8860</v>
      </c>
      <c r="AJ827" s="85">
        <v>83.688999999999993</v>
      </c>
    </row>
    <row r="828" spans="1:36" ht="14.25" customHeight="1">
      <c r="A828" s="88">
        <v>8890</v>
      </c>
      <c r="B828" s="84">
        <v>179.62100000000001</v>
      </c>
      <c r="C828" s="88">
        <v>8900</v>
      </c>
      <c r="D828" s="85">
        <v>177.93899999999999</v>
      </c>
      <c r="E828" s="86">
        <v>8890</v>
      </c>
      <c r="F828" s="85">
        <v>450.97199999999998</v>
      </c>
      <c r="G828" s="87">
        <v>8890</v>
      </c>
      <c r="H828" s="85">
        <v>451.00099999999998</v>
      </c>
      <c r="I828" s="87">
        <v>8890</v>
      </c>
      <c r="J828" s="85">
        <v>416.459</v>
      </c>
      <c r="K828" s="87">
        <v>8890</v>
      </c>
      <c r="L828" s="85">
        <v>415.66800000000001</v>
      </c>
      <c r="M828" s="87">
        <v>8890</v>
      </c>
      <c r="N828" s="85">
        <v>416.28800000000001</v>
      </c>
      <c r="O828" s="87">
        <v>8870</v>
      </c>
      <c r="P828" s="85">
        <v>417.34100000000001</v>
      </c>
      <c r="Q828" s="87">
        <v>8890</v>
      </c>
      <c r="R828" s="85">
        <v>417.00799999999998</v>
      </c>
      <c r="S828" s="87">
        <v>8890</v>
      </c>
      <c r="T828" s="85">
        <v>417.67599999999999</v>
      </c>
      <c r="U828" s="87">
        <v>8880</v>
      </c>
      <c r="V828" s="85">
        <v>417.43200000000002</v>
      </c>
      <c r="W828" s="87">
        <v>8890</v>
      </c>
      <c r="X828" s="85">
        <v>416.81099999999998</v>
      </c>
      <c r="Y828" s="87">
        <v>8890</v>
      </c>
      <c r="Z828" s="85">
        <v>415.19900000000001</v>
      </c>
      <c r="AA828" s="87">
        <v>8890</v>
      </c>
      <c r="AB828" s="85">
        <v>415.56900000000002</v>
      </c>
      <c r="AC828" s="87">
        <v>8880</v>
      </c>
      <c r="AD828" s="85">
        <v>340.85599999999999</v>
      </c>
      <c r="AE828" s="87">
        <v>8890</v>
      </c>
      <c r="AF828" s="85">
        <v>342.48099999999999</v>
      </c>
      <c r="AG828" s="87">
        <v>8870</v>
      </c>
      <c r="AH828" s="85">
        <v>78.480999999999995</v>
      </c>
      <c r="AI828" s="87">
        <v>8870</v>
      </c>
      <c r="AJ828" s="85">
        <v>83.367999999999995</v>
      </c>
    </row>
    <row r="829" spans="1:36" ht="14.25" customHeight="1">
      <c r="A829" s="88">
        <v>8900</v>
      </c>
      <c r="B829" s="84">
        <v>178.91399999999999</v>
      </c>
      <c r="C829" s="88">
        <v>8910</v>
      </c>
      <c r="D829" s="85">
        <v>177.23599999999999</v>
      </c>
      <c r="E829" s="86">
        <v>8900</v>
      </c>
      <c r="F829" s="85">
        <v>449.52</v>
      </c>
      <c r="G829" s="87">
        <v>8900</v>
      </c>
      <c r="H829" s="85">
        <v>449.548</v>
      </c>
      <c r="I829" s="87">
        <v>8900</v>
      </c>
      <c r="J829" s="85">
        <v>415.24700000000001</v>
      </c>
      <c r="K829" s="87">
        <v>8900</v>
      </c>
      <c r="L829" s="85">
        <v>414.45400000000001</v>
      </c>
      <c r="M829" s="87">
        <v>8900</v>
      </c>
      <c r="N829" s="85">
        <v>415.07600000000002</v>
      </c>
      <c r="O829" s="87">
        <v>8880</v>
      </c>
      <c r="P829" s="85">
        <v>416.12900000000002</v>
      </c>
      <c r="Q829" s="87">
        <v>8900</v>
      </c>
      <c r="R829" s="85">
        <v>415.79599999999999</v>
      </c>
      <c r="S829" s="87">
        <v>8900</v>
      </c>
      <c r="T829" s="85">
        <v>416.464</v>
      </c>
      <c r="U829" s="87">
        <v>8890</v>
      </c>
      <c r="V829" s="85">
        <v>416.22199999999998</v>
      </c>
      <c r="W829" s="87">
        <v>8900</v>
      </c>
      <c r="X829" s="85">
        <v>415.59899999999999</v>
      </c>
      <c r="Y829" s="87">
        <v>8900</v>
      </c>
      <c r="Z829" s="85">
        <v>413.988</v>
      </c>
      <c r="AA829" s="87">
        <v>8900</v>
      </c>
      <c r="AB829" s="85">
        <v>414.35899999999998</v>
      </c>
      <c r="AC829" s="87">
        <v>8890</v>
      </c>
      <c r="AD829" s="85">
        <v>339.68400000000003</v>
      </c>
      <c r="AE829" s="87">
        <v>8900</v>
      </c>
      <c r="AF829" s="85">
        <v>341.30900000000003</v>
      </c>
      <c r="AG829" s="87">
        <v>8880</v>
      </c>
      <c r="AH829" s="85">
        <v>78.174999999999997</v>
      </c>
      <c r="AI829" s="87">
        <v>8880</v>
      </c>
      <c r="AJ829" s="85">
        <v>83.046999999999997</v>
      </c>
    </row>
    <row r="830" spans="1:36" ht="14.25" customHeight="1">
      <c r="A830" s="88">
        <v>8910</v>
      </c>
      <c r="B830" s="84">
        <v>178.208</v>
      </c>
      <c r="C830" s="88">
        <v>8920</v>
      </c>
      <c r="D830" s="85">
        <v>176.53200000000001</v>
      </c>
      <c r="E830" s="86">
        <v>8910</v>
      </c>
      <c r="F830" s="85">
        <v>448.06799999999998</v>
      </c>
      <c r="G830" s="87">
        <v>8910</v>
      </c>
      <c r="H830" s="85">
        <v>448.09500000000003</v>
      </c>
      <c r="I830" s="87">
        <v>8910</v>
      </c>
      <c r="J830" s="85">
        <v>414.036</v>
      </c>
      <c r="K830" s="87">
        <v>8910</v>
      </c>
      <c r="L830" s="85">
        <v>413.24099999999999</v>
      </c>
      <c r="M830" s="87">
        <v>8910</v>
      </c>
      <c r="N830" s="85">
        <v>413.86399999999998</v>
      </c>
      <c r="O830" s="87">
        <v>8890</v>
      </c>
      <c r="P830" s="85">
        <v>414.91699999999997</v>
      </c>
      <c r="Q830" s="87">
        <v>8910</v>
      </c>
      <c r="R830" s="85">
        <v>414.584</v>
      </c>
      <c r="S830" s="87">
        <v>8910</v>
      </c>
      <c r="T830" s="85">
        <v>415.25200000000001</v>
      </c>
      <c r="U830" s="87">
        <v>8900</v>
      </c>
      <c r="V830" s="85">
        <v>415.01100000000002</v>
      </c>
      <c r="W830" s="87">
        <v>8910</v>
      </c>
      <c r="X830" s="85">
        <v>414.38799999999998</v>
      </c>
      <c r="Y830" s="87">
        <v>8910</v>
      </c>
      <c r="Z830" s="85">
        <v>412.77699999999999</v>
      </c>
      <c r="AA830" s="87">
        <v>8910</v>
      </c>
      <c r="AB830" s="85">
        <v>413.149</v>
      </c>
      <c r="AC830" s="87">
        <v>8900</v>
      </c>
      <c r="AD830" s="85">
        <v>338.512</v>
      </c>
      <c r="AE830" s="87">
        <v>8910</v>
      </c>
      <c r="AF830" s="85">
        <v>340.13799999999998</v>
      </c>
      <c r="AG830" s="87">
        <v>8890</v>
      </c>
      <c r="AH830" s="85">
        <v>77.87</v>
      </c>
      <c r="AI830" s="87">
        <v>8890</v>
      </c>
      <c r="AJ830" s="85">
        <v>82.727000000000004</v>
      </c>
    </row>
    <row r="831" spans="1:36" ht="14.25" customHeight="1">
      <c r="A831" s="88">
        <v>8920</v>
      </c>
      <c r="B831" s="84">
        <v>177.50200000000001</v>
      </c>
      <c r="C831" s="88">
        <v>8930</v>
      </c>
      <c r="D831" s="85">
        <v>175.82900000000001</v>
      </c>
      <c r="E831" s="86">
        <v>8920</v>
      </c>
      <c r="F831" s="85">
        <v>446.61700000000002</v>
      </c>
      <c r="G831" s="87">
        <v>8920</v>
      </c>
      <c r="H831" s="85">
        <v>446.64299999999997</v>
      </c>
      <c r="I831" s="87">
        <v>8920</v>
      </c>
      <c r="J831" s="85">
        <v>412.82400000000001</v>
      </c>
      <c r="K831" s="87">
        <v>8920</v>
      </c>
      <c r="L831" s="85">
        <v>412.02699999999999</v>
      </c>
      <c r="M831" s="87">
        <v>8920</v>
      </c>
      <c r="N831" s="85">
        <v>412.65199999999999</v>
      </c>
      <c r="O831" s="87">
        <v>8900</v>
      </c>
      <c r="P831" s="85">
        <v>413.70499999999998</v>
      </c>
      <c r="Q831" s="87">
        <v>8920</v>
      </c>
      <c r="R831" s="85">
        <v>413.37200000000001</v>
      </c>
      <c r="S831" s="87">
        <v>8920</v>
      </c>
      <c r="T831" s="85">
        <v>414.04</v>
      </c>
      <c r="U831" s="87">
        <v>8910</v>
      </c>
      <c r="V831" s="85">
        <v>413.80099999999999</v>
      </c>
      <c r="W831" s="87">
        <v>8920</v>
      </c>
      <c r="X831" s="85">
        <v>413.17700000000002</v>
      </c>
      <c r="Y831" s="87">
        <v>8920</v>
      </c>
      <c r="Z831" s="85">
        <v>411.56599999999997</v>
      </c>
      <c r="AA831" s="87">
        <v>8920</v>
      </c>
      <c r="AB831" s="85">
        <v>411.93900000000002</v>
      </c>
      <c r="AC831" s="87">
        <v>8910</v>
      </c>
      <c r="AD831" s="85">
        <v>337.34100000000001</v>
      </c>
      <c r="AE831" s="87">
        <v>8920</v>
      </c>
      <c r="AF831" s="85">
        <v>338.96699999999998</v>
      </c>
      <c r="AG831" s="87">
        <v>8900</v>
      </c>
      <c r="AH831" s="85">
        <v>77.563999999999993</v>
      </c>
      <c r="AI831" s="87">
        <v>8900</v>
      </c>
      <c r="AJ831" s="85">
        <v>82.408000000000001</v>
      </c>
    </row>
    <row r="832" spans="1:36" ht="14.25" customHeight="1">
      <c r="A832" s="88">
        <v>8930</v>
      </c>
      <c r="B832" s="84">
        <v>176.79599999999999</v>
      </c>
      <c r="C832" s="88">
        <v>8940</v>
      </c>
      <c r="D832" s="85">
        <v>175.126</v>
      </c>
      <c r="E832" s="86">
        <v>8930</v>
      </c>
      <c r="F832" s="85">
        <v>445.16500000000002</v>
      </c>
      <c r="G832" s="87">
        <v>8930</v>
      </c>
      <c r="H832" s="85">
        <v>445.19</v>
      </c>
      <c r="I832" s="87">
        <v>8930</v>
      </c>
      <c r="J832" s="85">
        <v>411.613</v>
      </c>
      <c r="K832" s="87">
        <v>8930</v>
      </c>
      <c r="L832" s="85">
        <v>410.81400000000002</v>
      </c>
      <c r="M832" s="87">
        <v>8930</v>
      </c>
      <c r="N832" s="85">
        <v>411.44</v>
      </c>
      <c r="O832" s="87">
        <v>8910</v>
      </c>
      <c r="P832" s="85">
        <v>412.49299999999999</v>
      </c>
      <c r="Q832" s="87">
        <v>8930</v>
      </c>
      <c r="R832" s="85">
        <v>412.16</v>
      </c>
      <c r="S832" s="87">
        <v>8930</v>
      </c>
      <c r="T832" s="85">
        <v>412.82799999999997</v>
      </c>
      <c r="U832" s="87">
        <v>8920</v>
      </c>
      <c r="V832" s="85">
        <v>412.59100000000001</v>
      </c>
      <c r="W832" s="87">
        <v>8930</v>
      </c>
      <c r="X832" s="85">
        <v>411.96600000000001</v>
      </c>
      <c r="Y832" s="87">
        <v>8930</v>
      </c>
      <c r="Z832" s="85">
        <v>410.35500000000002</v>
      </c>
      <c r="AA832" s="87">
        <v>8930</v>
      </c>
      <c r="AB832" s="85">
        <v>410.72899999999998</v>
      </c>
      <c r="AC832" s="87">
        <v>8920</v>
      </c>
      <c r="AD832" s="85">
        <v>336.17099999999999</v>
      </c>
      <c r="AE832" s="87">
        <v>8930</v>
      </c>
      <c r="AF832" s="85">
        <v>337.79700000000003</v>
      </c>
      <c r="AG832" s="87">
        <v>8910</v>
      </c>
      <c r="AH832" s="85">
        <v>77.260000000000005</v>
      </c>
      <c r="AI832" s="87">
        <v>8910</v>
      </c>
      <c r="AJ832" s="85">
        <v>82.088999999999999</v>
      </c>
    </row>
    <row r="833" spans="1:36" ht="14.25" customHeight="1">
      <c r="A833" s="88">
        <v>8940</v>
      </c>
      <c r="B833" s="84">
        <v>176.09</v>
      </c>
      <c r="C833" s="88">
        <v>8950</v>
      </c>
      <c r="D833" s="85">
        <v>174.42400000000001</v>
      </c>
      <c r="E833" s="86">
        <v>8940</v>
      </c>
      <c r="F833" s="85">
        <v>443.714</v>
      </c>
      <c r="G833" s="87">
        <v>8940</v>
      </c>
      <c r="H833" s="85">
        <v>443.738</v>
      </c>
      <c r="I833" s="87">
        <v>8940</v>
      </c>
      <c r="J833" s="85">
        <v>410.40100000000001</v>
      </c>
      <c r="K833" s="87">
        <v>8940</v>
      </c>
      <c r="L833" s="85">
        <v>409.601</v>
      </c>
      <c r="M833" s="87">
        <v>8940</v>
      </c>
      <c r="N833" s="85">
        <v>410.22899999999998</v>
      </c>
      <c r="O833" s="87">
        <v>8920</v>
      </c>
      <c r="P833" s="85">
        <v>411.28100000000001</v>
      </c>
      <c r="Q833" s="87">
        <v>8940</v>
      </c>
      <c r="R833" s="85">
        <v>410.94900000000001</v>
      </c>
      <c r="S833" s="87">
        <v>8940</v>
      </c>
      <c r="T833" s="85">
        <v>411.61599999999999</v>
      </c>
      <c r="U833" s="87">
        <v>8930</v>
      </c>
      <c r="V833" s="85">
        <v>411.38099999999997</v>
      </c>
      <c r="W833" s="87">
        <v>8940</v>
      </c>
      <c r="X833" s="85">
        <v>410.755</v>
      </c>
      <c r="Y833" s="87">
        <v>8940</v>
      </c>
      <c r="Z833" s="85">
        <v>409.14499999999998</v>
      </c>
      <c r="AA833" s="87">
        <v>8940</v>
      </c>
      <c r="AB833" s="85">
        <v>409.51900000000001</v>
      </c>
      <c r="AC833" s="87">
        <v>8930</v>
      </c>
      <c r="AD833" s="85">
        <v>335.00200000000001</v>
      </c>
      <c r="AE833" s="87">
        <v>8940</v>
      </c>
      <c r="AF833" s="85">
        <v>336.62700000000001</v>
      </c>
      <c r="AG833" s="87">
        <v>8920</v>
      </c>
      <c r="AH833" s="85">
        <v>76.954999999999998</v>
      </c>
      <c r="AI833" s="87">
        <v>8920</v>
      </c>
      <c r="AJ833" s="85">
        <v>81.77</v>
      </c>
    </row>
    <row r="834" spans="1:36" ht="14.25" customHeight="1">
      <c r="A834" s="88">
        <v>8950</v>
      </c>
      <c r="B834" s="84">
        <v>175.38499999999999</v>
      </c>
      <c r="C834" s="88">
        <v>8960</v>
      </c>
      <c r="D834" s="85">
        <v>173.721</v>
      </c>
      <c r="E834" s="86">
        <v>8950</v>
      </c>
      <c r="F834" s="85">
        <v>442.262</v>
      </c>
      <c r="G834" s="87">
        <v>8950</v>
      </c>
      <c r="H834" s="85">
        <v>442.286</v>
      </c>
      <c r="I834" s="87">
        <v>8950</v>
      </c>
      <c r="J834" s="85">
        <v>409.18900000000002</v>
      </c>
      <c r="K834" s="87">
        <v>8950</v>
      </c>
      <c r="L834" s="85">
        <v>408.387</v>
      </c>
      <c r="M834" s="87">
        <v>8950</v>
      </c>
      <c r="N834" s="85">
        <v>409.017</v>
      </c>
      <c r="O834" s="87">
        <v>8930</v>
      </c>
      <c r="P834" s="85">
        <v>410.06900000000002</v>
      </c>
      <c r="Q834" s="87">
        <v>8950</v>
      </c>
      <c r="R834" s="85">
        <v>409.73700000000002</v>
      </c>
      <c r="S834" s="87">
        <v>8950</v>
      </c>
      <c r="T834" s="85">
        <v>410.404</v>
      </c>
      <c r="U834" s="87">
        <v>8940</v>
      </c>
      <c r="V834" s="85">
        <v>410.17</v>
      </c>
      <c r="W834" s="87">
        <v>8950</v>
      </c>
      <c r="X834" s="85">
        <v>409.54399999999998</v>
      </c>
      <c r="Y834" s="87">
        <v>8950</v>
      </c>
      <c r="Z834" s="85">
        <v>407.93400000000003</v>
      </c>
      <c r="AA834" s="87">
        <v>8950</v>
      </c>
      <c r="AB834" s="85">
        <v>408.30900000000003</v>
      </c>
      <c r="AC834" s="87">
        <v>8940</v>
      </c>
      <c r="AD834" s="85">
        <v>333.83300000000003</v>
      </c>
      <c r="AE834" s="87">
        <v>8950</v>
      </c>
      <c r="AF834" s="85">
        <v>335.45800000000003</v>
      </c>
      <c r="AG834" s="87">
        <v>8930</v>
      </c>
      <c r="AH834" s="85">
        <v>76.650999999999996</v>
      </c>
      <c r="AI834" s="87">
        <v>8930</v>
      </c>
      <c r="AJ834" s="85">
        <v>81.451999999999998</v>
      </c>
    </row>
    <row r="835" spans="1:36" ht="14.25" customHeight="1">
      <c r="A835" s="88">
        <v>8960</v>
      </c>
      <c r="B835" s="84">
        <v>174.679</v>
      </c>
      <c r="C835" s="88">
        <v>8970</v>
      </c>
      <c r="D835" s="85">
        <v>173.01900000000001</v>
      </c>
      <c r="E835" s="86">
        <v>8960</v>
      </c>
      <c r="F835" s="85">
        <v>440.81099999999998</v>
      </c>
      <c r="G835" s="87">
        <v>8960</v>
      </c>
      <c r="H835" s="85">
        <v>440.83300000000003</v>
      </c>
      <c r="I835" s="87">
        <v>8960</v>
      </c>
      <c r="J835" s="85">
        <v>407.97800000000001</v>
      </c>
      <c r="K835" s="87">
        <v>8960</v>
      </c>
      <c r="L835" s="85">
        <v>407.17399999999998</v>
      </c>
      <c r="M835" s="87">
        <v>8960</v>
      </c>
      <c r="N835" s="85">
        <v>407.80500000000001</v>
      </c>
      <c r="O835" s="87">
        <v>8940</v>
      </c>
      <c r="P835" s="85">
        <v>408.85700000000003</v>
      </c>
      <c r="Q835" s="87">
        <v>8960</v>
      </c>
      <c r="R835" s="85">
        <v>408.52499999999998</v>
      </c>
      <c r="S835" s="87">
        <v>8960</v>
      </c>
      <c r="T835" s="85">
        <v>409.19200000000001</v>
      </c>
      <c r="U835" s="87">
        <v>8950</v>
      </c>
      <c r="V835" s="85">
        <v>408.96</v>
      </c>
      <c r="W835" s="87">
        <v>8960</v>
      </c>
      <c r="X835" s="85">
        <v>408.33300000000003</v>
      </c>
      <c r="Y835" s="87">
        <v>8960</v>
      </c>
      <c r="Z835" s="85">
        <v>406.72300000000001</v>
      </c>
      <c r="AA835" s="87">
        <v>8960</v>
      </c>
      <c r="AB835" s="85">
        <v>407.09899999999999</v>
      </c>
      <c r="AC835" s="87">
        <v>8950</v>
      </c>
      <c r="AD835" s="85">
        <v>332.66500000000002</v>
      </c>
      <c r="AE835" s="87">
        <v>8960</v>
      </c>
      <c r="AF835" s="85">
        <v>334.29</v>
      </c>
      <c r="AG835" s="87">
        <v>8940</v>
      </c>
      <c r="AH835" s="85">
        <v>76.347999999999999</v>
      </c>
      <c r="AI835" s="87">
        <v>8940</v>
      </c>
      <c r="AJ835" s="85">
        <v>81.134</v>
      </c>
    </row>
    <row r="836" spans="1:36" ht="14.25" customHeight="1">
      <c r="A836" s="88">
        <v>8970</v>
      </c>
      <c r="B836" s="84">
        <v>173.97399999999999</v>
      </c>
      <c r="C836" s="88">
        <v>8980</v>
      </c>
      <c r="D836" s="85">
        <v>172.31700000000001</v>
      </c>
      <c r="E836" s="86">
        <v>8970</v>
      </c>
      <c r="F836" s="85">
        <v>439.36</v>
      </c>
      <c r="G836" s="87">
        <v>8970</v>
      </c>
      <c r="H836" s="85">
        <v>439.38099999999997</v>
      </c>
      <c r="I836" s="87">
        <v>8970</v>
      </c>
      <c r="J836" s="85">
        <v>406.76600000000002</v>
      </c>
      <c r="K836" s="87">
        <v>8970</v>
      </c>
      <c r="L836" s="85">
        <v>405.96</v>
      </c>
      <c r="M836" s="87">
        <v>8970</v>
      </c>
      <c r="N836" s="85">
        <v>406.59300000000002</v>
      </c>
      <c r="O836" s="87">
        <v>8950</v>
      </c>
      <c r="P836" s="85">
        <v>407.64499999999998</v>
      </c>
      <c r="Q836" s="87">
        <v>8970</v>
      </c>
      <c r="R836" s="85">
        <v>407.31299999999999</v>
      </c>
      <c r="S836" s="87">
        <v>8970</v>
      </c>
      <c r="T836" s="85">
        <v>407.98</v>
      </c>
      <c r="U836" s="87">
        <v>8960</v>
      </c>
      <c r="V836" s="85">
        <v>407.75</v>
      </c>
      <c r="W836" s="87">
        <v>8970</v>
      </c>
      <c r="X836" s="85">
        <v>407.12200000000001</v>
      </c>
      <c r="Y836" s="87">
        <v>8970</v>
      </c>
      <c r="Z836" s="85">
        <v>405.512</v>
      </c>
      <c r="AA836" s="87">
        <v>8970</v>
      </c>
      <c r="AB836" s="85">
        <v>405.88900000000001</v>
      </c>
      <c r="AC836" s="87">
        <v>8960</v>
      </c>
      <c r="AD836" s="85">
        <v>331.49799999999999</v>
      </c>
      <c r="AE836" s="87">
        <v>8970</v>
      </c>
      <c r="AF836" s="85">
        <v>333.12200000000001</v>
      </c>
      <c r="AG836" s="87">
        <v>8950</v>
      </c>
      <c r="AH836" s="85">
        <v>76.045000000000002</v>
      </c>
      <c r="AI836" s="87">
        <v>8950</v>
      </c>
      <c r="AJ836" s="85">
        <v>80.816000000000003</v>
      </c>
    </row>
    <row r="837" spans="1:36" ht="14.25" customHeight="1">
      <c r="A837" s="88">
        <v>8980</v>
      </c>
      <c r="B837" s="84">
        <v>173.26900000000001</v>
      </c>
      <c r="C837" s="88">
        <v>8990</v>
      </c>
      <c r="D837" s="85">
        <v>171.61500000000001</v>
      </c>
      <c r="E837" s="86">
        <v>8980</v>
      </c>
      <c r="F837" s="85">
        <v>437.90800000000002</v>
      </c>
      <c r="G837" s="87">
        <v>8980</v>
      </c>
      <c r="H837" s="85">
        <v>437.92899999999997</v>
      </c>
      <c r="I837" s="87">
        <v>8980</v>
      </c>
      <c r="J837" s="85">
        <v>405.55399999999997</v>
      </c>
      <c r="K837" s="87">
        <v>8980</v>
      </c>
      <c r="L837" s="85">
        <v>404.74700000000001</v>
      </c>
      <c r="M837" s="87">
        <v>8980</v>
      </c>
      <c r="N837" s="85">
        <v>405.38099999999997</v>
      </c>
      <c r="O837" s="87">
        <v>8960</v>
      </c>
      <c r="P837" s="85">
        <v>406.43200000000002</v>
      </c>
      <c r="Q837" s="87">
        <v>8980</v>
      </c>
      <c r="R837" s="85">
        <v>406.101</v>
      </c>
      <c r="S837" s="87">
        <v>8980</v>
      </c>
      <c r="T837" s="85">
        <v>406.76799999999997</v>
      </c>
      <c r="U837" s="87">
        <v>8970</v>
      </c>
      <c r="V837" s="85">
        <v>406.53899999999999</v>
      </c>
      <c r="W837" s="87">
        <v>8980</v>
      </c>
      <c r="X837" s="85">
        <v>405.911</v>
      </c>
      <c r="Y837" s="87">
        <v>8980</v>
      </c>
      <c r="Z837" s="85">
        <v>404.30099999999999</v>
      </c>
      <c r="AA837" s="87">
        <v>8980</v>
      </c>
      <c r="AB837" s="85">
        <v>404.67899999999997</v>
      </c>
      <c r="AC837" s="87">
        <v>8970</v>
      </c>
      <c r="AD837" s="85">
        <v>330.33100000000002</v>
      </c>
      <c r="AE837" s="87">
        <v>8980</v>
      </c>
      <c r="AF837" s="85">
        <v>331.95600000000002</v>
      </c>
      <c r="AG837" s="87">
        <v>8960</v>
      </c>
      <c r="AH837" s="85">
        <v>75.742000000000004</v>
      </c>
      <c r="AI837" s="87">
        <v>8960</v>
      </c>
      <c r="AJ837" s="85">
        <v>80.498999999999995</v>
      </c>
    </row>
    <row r="838" spans="1:36" ht="14.25" customHeight="1">
      <c r="A838" s="88">
        <v>8990</v>
      </c>
      <c r="B838" s="84">
        <v>172.565</v>
      </c>
      <c r="C838" s="88">
        <v>9000</v>
      </c>
      <c r="D838" s="85">
        <v>170.91399999999999</v>
      </c>
      <c r="E838" s="86">
        <v>8990</v>
      </c>
      <c r="F838" s="85">
        <v>436.45699999999999</v>
      </c>
      <c r="G838" s="87">
        <v>8990</v>
      </c>
      <c r="H838" s="85">
        <v>436.47699999999998</v>
      </c>
      <c r="I838" s="87">
        <v>8990</v>
      </c>
      <c r="J838" s="85">
        <v>404.34300000000002</v>
      </c>
      <c r="K838" s="87">
        <v>8990</v>
      </c>
      <c r="L838" s="85">
        <v>403.53399999999999</v>
      </c>
      <c r="M838" s="87">
        <v>8990</v>
      </c>
      <c r="N838" s="85">
        <v>404.17</v>
      </c>
      <c r="O838" s="87">
        <v>8970</v>
      </c>
      <c r="P838" s="85">
        <v>405.22</v>
      </c>
      <c r="Q838" s="87">
        <v>8990</v>
      </c>
      <c r="R838" s="85">
        <v>404.89</v>
      </c>
      <c r="S838" s="87">
        <v>8990</v>
      </c>
      <c r="T838" s="85">
        <v>405.55599999999998</v>
      </c>
      <c r="U838" s="87">
        <v>8980</v>
      </c>
      <c r="V838" s="85">
        <v>405.32900000000001</v>
      </c>
      <c r="W838" s="87">
        <v>8990</v>
      </c>
      <c r="X838" s="85">
        <v>404.7</v>
      </c>
      <c r="Y838" s="87">
        <v>8990</v>
      </c>
      <c r="Z838" s="85">
        <v>403.09100000000001</v>
      </c>
      <c r="AA838" s="87">
        <v>8990</v>
      </c>
      <c r="AB838" s="85">
        <v>403.46899999999999</v>
      </c>
      <c r="AC838" s="87">
        <v>8980</v>
      </c>
      <c r="AD838" s="85">
        <v>329.16500000000002</v>
      </c>
      <c r="AE838" s="87">
        <v>8990</v>
      </c>
      <c r="AF838" s="85">
        <v>330.79</v>
      </c>
      <c r="AG838" s="87">
        <v>8970</v>
      </c>
      <c r="AH838" s="85">
        <v>75.44</v>
      </c>
      <c r="AI838" s="87">
        <v>8970</v>
      </c>
      <c r="AJ838" s="85">
        <v>80.182000000000002</v>
      </c>
    </row>
    <row r="839" spans="1:36" ht="14.25" customHeight="1">
      <c r="A839" s="88">
        <v>9000</v>
      </c>
      <c r="B839" s="84">
        <v>171.86</v>
      </c>
      <c r="C839" s="88">
        <v>9010</v>
      </c>
      <c r="D839" s="85">
        <v>170.21199999999999</v>
      </c>
      <c r="E839" s="86">
        <v>9000</v>
      </c>
      <c r="F839" s="85">
        <v>435.00700000000001</v>
      </c>
      <c r="G839" s="87">
        <v>9000</v>
      </c>
      <c r="H839" s="85">
        <v>435.02499999999998</v>
      </c>
      <c r="I839" s="87">
        <v>9000</v>
      </c>
      <c r="J839" s="85">
        <v>403.13099999999997</v>
      </c>
      <c r="K839" s="87">
        <v>9000</v>
      </c>
      <c r="L839" s="85">
        <v>402.32</v>
      </c>
      <c r="M839" s="87">
        <v>9000</v>
      </c>
      <c r="N839" s="85">
        <v>402.95800000000003</v>
      </c>
      <c r="O839" s="87">
        <v>8980</v>
      </c>
      <c r="P839" s="85">
        <v>404.00799999999998</v>
      </c>
      <c r="Q839" s="87">
        <v>9000</v>
      </c>
      <c r="R839" s="85">
        <v>403.678</v>
      </c>
      <c r="S839" s="87">
        <v>9000</v>
      </c>
      <c r="T839" s="85">
        <v>404.34399999999999</v>
      </c>
      <c r="U839" s="87">
        <v>8990</v>
      </c>
      <c r="V839" s="85">
        <v>404.11900000000003</v>
      </c>
      <c r="W839" s="87">
        <v>9000</v>
      </c>
      <c r="X839" s="85">
        <v>403.48899999999998</v>
      </c>
      <c r="Y839" s="87">
        <v>9000</v>
      </c>
      <c r="Z839" s="85">
        <v>401.88</v>
      </c>
      <c r="AA839" s="87">
        <v>9000</v>
      </c>
      <c r="AB839" s="85">
        <v>402.25900000000001</v>
      </c>
      <c r="AC839" s="87">
        <v>8990</v>
      </c>
      <c r="AD839" s="85">
        <v>328</v>
      </c>
      <c r="AE839" s="87">
        <v>9000</v>
      </c>
      <c r="AF839" s="85">
        <v>329.62400000000002</v>
      </c>
      <c r="AG839" s="87">
        <v>8980</v>
      </c>
      <c r="AH839" s="85">
        <v>75.138000000000005</v>
      </c>
      <c r="AI839" s="87">
        <v>8980</v>
      </c>
      <c r="AJ839" s="85">
        <v>79.866</v>
      </c>
    </row>
    <row r="840" spans="1:36" ht="14.25" customHeight="1">
      <c r="A840" s="88">
        <v>9010</v>
      </c>
      <c r="B840" s="84">
        <v>171.15600000000001</v>
      </c>
      <c r="C840" s="88">
        <v>9020</v>
      </c>
      <c r="D840" s="85">
        <v>169.511</v>
      </c>
      <c r="E840" s="86">
        <v>9010</v>
      </c>
      <c r="F840" s="85">
        <v>433.55599999999998</v>
      </c>
      <c r="G840" s="87">
        <v>9010</v>
      </c>
      <c r="H840" s="85">
        <v>433.57400000000001</v>
      </c>
      <c r="I840" s="87">
        <v>9010</v>
      </c>
      <c r="J840" s="85">
        <v>401.92</v>
      </c>
      <c r="K840" s="87">
        <v>9010</v>
      </c>
      <c r="L840" s="85">
        <v>401.10700000000003</v>
      </c>
      <c r="M840" s="87">
        <v>9010</v>
      </c>
      <c r="N840" s="85">
        <v>401.74599999999998</v>
      </c>
      <c r="O840" s="87">
        <v>8990</v>
      </c>
      <c r="P840" s="85">
        <v>402.79599999999999</v>
      </c>
      <c r="Q840" s="87">
        <v>9010</v>
      </c>
      <c r="R840" s="85">
        <v>402.46600000000001</v>
      </c>
      <c r="S840" s="87">
        <v>9010</v>
      </c>
      <c r="T840" s="85">
        <v>403.13200000000001</v>
      </c>
      <c r="U840" s="87">
        <v>9000</v>
      </c>
      <c r="V840" s="85">
        <v>402.90899999999999</v>
      </c>
      <c r="W840" s="87">
        <v>9010</v>
      </c>
      <c r="X840" s="85">
        <v>402.27800000000002</v>
      </c>
      <c r="Y840" s="87">
        <v>9010</v>
      </c>
      <c r="Z840" s="85">
        <v>400.66899999999998</v>
      </c>
      <c r="AA840" s="87">
        <v>9010</v>
      </c>
      <c r="AB840" s="85">
        <v>401.04899999999998</v>
      </c>
      <c r="AC840" s="87">
        <v>9000</v>
      </c>
      <c r="AD840" s="85">
        <v>326.83499999999998</v>
      </c>
      <c r="AE840" s="87">
        <v>9010</v>
      </c>
      <c r="AF840" s="85">
        <v>328.459</v>
      </c>
      <c r="AG840" s="87">
        <v>8990</v>
      </c>
      <c r="AH840" s="85">
        <v>74.835999999999999</v>
      </c>
      <c r="AI840" s="87">
        <v>8990</v>
      </c>
      <c r="AJ840" s="85">
        <v>79.55</v>
      </c>
    </row>
    <row r="841" spans="1:36" ht="14.25" customHeight="1">
      <c r="A841" s="88">
        <v>9020</v>
      </c>
      <c r="B841" s="84">
        <v>170.452</v>
      </c>
      <c r="C841" s="88">
        <v>9030</v>
      </c>
      <c r="D841" s="85">
        <v>168.81</v>
      </c>
      <c r="E841" s="86">
        <v>9020</v>
      </c>
      <c r="F841" s="85">
        <v>432.10500000000002</v>
      </c>
      <c r="G841" s="87">
        <v>9020</v>
      </c>
      <c r="H841" s="85">
        <v>432.12200000000001</v>
      </c>
      <c r="I841" s="87">
        <v>9020</v>
      </c>
      <c r="J841" s="85">
        <v>400.70800000000003</v>
      </c>
      <c r="K841" s="87">
        <v>9020</v>
      </c>
      <c r="L841" s="85">
        <v>399.89400000000001</v>
      </c>
      <c r="M841" s="87">
        <v>9020</v>
      </c>
      <c r="N841" s="85">
        <v>400.53399999999999</v>
      </c>
      <c r="O841" s="87">
        <v>9000</v>
      </c>
      <c r="P841" s="85">
        <v>401.584</v>
      </c>
      <c r="Q841" s="87">
        <v>9020</v>
      </c>
      <c r="R841" s="85">
        <v>401.25400000000002</v>
      </c>
      <c r="S841" s="87">
        <v>9020</v>
      </c>
      <c r="T841" s="85">
        <v>401.92</v>
      </c>
      <c r="U841" s="87">
        <v>9010</v>
      </c>
      <c r="V841" s="85">
        <v>401.69799999999998</v>
      </c>
      <c r="W841" s="87">
        <v>9020</v>
      </c>
      <c r="X841" s="85">
        <v>401.06700000000001</v>
      </c>
      <c r="Y841" s="87">
        <v>9020</v>
      </c>
      <c r="Z841" s="85">
        <v>399.45800000000003</v>
      </c>
      <c r="AA841" s="87">
        <v>9020</v>
      </c>
      <c r="AB841" s="85">
        <v>399.839</v>
      </c>
      <c r="AC841" s="87">
        <v>9010</v>
      </c>
      <c r="AD841" s="85">
        <v>325.67099999999999</v>
      </c>
      <c r="AE841" s="87">
        <v>9020</v>
      </c>
      <c r="AF841" s="85">
        <v>327.29500000000002</v>
      </c>
      <c r="AG841" s="87">
        <v>9000</v>
      </c>
      <c r="AH841" s="85">
        <v>74.534999999999997</v>
      </c>
      <c r="AI841" s="87">
        <v>9000</v>
      </c>
      <c r="AJ841" s="85">
        <v>79.233999999999995</v>
      </c>
    </row>
    <row r="842" spans="1:36" ht="14.25" customHeight="1">
      <c r="A842" s="88">
        <v>9030</v>
      </c>
      <c r="B842" s="84">
        <v>169.74799999999999</v>
      </c>
      <c r="C842" s="88">
        <v>9040</v>
      </c>
      <c r="D842" s="85">
        <v>168.10900000000001</v>
      </c>
      <c r="E842" s="86">
        <v>9030</v>
      </c>
      <c r="F842" s="85">
        <v>430.65499999999997</v>
      </c>
      <c r="G842" s="87">
        <v>9030</v>
      </c>
      <c r="H842" s="85">
        <v>430.67</v>
      </c>
      <c r="I842" s="87">
        <v>9030</v>
      </c>
      <c r="J842" s="85">
        <v>399.49599999999998</v>
      </c>
      <c r="K842" s="87">
        <v>9030</v>
      </c>
      <c r="L842" s="85">
        <v>398.68</v>
      </c>
      <c r="M842" s="87">
        <v>9030</v>
      </c>
      <c r="N842" s="85">
        <v>399.322</v>
      </c>
      <c r="O842" s="87">
        <v>9010</v>
      </c>
      <c r="P842" s="85">
        <v>400.37200000000001</v>
      </c>
      <c r="Q842" s="87">
        <v>9030</v>
      </c>
      <c r="R842" s="85">
        <v>400.04199999999997</v>
      </c>
      <c r="S842" s="87">
        <v>9030</v>
      </c>
      <c r="T842" s="85">
        <v>400.70800000000003</v>
      </c>
      <c r="U842" s="87">
        <v>9020</v>
      </c>
      <c r="V842" s="85">
        <v>400.488</v>
      </c>
      <c r="W842" s="87">
        <v>9030</v>
      </c>
      <c r="X842" s="85">
        <v>399.85599999999999</v>
      </c>
      <c r="Y842" s="87">
        <v>9030</v>
      </c>
      <c r="Z842" s="85">
        <v>398.24700000000001</v>
      </c>
      <c r="AA842" s="87">
        <v>9030</v>
      </c>
      <c r="AB842" s="85">
        <v>398.62900000000002</v>
      </c>
      <c r="AC842" s="87">
        <v>9020</v>
      </c>
      <c r="AD842" s="85">
        <v>324.50799999999998</v>
      </c>
      <c r="AE842" s="87">
        <v>9030</v>
      </c>
      <c r="AF842" s="85">
        <v>326.13200000000001</v>
      </c>
      <c r="AG842" s="87">
        <v>9010</v>
      </c>
      <c r="AH842" s="85">
        <v>74.233999999999995</v>
      </c>
      <c r="AI842" s="87">
        <v>9010</v>
      </c>
      <c r="AJ842" s="85">
        <v>78.918999999999997</v>
      </c>
    </row>
    <row r="843" spans="1:36" ht="14.25" customHeight="1">
      <c r="A843" s="88">
        <v>9040</v>
      </c>
      <c r="B843" s="84">
        <v>169.04499999999999</v>
      </c>
      <c r="C843" s="88">
        <v>9050</v>
      </c>
      <c r="D843" s="85">
        <v>167.40899999999999</v>
      </c>
      <c r="E843" s="86">
        <v>9040</v>
      </c>
      <c r="F843" s="85">
        <v>429.20400000000001</v>
      </c>
      <c r="G843" s="87">
        <v>9040</v>
      </c>
      <c r="H843" s="85">
        <v>429.21899999999999</v>
      </c>
      <c r="I843" s="87">
        <v>9040</v>
      </c>
      <c r="J843" s="85">
        <v>398.28500000000003</v>
      </c>
      <c r="K843" s="87">
        <v>9040</v>
      </c>
      <c r="L843" s="85">
        <v>397.46699999999998</v>
      </c>
      <c r="M843" s="87">
        <v>9040</v>
      </c>
      <c r="N843" s="85">
        <v>398.11099999999999</v>
      </c>
      <c r="O843" s="87">
        <v>9020</v>
      </c>
      <c r="P843" s="85">
        <v>399.16</v>
      </c>
      <c r="Q843" s="87">
        <v>9040</v>
      </c>
      <c r="R843" s="85">
        <v>398.83100000000002</v>
      </c>
      <c r="S843" s="87">
        <v>9040</v>
      </c>
      <c r="T843" s="85">
        <v>399.49599999999998</v>
      </c>
      <c r="U843" s="87">
        <v>9030</v>
      </c>
      <c r="V843" s="85">
        <v>399.27800000000002</v>
      </c>
      <c r="W843" s="87">
        <v>9040</v>
      </c>
      <c r="X843" s="85">
        <v>398.64499999999998</v>
      </c>
      <c r="Y843" s="87">
        <v>9040</v>
      </c>
      <c r="Z843" s="85">
        <v>397.036</v>
      </c>
      <c r="AA843" s="87">
        <v>9040</v>
      </c>
      <c r="AB843" s="85">
        <v>397.41899999999998</v>
      </c>
      <c r="AC843" s="87">
        <v>9030</v>
      </c>
      <c r="AD843" s="85">
        <v>323.346</v>
      </c>
      <c r="AE843" s="87">
        <v>9040</v>
      </c>
      <c r="AF843" s="85">
        <v>324.97000000000003</v>
      </c>
      <c r="AG843" s="87">
        <v>9020</v>
      </c>
      <c r="AH843" s="85">
        <v>73.933999999999997</v>
      </c>
      <c r="AI843" s="87">
        <v>9020</v>
      </c>
      <c r="AJ843" s="85">
        <v>78.603999999999999</v>
      </c>
    </row>
    <row r="844" spans="1:36" ht="14.25" customHeight="1">
      <c r="A844" s="88">
        <v>9050</v>
      </c>
      <c r="B844" s="84">
        <v>168.34100000000001</v>
      </c>
      <c r="C844" s="88">
        <v>9060</v>
      </c>
      <c r="D844" s="85">
        <v>166.709</v>
      </c>
      <c r="E844" s="86">
        <v>9050</v>
      </c>
      <c r="F844" s="85">
        <v>427.75400000000002</v>
      </c>
      <c r="G844" s="87">
        <v>9050</v>
      </c>
      <c r="H844" s="85">
        <v>427.76799999999997</v>
      </c>
      <c r="I844" s="87">
        <v>9050</v>
      </c>
      <c r="J844" s="85">
        <v>397.07299999999998</v>
      </c>
      <c r="K844" s="87">
        <v>9050</v>
      </c>
      <c r="L844" s="85">
        <v>396.25299999999999</v>
      </c>
      <c r="M844" s="87">
        <v>9050</v>
      </c>
      <c r="N844" s="85">
        <v>396.899</v>
      </c>
      <c r="O844" s="87">
        <v>9030</v>
      </c>
      <c r="P844" s="85">
        <v>397.94799999999998</v>
      </c>
      <c r="Q844" s="87">
        <v>9050</v>
      </c>
      <c r="R844" s="85">
        <v>397.61900000000003</v>
      </c>
      <c r="S844" s="87">
        <v>9050</v>
      </c>
      <c r="T844" s="85">
        <v>398.28399999999999</v>
      </c>
      <c r="U844" s="87">
        <v>9040</v>
      </c>
      <c r="V844" s="85">
        <v>398.06700000000001</v>
      </c>
      <c r="W844" s="87">
        <v>9050</v>
      </c>
      <c r="X844" s="85">
        <v>397.43400000000003</v>
      </c>
      <c r="Y844" s="87">
        <v>9050</v>
      </c>
      <c r="Z844" s="85">
        <v>395.82600000000002</v>
      </c>
      <c r="AA844" s="87">
        <v>9050</v>
      </c>
      <c r="AB844" s="85">
        <v>396.209</v>
      </c>
      <c r="AC844" s="87">
        <v>9040</v>
      </c>
      <c r="AD844" s="85">
        <v>322.18400000000003</v>
      </c>
      <c r="AE844" s="87">
        <v>9050</v>
      </c>
      <c r="AF844" s="85">
        <v>323.80799999999999</v>
      </c>
      <c r="AG844" s="87">
        <v>9030</v>
      </c>
      <c r="AH844" s="85">
        <v>73.634</v>
      </c>
      <c r="AI844" s="87">
        <v>9030</v>
      </c>
      <c r="AJ844" s="85">
        <v>78.290000000000006</v>
      </c>
    </row>
    <row r="845" spans="1:36" ht="14.25" customHeight="1">
      <c r="A845" s="88">
        <v>9060</v>
      </c>
      <c r="B845" s="84">
        <v>167.63800000000001</v>
      </c>
      <c r="C845" s="88">
        <v>9070</v>
      </c>
      <c r="D845" s="85">
        <v>166.00899999999999</v>
      </c>
      <c r="E845" s="86">
        <v>9060</v>
      </c>
      <c r="F845" s="85">
        <v>426.303</v>
      </c>
      <c r="G845" s="87">
        <v>9060</v>
      </c>
      <c r="H845" s="85">
        <v>426.31599999999997</v>
      </c>
      <c r="I845" s="87">
        <v>9060</v>
      </c>
      <c r="J845" s="85">
        <v>395.86200000000002</v>
      </c>
      <c r="K845" s="87">
        <v>9060</v>
      </c>
      <c r="L845" s="85">
        <v>395.04</v>
      </c>
      <c r="M845" s="87">
        <v>9060</v>
      </c>
      <c r="N845" s="85">
        <v>395.68700000000001</v>
      </c>
      <c r="O845" s="87">
        <v>9040</v>
      </c>
      <c r="P845" s="85">
        <v>396.73599999999999</v>
      </c>
      <c r="Q845" s="87">
        <v>9060</v>
      </c>
      <c r="R845" s="85">
        <v>396.40699999999998</v>
      </c>
      <c r="S845" s="87">
        <v>9060</v>
      </c>
      <c r="T845" s="85">
        <v>397.072</v>
      </c>
      <c r="U845" s="87">
        <v>9050</v>
      </c>
      <c r="V845" s="85">
        <v>396.85700000000003</v>
      </c>
      <c r="W845" s="87">
        <v>9060</v>
      </c>
      <c r="X845" s="85">
        <v>396.22300000000001</v>
      </c>
      <c r="Y845" s="87">
        <v>9060</v>
      </c>
      <c r="Z845" s="85">
        <v>394.61500000000001</v>
      </c>
      <c r="AA845" s="87">
        <v>9060</v>
      </c>
      <c r="AB845" s="85">
        <v>394.99900000000002</v>
      </c>
      <c r="AC845" s="87">
        <v>9050</v>
      </c>
      <c r="AD845" s="85">
        <v>321.02300000000002</v>
      </c>
      <c r="AE845" s="87">
        <v>9060</v>
      </c>
      <c r="AF845" s="85">
        <v>322.64699999999999</v>
      </c>
      <c r="AG845" s="87">
        <v>9040</v>
      </c>
      <c r="AH845" s="85">
        <v>73.334000000000003</v>
      </c>
      <c r="AI845" s="87">
        <v>9040</v>
      </c>
      <c r="AJ845" s="85">
        <v>77.975999999999999</v>
      </c>
    </row>
    <row r="846" spans="1:36" ht="14.25" customHeight="1">
      <c r="A846" s="88">
        <v>9070</v>
      </c>
      <c r="B846" s="84">
        <v>166.93600000000001</v>
      </c>
      <c r="C846" s="88">
        <v>9080</v>
      </c>
      <c r="D846" s="85">
        <v>165.309</v>
      </c>
      <c r="E846" s="86">
        <v>9070</v>
      </c>
      <c r="F846" s="85">
        <v>424.85300000000001</v>
      </c>
      <c r="G846" s="87">
        <v>9070</v>
      </c>
      <c r="H846" s="85">
        <v>424.86500000000001</v>
      </c>
      <c r="I846" s="87">
        <v>9070</v>
      </c>
      <c r="J846" s="85">
        <v>394.65</v>
      </c>
      <c r="K846" s="87">
        <v>9070</v>
      </c>
      <c r="L846" s="85">
        <v>393.827</v>
      </c>
      <c r="M846" s="87">
        <v>9070</v>
      </c>
      <c r="N846" s="85">
        <v>394.47500000000002</v>
      </c>
      <c r="O846" s="87">
        <v>9050</v>
      </c>
      <c r="P846" s="85">
        <v>395.524</v>
      </c>
      <c r="Q846" s="87">
        <v>9070</v>
      </c>
      <c r="R846" s="85">
        <v>395.19499999999999</v>
      </c>
      <c r="S846" s="87">
        <v>9070</v>
      </c>
      <c r="T846" s="85">
        <v>395.86</v>
      </c>
      <c r="U846" s="87">
        <v>9060</v>
      </c>
      <c r="V846" s="85">
        <v>395.64699999999999</v>
      </c>
      <c r="W846" s="87">
        <v>9070</v>
      </c>
      <c r="X846" s="85">
        <v>395.012</v>
      </c>
      <c r="Y846" s="87">
        <v>9070</v>
      </c>
      <c r="Z846" s="85">
        <v>393.404</v>
      </c>
      <c r="AA846" s="87">
        <v>9070</v>
      </c>
      <c r="AB846" s="85">
        <v>393.78899999999999</v>
      </c>
      <c r="AC846" s="87">
        <v>9060</v>
      </c>
      <c r="AD846" s="85">
        <v>319.863</v>
      </c>
      <c r="AE846" s="87">
        <v>9070</v>
      </c>
      <c r="AF846" s="85">
        <v>321.48599999999999</v>
      </c>
      <c r="AG846" s="87">
        <v>9050</v>
      </c>
      <c r="AH846" s="85">
        <v>73.034999999999997</v>
      </c>
      <c r="AI846" s="87">
        <v>9050</v>
      </c>
      <c r="AJ846" s="85">
        <v>77.662000000000006</v>
      </c>
    </row>
    <row r="847" spans="1:36" ht="14.25" customHeight="1">
      <c r="A847" s="88">
        <v>9080</v>
      </c>
      <c r="B847" s="84">
        <v>166.233</v>
      </c>
      <c r="C847" s="88">
        <v>9090</v>
      </c>
      <c r="D847" s="85">
        <v>164.61</v>
      </c>
      <c r="E847" s="86">
        <v>9080</v>
      </c>
      <c r="F847" s="85">
        <v>423.40300000000002</v>
      </c>
      <c r="G847" s="87">
        <v>9080</v>
      </c>
      <c r="H847" s="85">
        <v>423.41399999999999</v>
      </c>
      <c r="I847" s="87">
        <v>9080</v>
      </c>
      <c r="J847" s="85">
        <v>393.43799999999999</v>
      </c>
      <c r="K847" s="87">
        <v>9080</v>
      </c>
      <c r="L847" s="85">
        <v>392.613</v>
      </c>
      <c r="M847" s="87">
        <v>9080</v>
      </c>
      <c r="N847" s="85">
        <v>393.26400000000001</v>
      </c>
      <c r="O847" s="87">
        <v>9060</v>
      </c>
      <c r="P847" s="85">
        <v>394.31200000000001</v>
      </c>
      <c r="Q847" s="87">
        <v>9080</v>
      </c>
      <c r="R847" s="85">
        <v>393.983</v>
      </c>
      <c r="S847" s="87">
        <v>9080</v>
      </c>
      <c r="T847" s="85">
        <v>394.64800000000002</v>
      </c>
      <c r="U847" s="87">
        <v>9070</v>
      </c>
      <c r="V847" s="85">
        <v>394.43599999999998</v>
      </c>
      <c r="W847" s="87">
        <v>9080</v>
      </c>
      <c r="X847" s="85">
        <v>393.80099999999999</v>
      </c>
      <c r="Y847" s="87">
        <v>9080</v>
      </c>
      <c r="Z847" s="85">
        <v>392.19299999999998</v>
      </c>
      <c r="AA847" s="87">
        <v>9080</v>
      </c>
      <c r="AB847" s="85">
        <v>392.57900000000001</v>
      </c>
      <c r="AC847" s="87">
        <v>9070</v>
      </c>
      <c r="AD847" s="85">
        <v>318.70299999999997</v>
      </c>
      <c r="AE847" s="87">
        <v>9080</v>
      </c>
      <c r="AF847" s="85">
        <v>320.32600000000002</v>
      </c>
      <c r="AG847" s="87">
        <v>9060</v>
      </c>
      <c r="AH847" s="85">
        <v>72.736000000000004</v>
      </c>
      <c r="AI847" s="87">
        <v>9060</v>
      </c>
      <c r="AJ847" s="85">
        <v>77.349000000000004</v>
      </c>
    </row>
    <row r="848" spans="1:36" ht="14.25" customHeight="1">
      <c r="A848" s="88">
        <v>9090</v>
      </c>
      <c r="B848" s="84">
        <v>165.53200000000001</v>
      </c>
      <c r="C848" s="88">
        <v>9100</v>
      </c>
      <c r="D848" s="85">
        <v>163.911</v>
      </c>
      <c r="E848" s="86">
        <v>9090</v>
      </c>
      <c r="F848" s="85">
        <v>421.95299999999997</v>
      </c>
      <c r="G848" s="87">
        <v>9090</v>
      </c>
      <c r="H848" s="85">
        <v>421.96300000000002</v>
      </c>
      <c r="I848" s="87">
        <v>9090</v>
      </c>
      <c r="J848" s="85">
        <v>392.22699999999998</v>
      </c>
      <c r="K848" s="87">
        <v>9090</v>
      </c>
      <c r="L848" s="85">
        <v>391.4</v>
      </c>
      <c r="M848" s="87">
        <v>9090</v>
      </c>
      <c r="N848" s="85">
        <v>392.05200000000002</v>
      </c>
      <c r="O848" s="87">
        <v>9070</v>
      </c>
      <c r="P848" s="85">
        <v>393.1</v>
      </c>
      <c r="Q848" s="87">
        <v>9090</v>
      </c>
      <c r="R848" s="85">
        <v>392.77199999999999</v>
      </c>
      <c r="S848" s="87">
        <v>9090</v>
      </c>
      <c r="T848" s="85">
        <v>393.43599999999998</v>
      </c>
      <c r="U848" s="87">
        <v>9080</v>
      </c>
      <c r="V848" s="85">
        <v>393.226</v>
      </c>
      <c r="W848" s="87">
        <v>9090</v>
      </c>
      <c r="X848" s="85">
        <v>392.59</v>
      </c>
      <c r="Y848" s="87">
        <v>9090</v>
      </c>
      <c r="Z848" s="85">
        <v>390.98200000000003</v>
      </c>
      <c r="AA848" s="87">
        <v>9090</v>
      </c>
      <c r="AB848" s="85">
        <v>391.36900000000003</v>
      </c>
      <c r="AC848" s="87">
        <v>9080</v>
      </c>
      <c r="AD848" s="85">
        <v>317.54399999999998</v>
      </c>
      <c r="AE848" s="87">
        <v>9090</v>
      </c>
      <c r="AF848" s="85">
        <v>319.16800000000001</v>
      </c>
      <c r="AG848" s="87">
        <v>9070</v>
      </c>
      <c r="AH848" s="85">
        <v>72.438000000000002</v>
      </c>
      <c r="AI848" s="87">
        <v>9070</v>
      </c>
      <c r="AJ848" s="85">
        <v>77.036000000000001</v>
      </c>
    </row>
    <row r="849" spans="1:36" ht="14.25" customHeight="1">
      <c r="A849" s="88">
        <v>9100</v>
      </c>
      <c r="B849" s="84">
        <v>164.83</v>
      </c>
      <c r="C849" s="88">
        <v>9110</v>
      </c>
      <c r="D849" s="85">
        <v>163.21199999999999</v>
      </c>
      <c r="E849" s="86">
        <v>9100</v>
      </c>
      <c r="F849" s="85">
        <v>420.50299999999999</v>
      </c>
      <c r="G849" s="87">
        <v>9100</v>
      </c>
      <c r="H849" s="85">
        <v>420.512</v>
      </c>
      <c r="I849" s="87">
        <v>9100</v>
      </c>
      <c r="J849" s="85">
        <v>391.01499999999999</v>
      </c>
      <c r="K849" s="87">
        <v>9100</v>
      </c>
      <c r="L849" s="85">
        <v>390.18599999999998</v>
      </c>
      <c r="M849" s="87">
        <v>9100</v>
      </c>
      <c r="N849" s="85">
        <v>390.84</v>
      </c>
      <c r="O849" s="87">
        <v>9080</v>
      </c>
      <c r="P849" s="85">
        <v>391.88799999999998</v>
      </c>
      <c r="Q849" s="87">
        <v>9100</v>
      </c>
      <c r="R849" s="85">
        <v>391.56</v>
      </c>
      <c r="S849" s="87">
        <v>9100</v>
      </c>
      <c r="T849" s="85">
        <v>392.22399999999999</v>
      </c>
      <c r="U849" s="87">
        <v>9090</v>
      </c>
      <c r="V849" s="85">
        <v>392.01600000000002</v>
      </c>
      <c r="W849" s="87">
        <v>9100</v>
      </c>
      <c r="X849" s="85">
        <v>391.37900000000002</v>
      </c>
      <c r="Y849" s="87">
        <v>9100</v>
      </c>
      <c r="Z849" s="85">
        <v>389.77199999999999</v>
      </c>
      <c r="AA849" s="87">
        <v>9100</v>
      </c>
      <c r="AB849" s="85">
        <v>390.15899999999999</v>
      </c>
      <c r="AC849" s="87">
        <v>9090</v>
      </c>
      <c r="AD849" s="85">
        <v>316.38600000000002</v>
      </c>
      <c r="AE849" s="87">
        <v>9100</v>
      </c>
      <c r="AF849" s="85">
        <v>318.00900000000001</v>
      </c>
      <c r="AG849" s="87">
        <v>9080</v>
      </c>
      <c r="AH849" s="85">
        <v>72.14</v>
      </c>
      <c r="AI849" s="87">
        <v>9080</v>
      </c>
      <c r="AJ849" s="85">
        <v>76.724000000000004</v>
      </c>
    </row>
    <row r="850" spans="1:36" ht="14.25" customHeight="1">
      <c r="A850" s="88">
        <v>9110</v>
      </c>
      <c r="B850" s="84">
        <v>164.12899999999999</v>
      </c>
      <c r="C850" s="88">
        <v>9120</v>
      </c>
      <c r="D850" s="85">
        <v>162.51499999999999</v>
      </c>
      <c r="E850" s="86">
        <v>9110</v>
      </c>
      <c r="F850" s="85">
        <v>419.05399999999997</v>
      </c>
      <c r="G850" s="87">
        <v>9110</v>
      </c>
      <c r="H850" s="85">
        <v>419.06099999999998</v>
      </c>
      <c r="I850" s="87">
        <v>9110</v>
      </c>
      <c r="J850" s="85">
        <v>389.80399999999997</v>
      </c>
      <c r="K850" s="87">
        <v>9110</v>
      </c>
      <c r="L850" s="85">
        <v>388.97300000000001</v>
      </c>
      <c r="M850" s="87">
        <v>9110</v>
      </c>
      <c r="N850" s="85">
        <v>389.62799999999999</v>
      </c>
      <c r="O850" s="87">
        <v>9090</v>
      </c>
      <c r="P850" s="85">
        <v>390.67599999999999</v>
      </c>
      <c r="Q850" s="87">
        <v>9110</v>
      </c>
      <c r="R850" s="85">
        <v>390.34800000000001</v>
      </c>
      <c r="S850" s="87">
        <v>9110</v>
      </c>
      <c r="T850" s="85">
        <v>391.012</v>
      </c>
      <c r="U850" s="87">
        <v>9100</v>
      </c>
      <c r="V850" s="85">
        <v>390.80599999999998</v>
      </c>
      <c r="W850" s="87">
        <v>9110</v>
      </c>
      <c r="X850" s="85">
        <v>390.16800000000001</v>
      </c>
      <c r="Y850" s="87">
        <v>9110</v>
      </c>
      <c r="Z850" s="85">
        <v>388.56099999999998</v>
      </c>
      <c r="AA850" s="87">
        <v>9110</v>
      </c>
      <c r="AB850" s="85">
        <v>388.94900000000001</v>
      </c>
      <c r="AC850" s="87">
        <v>9100</v>
      </c>
      <c r="AD850" s="85">
        <v>315.22899999999998</v>
      </c>
      <c r="AE850" s="87">
        <v>9110</v>
      </c>
      <c r="AF850" s="85">
        <v>316.85199999999998</v>
      </c>
      <c r="AG850" s="87">
        <v>9090</v>
      </c>
      <c r="AH850" s="85">
        <v>71.841999999999999</v>
      </c>
      <c r="AI850" s="87">
        <v>9090</v>
      </c>
      <c r="AJ850" s="85">
        <v>76.412000000000006</v>
      </c>
    </row>
    <row r="851" spans="1:36" ht="14.25" customHeight="1">
      <c r="A851" s="88">
        <v>9120</v>
      </c>
      <c r="B851" s="84">
        <v>163.429</v>
      </c>
      <c r="C851" s="88">
        <v>9130</v>
      </c>
      <c r="D851" s="85">
        <v>161.81700000000001</v>
      </c>
      <c r="E851" s="86">
        <v>9120</v>
      </c>
      <c r="F851" s="85">
        <v>417.60399999999998</v>
      </c>
      <c r="G851" s="87">
        <v>9120</v>
      </c>
      <c r="H851" s="85">
        <v>417.61099999999999</v>
      </c>
      <c r="I851" s="87">
        <v>9120</v>
      </c>
      <c r="J851" s="85">
        <v>388.59199999999998</v>
      </c>
      <c r="K851" s="87">
        <v>9120</v>
      </c>
      <c r="L851" s="85">
        <v>387.76</v>
      </c>
      <c r="M851" s="87">
        <v>9120</v>
      </c>
      <c r="N851" s="85">
        <v>388.416</v>
      </c>
      <c r="O851" s="87">
        <v>9100</v>
      </c>
      <c r="P851" s="85">
        <v>389.464</v>
      </c>
      <c r="Q851" s="87">
        <v>9120</v>
      </c>
      <c r="R851" s="85">
        <v>389.13600000000002</v>
      </c>
      <c r="S851" s="87">
        <v>9120</v>
      </c>
      <c r="T851" s="85">
        <v>389.8</v>
      </c>
      <c r="U851" s="87">
        <v>9110</v>
      </c>
      <c r="V851" s="85">
        <v>389.59500000000003</v>
      </c>
      <c r="W851" s="87">
        <v>9120</v>
      </c>
      <c r="X851" s="85">
        <v>388.95699999999999</v>
      </c>
      <c r="Y851" s="87">
        <v>9120</v>
      </c>
      <c r="Z851" s="85">
        <v>387.35</v>
      </c>
      <c r="AA851" s="87">
        <v>9120</v>
      </c>
      <c r="AB851" s="85">
        <v>387.73899999999998</v>
      </c>
      <c r="AC851" s="87">
        <v>9110</v>
      </c>
      <c r="AD851" s="85">
        <v>314.07299999999998</v>
      </c>
      <c r="AE851" s="87">
        <v>9120</v>
      </c>
      <c r="AF851" s="85">
        <v>315.69499999999999</v>
      </c>
      <c r="AG851" s="87">
        <v>9100</v>
      </c>
      <c r="AH851" s="85">
        <v>71.545000000000002</v>
      </c>
      <c r="AI851" s="87">
        <v>9100</v>
      </c>
      <c r="AJ851" s="85">
        <v>76.099999999999994</v>
      </c>
    </row>
    <row r="852" spans="1:36" ht="14.25" customHeight="1">
      <c r="A852" s="88">
        <v>9130</v>
      </c>
      <c r="B852" s="84">
        <v>162.72900000000001</v>
      </c>
      <c r="C852" s="88">
        <v>9140</v>
      </c>
      <c r="D852" s="85">
        <v>161.12100000000001</v>
      </c>
      <c r="E852" s="86">
        <v>9130</v>
      </c>
      <c r="F852" s="85">
        <v>416.15499999999997</v>
      </c>
      <c r="G852" s="87">
        <v>9130</v>
      </c>
      <c r="H852" s="85">
        <v>416.16</v>
      </c>
      <c r="I852" s="87">
        <v>9130</v>
      </c>
      <c r="J852" s="85">
        <v>387.38099999999997</v>
      </c>
      <c r="K852" s="87">
        <v>9130</v>
      </c>
      <c r="L852" s="85">
        <v>386.54599999999999</v>
      </c>
      <c r="M852" s="87">
        <v>9130</v>
      </c>
      <c r="N852" s="85">
        <v>387.20499999999998</v>
      </c>
      <c r="O852" s="87">
        <v>9110</v>
      </c>
      <c r="P852" s="85">
        <v>388.25200000000001</v>
      </c>
      <c r="Q852" s="87">
        <v>9130</v>
      </c>
      <c r="R852" s="85">
        <v>387.92399999999998</v>
      </c>
      <c r="S852" s="87">
        <v>9130</v>
      </c>
      <c r="T852" s="85">
        <v>388.58800000000002</v>
      </c>
      <c r="U852" s="87">
        <v>9120</v>
      </c>
      <c r="V852" s="85">
        <v>388.38499999999999</v>
      </c>
      <c r="W852" s="87">
        <v>9130</v>
      </c>
      <c r="X852" s="85">
        <v>387.74599999999998</v>
      </c>
      <c r="Y852" s="87">
        <v>9130</v>
      </c>
      <c r="Z852" s="85">
        <v>386.13900000000001</v>
      </c>
      <c r="AA852" s="87">
        <v>9130</v>
      </c>
      <c r="AB852" s="85">
        <v>386.529</v>
      </c>
      <c r="AC852" s="87">
        <v>9120</v>
      </c>
      <c r="AD852" s="85">
        <v>312.91699999999997</v>
      </c>
      <c r="AE852" s="87">
        <v>9130</v>
      </c>
      <c r="AF852" s="85">
        <v>314.53899999999999</v>
      </c>
      <c r="AG852" s="87">
        <v>9110</v>
      </c>
      <c r="AH852" s="85">
        <v>71.248999999999995</v>
      </c>
      <c r="AI852" s="87">
        <v>9110</v>
      </c>
      <c r="AJ852" s="85">
        <v>75.789000000000001</v>
      </c>
    </row>
    <row r="853" spans="1:36" ht="14.25" customHeight="1">
      <c r="A853" s="88">
        <v>9140</v>
      </c>
      <c r="B853" s="84">
        <v>162.029</v>
      </c>
      <c r="C853" s="88">
        <v>9150</v>
      </c>
      <c r="D853" s="85">
        <v>160.42500000000001</v>
      </c>
      <c r="E853" s="86">
        <v>9140</v>
      </c>
      <c r="F853" s="85">
        <v>414.70499999999998</v>
      </c>
      <c r="G853" s="87">
        <v>9140</v>
      </c>
      <c r="H853" s="85">
        <v>414.709</v>
      </c>
      <c r="I853" s="87">
        <v>9140</v>
      </c>
      <c r="J853" s="85">
        <v>386.16899999999998</v>
      </c>
      <c r="K853" s="87">
        <v>9140</v>
      </c>
      <c r="L853" s="85">
        <v>385.33300000000003</v>
      </c>
      <c r="M853" s="87">
        <v>9140</v>
      </c>
      <c r="N853" s="85">
        <v>385.99299999999999</v>
      </c>
      <c r="O853" s="87">
        <v>9120</v>
      </c>
      <c r="P853" s="85">
        <v>387.04</v>
      </c>
      <c r="Q853" s="87">
        <v>9140</v>
      </c>
      <c r="R853" s="85">
        <v>386.71300000000002</v>
      </c>
      <c r="S853" s="87">
        <v>9140</v>
      </c>
      <c r="T853" s="85">
        <v>387.37599999999998</v>
      </c>
      <c r="U853" s="87">
        <v>9130</v>
      </c>
      <c r="V853" s="85">
        <v>387.17500000000001</v>
      </c>
      <c r="W853" s="87">
        <v>9140</v>
      </c>
      <c r="X853" s="85">
        <v>386.53500000000003</v>
      </c>
      <c r="Y853" s="87">
        <v>9140</v>
      </c>
      <c r="Z853" s="85">
        <v>384.928</v>
      </c>
      <c r="AA853" s="87">
        <v>9140</v>
      </c>
      <c r="AB853" s="85">
        <v>385.31900000000002</v>
      </c>
      <c r="AC853" s="87">
        <v>9130</v>
      </c>
      <c r="AD853" s="85">
        <v>311.762</v>
      </c>
      <c r="AE853" s="87">
        <v>9140</v>
      </c>
      <c r="AF853" s="85">
        <v>313.38400000000001</v>
      </c>
      <c r="AG853" s="87">
        <v>9120</v>
      </c>
      <c r="AH853" s="85">
        <v>70.951999999999998</v>
      </c>
      <c r="AI853" s="87">
        <v>9120</v>
      </c>
      <c r="AJ853" s="85">
        <v>75.477999999999994</v>
      </c>
    </row>
    <row r="854" spans="1:36" ht="14.25" customHeight="1">
      <c r="A854" s="88">
        <v>9150</v>
      </c>
      <c r="B854" s="84">
        <v>161.33099999999999</v>
      </c>
      <c r="C854" s="88">
        <v>9160</v>
      </c>
      <c r="D854" s="85">
        <v>159.72900000000001</v>
      </c>
      <c r="E854" s="86">
        <v>9150</v>
      </c>
      <c r="F854" s="85">
        <v>413.25599999999997</v>
      </c>
      <c r="G854" s="87">
        <v>9150</v>
      </c>
      <c r="H854" s="85">
        <v>413.25900000000001</v>
      </c>
      <c r="I854" s="87">
        <v>9150</v>
      </c>
      <c r="J854" s="85">
        <v>384.95800000000003</v>
      </c>
      <c r="K854" s="87">
        <v>9150</v>
      </c>
      <c r="L854" s="85">
        <v>384.12</v>
      </c>
      <c r="M854" s="87">
        <v>9150</v>
      </c>
      <c r="N854" s="85">
        <v>384.78100000000001</v>
      </c>
      <c r="O854" s="87">
        <v>9130</v>
      </c>
      <c r="P854" s="85">
        <v>385.82799999999997</v>
      </c>
      <c r="Q854" s="87">
        <v>9150</v>
      </c>
      <c r="R854" s="85">
        <v>385.50099999999998</v>
      </c>
      <c r="S854" s="87">
        <v>9150</v>
      </c>
      <c r="T854" s="85">
        <v>386.16399999999999</v>
      </c>
      <c r="U854" s="87">
        <v>9140</v>
      </c>
      <c r="V854" s="85">
        <v>385.964</v>
      </c>
      <c r="W854" s="87">
        <v>9150</v>
      </c>
      <c r="X854" s="85">
        <v>385.32299999999998</v>
      </c>
      <c r="Y854" s="87">
        <v>9150</v>
      </c>
      <c r="Z854" s="85">
        <v>383.71800000000002</v>
      </c>
      <c r="AA854" s="87">
        <v>9150</v>
      </c>
      <c r="AB854" s="85">
        <v>384.10899999999998</v>
      </c>
      <c r="AC854" s="87">
        <v>9140</v>
      </c>
      <c r="AD854" s="85">
        <v>310.608</v>
      </c>
      <c r="AE854" s="87">
        <v>9150</v>
      </c>
      <c r="AF854" s="85">
        <v>312.23</v>
      </c>
      <c r="AG854" s="87">
        <v>9130</v>
      </c>
      <c r="AH854" s="85">
        <v>70.656000000000006</v>
      </c>
      <c r="AI854" s="87">
        <v>9130</v>
      </c>
      <c r="AJ854" s="85">
        <v>75.168000000000006</v>
      </c>
    </row>
    <row r="855" spans="1:36" ht="14.25" customHeight="1">
      <c r="A855" s="88">
        <v>9160</v>
      </c>
      <c r="B855" s="84">
        <v>160.63300000000001</v>
      </c>
      <c r="C855" s="88">
        <v>9170</v>
      </c>
      <c r="D855" s="85">
        <v>159.035</v>
      </c>
      <c r="E855" s="86">
        <v>9160</v>
      </c>
      <c r="F855" s="85">
        <v>411.80700000000002</v>
      </c>
      <c r="G855" s="87">
        <v>9160</v>
      </c>
      <c r="H855" s="85">
        <v>411.80900000000003</v>
      </c>
      <c r="I855" s="87">
        <v>9160</v>
      </c>
      <c r="J855" s="85">
        <v>383.74599999999998</v>
      </c>
      <c r="K855" s="87">
        <v>9160</v>
      </c>
      <c r="L855" s="85">
        <v>382.90600000000001</v>
      </c>
      <c r="M855" s="87">
        <v>9160</v>
      </c>
      <c r="N855" s="85">
        <v>383.56900000000002</v>
      </c>
      <c r="O855" s="87">
        <v>9140</v>
      </c>
      <c r="P855" s="85">
        <v>384.61599999999999</v>
      </c>
      <c r="Q855" s="87">
        <v>9160</v>
      </c>
      <c r="R855" s="85">
        <v>384.28899999999999</v>
      </c>
      <c r="S855" s="87">
        <v>9160</v>
      </c>
      <c r="T855" s="85">
        <v>384.952</v>
      </c>
      <c r="U855" s="87">
        <v>9150</v>
      </c>
      <c r="V855" s="85">
        <v>384.75400000000002</v>
      </c>
      <c r="W855" s="87">
        <v>9160</v>
      </c>
      <c r="X855" s="85">
        <v>384.11200000000002</v>
      </c>
      <c r="Y855" s="87">
        <v>9160</v>
      </c>
      <c r="Z855" s="85">
        <v>382.50700000000001</v>
      </c>
      <c r="AA855" s="87">
        <v>9160</v>
      </c>
      <c r="AB855" s="85">
        <v>382.899</v>
      </c>
      <c r="AC855" s="87">
        <v>9150</v>
      </c>
      <c r="AD855" s="85">
        <v>309.45400000000001</v>
      </c>
      <c r="AE855" s="87">
        <v>9160</v>
      </c>
      <c r="AF855" s="85">
        <v>311.07600000000002</v>
      </c>
      <c r="AG855" s="87">
        <v>9140</v>
      </c>
      <c r="AH855" s="85">
        <v>70.361000000000004</v>
      </c>
      <c r="AI855" s="87">
        <v>9140</v>
      </c>
      <c r="AJ855" s="85">
        <v>74.858000000000004</v>
      </c>
    </row>
    <row r="856" spans="1:36" ht="14.25" customHeight="1">
      <c r="A856" s="88">
        <v>9170</v>
      </c>
      <c r="B856" s="84">
        <v>159.935</v>
      </c>
      <c r="C856" s="88">
        <v>9180</v>
      </c>
      <c r="D856" s="85">
        <v>158.34100000000001</v>
      </c>
      <c r="E856" s="86">
        <v>9170</v>
      </c>
      <c r="F856" s="85">
        <v>410.358</v>
      </c>
      <c r="G856" s="87">
        <v>9170</v>
      </c>
      <c r="H856" s="85">
        <v>410.358</v>
      </c>
      <c r="I856" s="87">
        <v>9170</v>
      </c>
      <c r="J856" s="85">
        <v>382.53399999999999</v>
      </c>
      <c r="K856" s="87">
        <v>9170</v>
      </c>
      <c r="L856" s="85">
        <v>381.69299999999998</v>
      </c>
      <c r="M856" s="87">
        <v>9170</v>
      </c>
      <c r="N856" s="85">
        <v>382.358</v>
      </c>
      <c r="O856" s="87">
        <v>9150</v>
      </c>
      <c r="P856" s="85">
        <v>383.404</v>
      </c>
      <c r="Q856" s="87">
        <v>9170</v>
      </c>
      <c r="R856" s="85">
        <v>383.077</v>
      </c>
      <c r="S856" s="87">
        <v>9170</v>
      </c>
      <c r="T856" s="85">
        <v>383.74</v>
      </c>
      <c r="U856" s="87">
        <v>9160</v>
      </c>
      <c r="V856" s="85">
        <v>383.54399999999998</v>
      </c>
      <c r="W856" s="87">
        <v>9170</v>
      </c>
      <c r="X856" s="85">
        <v>382.90100000000001</v>
      </c>
      <c r="Y856" s="87">
        <v>9170</v>
      </c>
      <c r="Z856" s="85">
        <v>381.29599999999999</v>
      </c>
      <c r="AA856" s="87">
        <v>9170</v>
      </c>
      <c r="AB856" s="85">
        <v>381.68900000000002</v>
      </c>
      <c r="AC856" s="87">
        <v>9160</v>
      </c>
      <c r="AD856" s="85">
        <v>308.30200000000002</v>
      </c>
      <c r="AE856" s="87">
        <v>9170</v>
      </c>
      <c r="AF856" s="85">
        <v>309.923</v>
      </c>
      <c r="AG856" s="87">
        <v>9150</v>
      </c>
      <c r="AH856" s="85">
        <v>70.064999999999998</v>
      </c>
      <c r="AI856" s="87">
        <v>9150</v>
      </c>
      <c r="AJ856" s="85">
        <v>74.548000000000002</v>
      </c>
    </row>
    <row r="857" spans="1:36" ht="14.25" customHeight="1">
      <c r="A857" s="88">
        <v>9180</v>
      </c>
      <c r="B857" s="84">
        <v>159.239</v>
      </c>
      <c r="C857" s="88">
        <v>9190</v>
      </c>
      <c r="D857" s="85">
        <v>157.648</v>
      </c>
      <c r="E857" s="86">
        <v>9180</v>
      </c>
      <c r="F857" s="85">
        <v>408.90899999999999</v>
      </c>
      <c r="G857" s="87">
        <v>9180</v>
      </c>
      <c r="H857" s="85">
        <v>408.90800000000002</v>
      </c>
      <c r="I857" s="87">
        <v>9180</v>
      </c>
      <c r="J857" s="85">
        <v>381.32299999999998</v>
      </c>
      <c r="K857" s="87">
        <v>9180</v>
      </c>
      <c r="L857" s="85">
        <v>380.48</v>
      </c>
      <c r="M857" s="87">
        <v>9180</v>
      </c>
      <c r="N857" s="85">
        <v>381.14600000000002</v>
      </c>
      <c r="O857" s="87">
        <v>9160</v>
      </c>
      <c r="P857" s="85">
        <v>382.19200000000001</v>
      </c>
      <c r="Q857" s="87">
        <v>9180</v>
      </c>
      <c r="R857" s="85">
        <v>381.86599999999999</v>
      </c>
      <c r="S857" s="87">
        <v>9180</v>
      </c>
      <c r="T857" s="85">
        <v>382.52800000000002</v>
      </c>
      <c r="U857" s="87">
        <v>9170</v>
      </c>
      <c r="V857" s="85">
        <v>382.33300000000003</v>
      </c>
      <c r="W857" s="87">
        <v>9180</v>
      </c>
      <c r="X857" s="85">
        <v>381.69</v>
      </c>
      <c r="Y857" s="87">
        <v>9180</v>
      </c>
      <c r="Z857" s="85">
        <v>380.08499999999998</v>
      </c>
      <c r="AA857" s="87">
        <v>9180</v>
      </c>
      <c r="AB857" s="85">
        <v>380.47899999999998</v>
      </c>
      <c r="AC857" s="87">
        <v>9170</v>
      </c>
      <c r="AD857" s="85">
        <v>307.14999999999998</v>
      </c>
      <c r="AE857" s="87">
        <v>9180</v>
      </c>
      <c r="AF857" s="85">
        <v>308.77100000000002</v>
      </c>
      <c r="AG857" s="87">
        <v>9160</v>
      </c>
      <c r="AH857" s="85">
        <v>69.771000000000001</v>
      </c>
      <c r="AI857" s="87">
        <v>9160</v>
      </c>
      <c r="AJ857" s="85">
        <v>74.239000000000004</v>
      </c>
    </row>
    <row r="858" spans="1:36" ht="14.25" customHeight="1">
      <c r="A858" s="88">
        <v>9190</v>
      </c>
      <c r="B858" s="84">
        <v>158.54300000000001</v>
      </c>
      <c r="C858" s="88">
        <v>9200</v>
      </c>
      <c r="D858" s="85">
        <v>156.95599999999999</v>
      </c>
      <c r="E858" s="86">
        <v>9190</v>
      </c>
      <c r="F858" s="85">
        <v>407.46</v>
      </c>
      <c r="G858" s="87">
        <v>9190</v>
      </c>
      <c r="H858" s="85">
        <v>407.45800000000003</v>
      </c>
      <c r="I858" s="87">
        <v>9190</v>
      </c>
      <c r="J858" s="85">
        <v>380.11099999999999</v>
      </c>
      <c r="K858" s="87">
        <v>9190</v>
      </c>
      <c r="L858" s="85">
        <v>379.26600000000002</v>
      </c>
      <c r="M858" s="87">
        <v>9190</v>
      </c>
      <c r="N858" s="85">
        <v>379.93400000000003</v>
      </c>
      <c r="O858" s="87">
        <v>9170</v>
      </c>
      <c r="P858" s="85">
        <v>380.98</v>
      </c>
      <c r="Q858" s="87">
        <v>9190</v>
      </c>
      <c r="R858" s="85">
        <v>380.654</v>
      </c>
      <c r="S858" s="87">
        <v>9190</v>
      </c>
      <c r="T858" s="85">
        <v>381.31599999999997</v>
      </c>
      <c r="U858" s="87">
        <v>9180</v>
      </c>
      <c r="V858" s="85">
        <v>381.12299999999999</v>
      </c>
      <c r="W858" s="87">
        <v>9190</v>
      </c>
      <c r="X858" s="85">
        <v>380.47899999999998</v>
      </c>
      <c r="Y858" s="87">
        <v>9190</v>
      </c>
      <c r="Z858" s="85">
        <v>378.87400000000002</v>
      </c>
      <c r="AA858" s="87">
        <v>9190</v>
      </c>
      <c r="AB858" s="85">
        <v>379.26900000000001</v>
      </c>
      <c r="AC858" s="87">
        <v>9180</v>
      </c>
      <c r="AD858" s="85">
        <v>305.99900000000002</v>
      </c>
      <c r="AE858" s="87">
        <v>9190</v>
      </c>
      <c r="AF858" s="85">
        <v>307.62</v>
      </c>
      <c r="AG858" s="87">
        <v>9170</v>
      </c>
      <c r="AH858" s="85">
        <v>69.475999999999999</v>
      </c>
      <c r="AI858" s="87">
        <v>9170</v>
      </c>
      <c r="AJ858" s="85">
        <v>73.930000000000007</v>
      </c>
    </row>
    <row r="859" spans="1:36" ht="14.25" customHeight="1">
      <c r="A859" s="88">
        <v>9200</v>
      </c>
      <c r="B859" s="84">
        <v>157.84800000000001</v>
      </c>
      <c r="C859" s="88">
        <v>9210</v>
      </c>
      <c r="D859" s="85">
        <v>156.26599999999999</v>
      </c>
      <c r="E859" s="86">
        <v>9200</v>
      </c>
      <c r="F859" s="85">
        <v>406.01100000000002</v>
      </c>
      <c r="G859" s="87">
        <v>9200</v>
      </c>
      <c r="H859" s="85">
        <v>406.00799999999998</v>
      </c>
      <c r="I859" s="87">
        <v>9200</v>
      </c>
      <c r="J859" s="85">
        <v>378.9</v>
      </c>
      <c r="K859" s="87">
        <v>9200</v>
      </c>
      <c r="L859" s="85">
        <v>378.053</v>
      </c>
      <c r="M859" s="87">
        <v>9200</v>
      </c>
      <c r="N859" s="85">
        <v>378.72199999999998</v>
      </c>
      <c r="O859" s="87">
        <v>9180</v>
      </c>
      <c r="P859" s="85">
        <v>379.76799999999997</v>
      </c>
      <c r="Q859" s="87">
        <v>9200</v>
      </c>
      <c r="R859" s="85">
        <v>379.44200000000001</v>
      </c>
      <c r="S859" s="87">
        <v>9200</v>
      </c>
      <c r="T859" s="85">
        <v>380.10399999999998</v>
      </c>
      <c r="U859" s="87">
        <v>9190</v>
      </c>
      <c r="V859" s="85">
        <v>379.91300000000001</v>
      </c>
      <c r="W859" s="87">
        <v>9200</v>
      </c>
      <c r="X859" s="85">
        <v>379.26799999999997</v>
      </c>
      <c r="Y859" s="87">
        <v>9200</v>
      </c>
      <c r="Z859" s="85">
        <v>377.66399999999999</v>
      </c>
      <c r="AA859" s="87">
        <v>9200</v>
      </c>
      <c r="AB859" s="85">
        <v>378.05900000000003</v>
      </c>
      <c r="AC859" s="87">
        <v>9190</v>
      </c>
      <c r="AD859" s="85">
        <v>304.84899999999999</v>
      </c>
      <c r="AE859" s="87">
        <v>9200</v>
      </c>
      <c r="AF859" s="85">
        <v>306.46899999999999</v>
      </c>
      <c r="AG859" s="87">
        <v>9180</v>
      </c>
      <c r="AH859" s="85">
        <v>69.182000000000002</v>
      </c>
      <c r="AI859" s="87">
        <v>9180</v>
      </c>
      <c r="AJ859" s="85">
        <v>73.622</v>
      </c>
    </row>
    <row r="860" spans="1:36" ht="14.25" customHeight="1">
      <c r="A860" s="88">
        <v>9210</v>
      </c>
      <c r="B860" s="84">
        <v>157.154</v>
      </c>
      <c r="C860" s="88">
        <v>9220</v>
      </c>
      <c r="D860" s="85">
        <v>155.57599999999999</v>
      </c>
      <c r="E860" s="86">
        <v>9210</v>
      </c>
      <c r="F860" s="85">
        <v>404.56200000000001</v>
      </c>
      <c r="G860" s="87">
        <v>9210</v>
      </c>
      <c r="H860" s="85">
        <v>404.55799999999999</v>
      </c>
      <c r="I860" s="87">
        <v>9210</v>
      </c>
      <c r="J860" s="85">
        <v>377.68799999999999</v>
      </c>
      <c r="K860" s="87">
        <v>9210</v>
      </c>
      <c r="L860" s="85">
        <v>376.84</v>
      </c>
      <c r="M860" s="87">
        <v>9210</v>
      </c>
      <c r="N860" s="85">
        <v>377.51100000000002</v>
      </c>
      <c r="O860" s="87">
        <v>9190</v>
      </c>
      <c r="P860" s="85">
        <v>378.55599999999998</v>
      </c>
      <c r="Q860" s="87">
        <v>9210</v>
      </c>
      <c r="R860" s="85">
        <v>378.23</v>
      </c>
      <c r="S860" s="87">
        <v>9210</v>
      </c>
      <c r="T860" s="85">
        <v>378.892</v>
      </c>
      <c r="U860" s="87">
        <v>9200</v>
      </c>
      <c r="V860" s="85">
        <v>378.702</v>
      </c>
      <c r="W860" s="87">
        <v>9210</v>
      </c>
      <c r="X860" s="85">
        <v>378.05700000000002</v>
      </c>
      <c r="Y860" s="87">
        <v>9210</v>
      </c>
      <c r="Z860" s="85">
        <v>376.45299999999997</v>
      </c>
      <c r="AA860" s="87">
        <v>9210</v>
      </c>
      <c r="AB860" s="85">
        <v>376.84899999999999</v>
      </c>
      <c r="AC860" s="87">
        <v>9200</v>
      </c>
      <c r="AD860" s="85">
        <v>303.69900000000001</v>
      </c>
      <c r="AE860" s="87">
        <v>9210</v>
      </c>
      <c r="AF860" s="85">
        <v>305.31900000000002</v>
      </c>
      <c r="AG860" s="87">
        <v>9190</v>
      </c>
      <c r="AH860" s="85">
        <v>68.888999999999996</v>
      </c>
      <c r="AI860" s="87">
        <v>9190</v>
      </c>
      <c r="AJ860" s="85">
        <v>73.313999999999993</v>
      </c>
    </row>
    <row r="861" spans="1:36" ht="14.25" customHeight="1">
      <c r="A861" s="88">
        <v>9220</v>
      </c>
      <c r="B861" s="84">
        <v>156.46100000000001</v>
      </c>
      <c r="C861" s="88">
        <v>9230</v>
      </c>
      <c r="D861" s="85">
        <v>154.887</v>
      </c>
      <c r="E861" s="86">
        <v>9220</v>
      </c>
      <c r="F861" s="85">
        <v>403.11399999999998</v>
      </c>
      <c r="G861" s="87">
        <v>9220</v>
      </c>
      <c r="H861" s="85">
        <v>403.10899999999998</v>
      </c>
      <c r="I861" s="87">
        <v>9220</v>
      </c>
      <c r="J861" s="85">
        <v>376.47699999999998</v>
      </c>
      <c r="K861" s="87">
        <v>9220</v>
      </c>
      <c r="L861" s="85">
        <v>375.62599999999998</v>
      </c>
      <c r="M861" s="87">
        <v>9220</v>
      </c>
      <c r="N861" s="85">
        <v>376.29899999999998</v>
      </c>
      <c r="O861" s="87">
        <v>9200</v>
      </c>
      <c r="P861" s="85">
        <v>377.34399999999999</v>
      </c>
      <c r="Q861" s="87">
        <v>9220</v>
      </c>
      <c r="R861" s="85">
        <v>377.01900000000001</v>
      </c>
      <c r="S861" s="87">
        <v>9220</v>
      </c>
      <c r="T861" s="85">
        <v>377.68</v>
      </c>
      <c r="U861" s="87">
        <v>9210</v>
      </c>
      <c r="V861" s="85">
        <v>377.49200000000002</v>
      </c>
      <c r="W861" s="87">
        <v>9220</v>
      </c>
      <c r="X861" s="85">
        <v>376.846</v>
      </c>
      <c r="Y861" s="87">
        <v>9220</v>
      </c>
      <c r="Z861" s="85">
        <v>375.24200000000002</v>
      </c>
      <c r="AA861" s="87">
        <v>9220</v>
      </c>
      <c r="AB861" s="85">
        <v>375.63900000000001</v>
      </c>
      <c r="AC861" s="87">
        <v>9210</v>
      </c>
      <c r="AD861" s="85">
        <v>302.55</v>
      </c>
      <c r="AE861" s="87">
        <v>9220</v>
      </c>
      <c r="AF861" s="85">
        <v>304.17</v>
      </c>
      <c r="AG861" s="87">
        <v>9200</v>
      </c>
      <c r="AH861" s="85">
        <v>68.596000000000004</v>
      </c>
      <c r="AI861" s="87">
        <v>9200</v>
      </c>
      <c r="AJ861" s="85">
        <v>73.006</v>
      </c>
    </row>
    <row r="862" spans="1:36" ht="14.25" customHeight="1">
      <c r="A862" s="88">
        <v>9230</v>
      </c>
      <c r="B862" s="84">
        <v>155.768</v>
      </c>
      <c r="C862" s="88">
        <v>9240</v>
      </c>
      <c r="D862" s="85">
        <v>154.19900000000001</v>
      </c>
      <c r="E862" s="86">
        <v>9230</v>
      </c>
      <c r="F862" s="85">
        <v>401.66500000000002</v>
      </c>
      <c r="G862" s="87">
        <v>9230</v>
      </c>
      <c r="H862" s="85">
        <v>401.65899999999999</v>
      </c>
      <c r="I862" s="87">
        <v>9230</v>
      </c>
      <c r="J862" s="85">
        <v>375.26499999999999</v>
      </c>
      <c r="K862" s="87">
        <v>9230</v>
      </c>
      <c r="L862" s="85">
        <v>374.41300000000001</v>
      </c>
      <c r="M862" s="87">
        <v>9230</v>
      </c>
      <c r="N862" s="85">
        <v>375.08699999999999</v>
      </c>
      <c r="O862" s="87">
        <v>9210</v>
      </c>
      <c r="P862" s="85">
        <v>376.13200000000001</v>
      </c>
      <c r="Q862" s="87">
        <v>9230</v>
      </c>
      <c r="R862" s="85">
        <v>375.80700000000002</v>
      </c>
      <c r="S862" s="87">
        <v>9230</v>
      </c>
      <c r="T862" s="85">
        <v>376.46800000000002</v>
      </c>
      <c r="U862" s="87">
        <v>9220</v>
      </c>
      <c r="V862" s="85">
        <v>376.28199999999998</v>
      </c>
      <c r="W862" s="87">
        <v>9230</v>
      </c>
      <c r="X862" s="85">
        <v>375.63499999999999</v>
      </c>
      <c r="Y862" s="87">
        <v>9230</v>
      </c>
      <c r="Z862" s="85">
        <v>374.03100000000001</v>
      </c>
      <c r="AA862" s="87">
        <v>9230</v>
      </c>
      <c r="AB862" s="85">
        <v>374.42899999999997</v>
      </c>
      <c r="AC862" s="87">
        <v>9220</v>
      </c>
      <c r="AD862" s="85">
        <v>301.40199999999999</v>
      </c>
      <c r="AE862" s="87">
        <v>9230</v>
      </c>
      <c r="AF862" s="85">
        <v>303.02199999999999</v>
      </c>
      <c r="AG862" s="87">
        <v>9210</v>
      </c>
      <c r="AH862" s="85">
        <v>68.302999999999997</v>
      </c>
      <c r="AI862" s="87">
        <v>9210</v>
      </c>
      <c r="AJ862" s="85">
        <v>72.698999999999998</v>
      </c>
    </row>
    <row r="863" spans="1:36" ht="14.25" customHeight="1">
      <c r="A863" s="88">
        <v>9240</v>
      </c>
      <c r="B863" s="84">
        <v>155.077</v>
      </c>
      <c r="C863" s="88">
        <v>9250</v>
      </c>
      <c r="D863" s="85">
        <v>153.51300000000001</v>
      </c>
      <c r="E863" s="86">
        <v>9240</v>
      </c>
      <c r="F863" s="85">
        <v>400.21699999999998</v>
      </c>
      <c r="G863" s="87">
        <v>9240</v>
      </c>
      <c r="H863" s="85">
        <v>400.209</v>
      </c>
      <c r="I863" s="87">
        <v>9240</v>
      </c>
      <c r="J863" s="85">
        <v>374.05399999999997</v>
      </c>
      <c r="K863" s="87">
        <v>9240</v>
      </c>
      <c r="L863" s="85">
        <v>373.19900000000001</v>
      </c>
      <c r="M863" s="87">
        <v>9240</v>
      </c>
      <c r="N863" s="85">
        <v>373.875</v>
      </c>
      <c r="O863" s="87">
        <v>9220</v>
      </c>
      <c r="P863" s="85">
        <v>374.92</v>
      </c>
      <c r="Q863" s="87">
        <v>9240</v>
      </c>
      <c r="R863" s="85">
        <v>374.59500000000003</v>
      </c>
      <c r="S863" s="87">
        <v>9240</v>
      </c>
      <c r="T863" s="85">
        <v>375.25599999999997</v>
      </c>
      <c r="U863" s="87">
        <v>9230</v>
      </c>
      <c r="V863" s="85">
        <v>375.07100000000003</v>
      </c>
      <c r="W863" s="87">
        <v>9240</v>
      </c>
      <c r="X863" s="85">
        <v>374.42399999999998</v>
      </c>
      <c r="Y863" s="87">
        <v>9240</v>
      </c>
      <c r="Z863" s="85">
        <v>372.82</v>
      </c>
      <c r="AA863" s="87">
        <v>9240</v>
      </c>
      <c r="AB863" s="85">
        <v>373.21899999999999</v>
      </c>
      <c r="AC863" s="87">
        <v>9230</v>
      </c>
      <c r="AD863" s="85">
        <v>300.255</v>
      </c>
      <c r="AE863" s="87">
        <v>9240</v>
      </c>
      <c r="AF863" s="85">
        <v>301.875</v>
      </c>
      <c r="AG863" s="87">
        <v>9220</v>
      </c>
      <c r="AH863" s="85">
        <v>68.010000000000005</v>
      </c>
      <c r="AI863" s="87">
        <v>9220</v>
      </c>
      <c r="AJ863" s="85">
        <v>72.391999999999996</v>
      </c>
    </row>
    <row r="864" spans="1:36" ht="14.25" customHeight="1">
      <c r="A864" s="88">
        <v>9250</v>
      </c>
      <c r="B864" s="84">
        <v>154.387</v>
      </c>
      <c r="C864" s="88">
        <v>9260</v>
      </c>
      <c r="D864" s="85">
        <v>152.827</v>
      </c>
      <c r="E864" s="86">
        <v>9250</v>
      </c>
      <c r="F864" s="85">
        <v>398.76900000000001</v>
      </c>
      <c r="G864" s="87">
        <v>9250</v>
      </c>
      <c r="H864" s="85">
        <v>398.76</v>
      </c>
      <c r="I864" s="87">
        <v>9250</v>
      </c>
      <c r="J864" s="85">
        <v>372.84199999999998</v>
      </c>
      <c r="K864" s="87">
        <v>9250</v>
      </c>
      <c r="L864" s="85">
        <v>371.98599999999999</v>
      </c>
      <c r="M864" s="87">
        <v>9250</v>
      </c>
      <c r="N864" s="85">
        <v>372.66399999999999</v>
      </c>
      <c r="O864" s="87">
        <v>9230</v>
      </c>
      <c r="P864" s="85">
        <v>373.70800000000003</v>
      </c>
      <c r="Q864" s="87">
        <v>9250</v>
      </c>
      <c r="R864" s="85">
        <v>373.38299999999998</v>
      </c>
      <c r="S864" s="87">
        <v>9250</v>
      </c>
      <c r="T864" s="85">
        <v>374.04399999999998</v>
      </c>
      <c r="U864" s="87">
        <v>9240</v>
      </c>
      <c r="V864" s="85">
        <v>373.86099999999999</v>
      </c>
      <c r="W864" s="87">
        <v>9250</v>
      </c>
      <c r="X864" s="85">
        <v>373.21300000000002</v>
      </c>
      <c r="Y864" s="87">
        <v>9250</v>
      </c>
      <c r="Z864" s="85">
        <v>371.61</v>
      </c>
      <c r="AA864" s="87">
        <v>9250</v>
      </c>
      <c r="AB864" s="85">
        <v>372.00900000000001</v>
      </c>
      <c r="AC864" s="87">
        <v>9240</v>
      </c>
      <c r="AD864" s="85">
        <v>299.10899999999998</v>
      </c>
      <c r="AE864" s="87">
        <v>9250</v>
      </c>
      <c r="AF864" s="85">
        <v>300.72800000000001</v>
      </c>
      <c r="AG864" s="87">
        <v>9230</v>
      </c>
      <c r="AH864" s="85">
        <v>67.718000000000004</v>
      </c>
      <c r="AI864" s="87">
        <v>9230</v>
      </c>
      <c r="AJ864" s="85">
        <v>72.085999999999999</v>
      </c>
    </row>
    <row r="865" spans="1:36" ht="14.25" customHeight="1">
      <c r="A865" s="88">
        <v>9260</v>
      </c>
      <c r="B865" s="84">
        <v>153.69800000000001</v>
      </c>
      <c r="C865" s="88">
        <v>9270</v>
      </c>
      <c r="D865" s="85">
        <v>152.143</v>
      </c>
      <c r="E865" s="86">
        <v>9260</v>
      </c>
      <c r="F865" s="85">
        <v>397.32</v>
      </c>
      <c r="G865" s="87">
        <v>9260</v>
      </c>
      <c r="H865" s="85">
        <v>397.31</v>
      </c>
      <c r="I865" s="87">
        <v>9260</v>
      </c>
      <c r="J865" s="85">
        <v>371.63099999999997</v>
      </c>
      <c r="K865" s="87">
        <v>9260</v>
      </c>
      <c r="L865" s="85">
        <v>370.77300000000002</v>
      </c>
      <c r="M865" s="87">
        <v>9260</v>
      </c>
      <c r="N865" s="85">
        <v>371.452</v>
      </c>
      <c r="O865" s="87">
        <v>9240</v>
      </c>
      <c r="P865" s="85">
        <v>372.49599999999998</v>
      </c>
      <c r="Q865" s="87">
        <v>9260</v>
      </c>
      <c r="R865" s="85">
        <v>372.17200000000003</v>
      </c>
      <c r="S865" s="87">
        <v>9260</v>
      </c>
      <c r="T865" s="85">
        <v>372.83199999999999</v>
      </c>
      <c r="U865" s="87">
        <v>9250</v>
      </c>
      <c r="V865" s="85">
        <v>372.65100000000001</v>
      </c>
      <c r="W865" s="87">
        <v>9260</v>
      </c>
      <c r="X865" s="85">
        <v>372.00200000000001</v>
      </c>
      <c r="Y865" s="87">
        <v>9260</v>
      </c>
      <c r="Z865" s="85">
        <v>370.399</v>
      </c>
      <c r="AA865" s="87">
        <v>9260</v>
      </c>
      <c r="AB865" s="85">
        <v>370.79899999999998</v>
      </c>
      <c r="AC865" s="87">
        <v>9250</v>
      </c>
      <c r="AD865" s="85">
        <v>297.964</v>
      </c>
      <c r="AE865" s="87">
        <v>9260</v>
      </c>
      <c r="AF865" s="85">
        <v>299.58300000000003</v>
      </c>
      <c r="AG865" s="87">
        <v>9240</v>
      </c>
      <c r="AH865" s="85">
        <v>67.427000000000007</v>
      </c>
      <c r="AI865" s="87">
        <v>9240</v>
      </c>
      <c r="AJ865" s="85">
        <v>71.78</v>
      </c>
    </row>
    <row r="866" spans="1:36" ht="14.25" customHeight="1">
      <c r="A866" s="88">
        <v>9270</v>
      </c>
      <c r="B866" s="84">
        <v>153.01</v>
      </c>
      <c r="C866" s="88">
        <v>9280</v>
      </c>
      <c r="D866" s="85">
        <v>151.46</v>
      </c>
      <c r="E866" s="86">
        <v>9270</v>
      </c>
      <c r="F866" s="85">
        <v>395.87200000000001</v>
      </c>
      <c r="G866" s="87">
        <v>9270</v>
      </c>
      <c r="H866" s="85">
        <v>395.86099999999999</v>
      </c>
      <c r="I866" s="87">
        <v>9270</v>
      </c>
      <c r="J866" s="85">
        <v>370.41899999999998</v>
      </c>
      <c r="K866" s="87">
        <v>9270</v>
      </c>
      <c r="L866" s="85">
        <v>369.55900000000003</v>
      </c>
      <c r="M866" s="87">
        <v>9270</v>
      </c>
      <c r="N866" s="85">
        <v>370.24</v>
      </c>
      <c r="O866" s="87">
        <v>9250</v>
      </c>
      <c r="P866" s="85">
        <v>371.28399999999999</v>
      </c>
      <c r="Q866" s="87">
        <v>9270</v>
      </c>
      <c r="R866" s="85">
        <v>370.96</v>
      </c>
      <c r="S866" s="87">
        <v>9270</v>
      </c>
      <c r="T866" s="85">
        <v>371.62</v>
      </c>
      <c r="U866" s="87">
        <v>9260</v>
      </c>
      <c r="V866" s="85">
        <v>371.44</v>
      </c>
      <c r="W866" s="87">
        <v>9270</v>
      </c>
      <c r="X866" s="85">
        <v>370.791</v>
      </c>
      <c r="Y866" s="87">
        <v>9270</v>
      </c>
      <c r="Z866" s="85">
        <v>369.18799999999999</v>
      </c>
      <c r="AA866" s="87">
        <v>9270</v>
      </c>
      <c r="AB866" s="85">
        <v>369.589</v>
      </c>
      <c r="AC866" s="87">
        <v>9260</v>
      </c>
      <c r="AD866" s="85">
        <v>296.81900000000002</v>
      </c>
      <c r="AE866" s="87">
        <v>9270</v>
      </c>
      <c r="AF866" s="85">
        <v>298.43799999999999</v>
      </c>
      <c r="AG866" s="87">
        <v>9250</v>
      </c>
      <c r="AH866" s="85">
        <v>67.135999999999996</v>
      </c>
      <c r="AI866" s="87">
        <v>9250</v>
      </c>
      <c r="AJ866" s="85">
        <v>71.474000000000004</v>
      </c>
    </row>
    <row r="867" spans="1:36" ht="14.25" customHeight="1">
      <c r="A867" s="88">
        <v>9280</v>
      </c>
      <c r="B867" s="84">
        <v>152.32300000000001</v>
      </c>
      <c r="C867" s="88">
        <v>9290</v>
      </c>
      <c r="D867" s="85">
        <v>150.77799999999999</v>
      </c>
      <c r="E867" s="86">
        <v>9280</v>
      </c>
      <c r="F867" s="85">
        <v>394.42399999999998</v>
      </c>
      <c r="G867" s="87">
        <v>9280</v>
      </c>
      <c r="H867" s="85">
        <v>394.41199999999998</v>
      </c>
      <c r="I867" s="87">
        <v>9280</v>
      </c>
      <c r="J867" s="85">
        <v>369.20800000000003</v>
      </c>
      <c r="K867" s="87">
        <v>9280</v>
      </c>
      <c r="L867" s="85">
        <v>368.346</v>
      </c>
      <c r="M867" s="87">
        <v>9280</v>
      </c>
      <c r="N867" s="85">
        <v>369.02800000000002</v>
      </c>
      <c r="O867" s="87">
        <v>9260</v>
      </c>
      <c r="P867" s="85">
        <v>370.072</v>
      </c>
      <c r="Q867" s="87">
        <v>9280</v>
      </c>
      <c r="R867" s="85">
        <v>369.74799999999999</v>
      </c>
      <c r="S867" s="87">
        <v>9280</v>
      </c>
      <c r="T867" s="85">
        <v>370.40800000000002</v>
      </c>
      <c r="U867" s="87">
        <v>9270</v>
      </c>
      <c r="V867" s="85">
        <v>370.23</v>
      </c>
      <c r="W867" s="87">
        <v>9280</v>
      </c>
      <c r="X867" s="85">
        <v>369.58</v>
      </c>
      <c r="Y867" s="87">
        <v>9280</v>
      </c>
      <c r="Z867" s="85">
        <v>367.97699999999998</v>
      </c>
      <c r="AA867" s="87">
        <v>9280</v>
      </c>
      <c r="AB867" s="85">
        <v>368.37900000000002</v>
      </c>
      <c r="AC867" s="87">
        <v>9270</v>
      </c>
      <c r="AD867" s="85">
        <v>295.67500000000001</v>
      </c>
      <c r="AE867" s="87">
        <v>9280</v>
      </c>
      <c r="AF867" s="85">
        <v>297.29399999999998</v>
      </c>
      <c r="AG867" s="87">
        <v>9260</v>
      </c>
      <c r="AH867" s="85">
        <v>66.844999999999999</v>
      </c>
      <c r="AI867" s="87">
        <v>9260</v>
      </c>
      <c r="AJ867" s="85">
        <v>71.168999999999997</v>
      </c>
    </row>
    <row r="868" spans="1:36" ht="14.25" customHeight="1">
      <c r="A868" s="88">
        <v>9290</v>
      </c>
      <c r="B868" s="84">
        <v>151.637</v>
      </c>
      <c r="C868" s="88">
        <v>9300</v>
      </c>
      <c r="D868" s="85">
        <v>150.09700000000001</v>
      </c>
      <c r="E868" s="86">
        <v>9290</v>
      </c>
      <c r="F868" s="85">
        <v>392.97699999999998</v>
      </c>
      <c r="G868" s="87">
        <v>9290</v>
      </c>
      <c r="H868" s="85">
        <v>392.96300000000002</v>
      </c>
      <c r="I868" s="87">
        <v>9290</v>
      </c>
      <c r="J868" s="85">
        <v>367.99599999999998</v>
      </c>
      <c r="K868" s="87">
        <v>9290</v>
      </c>
      <c r="L868" s="85">
        <v>367.13299999999998</v>
      </c>
      <c r="M868" s="87">
        <v>9290</v>
      </c>
      <c r="N868" s="85">
        <v>367.81700000000001</v>
      </c>
      <c r="O868" s="87">
        <v>9270</v>
      </c>
      <c r="P868" s="85">
        <v>368.86</v>
      </c>
      <c r="Q868" s="87">
        <v>9290</v>
      </c>
      <c r="R868" s="85">
        <v>368.536</v>
      </c>
      <c r="S868" s="87">
        <v>9290</v>
      </c>
      <c r="T868" s="85">
        <v>369.19600000000003</v>
      </c>
      <c r="U868" s="87">
        <v>9280</v>
      </c>
      <c r="V868" s="85">
        <v>369.02</v>
      </c>
      <c r="W868" s="87">
        <v>9290</v>
      </c>
      <c r="X868" s="85">
        <v>368.36900000000003</v>
      </c>
      <c r="Y868" s="87">
        <v>9290</v>
      </c>
      <c r="Z868" s="85">
        <v>366.76600000000002</v>
      </c>
      <c r="AA868" s="87">
        <v>9290</v>
      </c>
      <c r="AB868" s="85">
        <v>367.16899999999998</v>
      </c>
      <c r="AC868" s="87">
        <v>9280</v>
      </c>
      <c r="AD868" s="85">
        <v>294.53199999999998</v>
      </c>
      <c r="AE868" s="87">
        <v>9290</v>
      </c>
      <c r="AF868" s="85">
        <v>296.14999999999998</v>
      </c>
      <c r="AG868" s="87">
        <v>9270</v>
      </c>
      <c r="AH868" s="85">
        <v>66.555000000000007</v>
      </c>
      <c r="AI868" s="87">
        <v>9270</v>
      </c>
      <c r="AJ868" s="85">
        <v>70.864000000000004</v>
      </c>
    </row>
    <row r="869" spans="1:36" ht="14.25" customHeight="1">
      <c r="A869" s="88">
        <v>9300</v>
      </c>
      <c r="B869" s="84">
        <v>150.952</v>
      </c>
      <c r="C869" s="88">
        <v>9310</v>
      </c>
      <c r="D869" s="85">
        <v>149.41800000000001</v>
      </c>
      <c r="E869" s="86">
        <v>9300</v>
      </c>
      <c r="F869" s="85">
        <v>391.529</v>
      </c>
      <c r="G869" s="87">
        <v>9300</v>
      </c>
      <c r="H869" s="85">
        <v>391.51400000000001</v>
      </c>
      <c r="I869" s="87">
        <v>9300</v>
      </c>
      <c r="J869" s="85">
        <v>366.78500000000003</v>
      </c>
      <c r="K869" s="87">
        <v>9300</v>
      </c>
      <c r="L869" s="85">
        <v>365.91899999999998</v>
      </c>
      <c r="M869" s="87">
        <v>9300</v>
      </c>
      <c r="N869" s="85">
        <v>366.60500000000002</v>
      </c>
      <c r="O869" s="87">
        <v>9280</v>
      </c>
      <c r="P869" s="85">
        <v>367.64800000000002</v>
      </c>
      <c r="Q869" s="87">
        <v>9300</v>
      </c>
      <c r="R869" s="85">
        <v>367.32499999999999</v>
      </c>
      <c r="S869" s="87">
        <v>9300</v>
      </c>
      <c r="T869" s="85">
        <v>367.98399999999998</v>
      </c>
      <c r="U869" s="87">
        <v>9290</v>
      </c>
      <c r="V869" s="85">
        <v>367.80900000000003</v>
      </c>
      <c r="W869" s="87">
        <v>9300</v>
      </c>
      <c r="X869" s="85">
        <v>367.15800000000002</v>
      </c>
      <c r="Y869" s="87">
        <v>9300</v>
      </c>
      <c r="Z869" s="85">
        <v>365.55599999999998</v>
      </c>
      <c r="AA869" s="87">
        <v>9300</v>
      </c>
      <c r="AB869" s="85">
        <v>365.959</v>
      </c>
      <c r="AC869" s="87">
        <v>9290</v>
      </c>
      <c r="AD869" s="85">
        <v>293.39</v>
      </c>
      <c r="AE869" s="87">
        <v>9300</v>
      </c>
      <c r="AF869" s="85">
        <v>295.00799999999998</v>
      </c>
      <c r="AG869" s="87">
        <v>9280</v>
      </c>
      <c r="AH869" s="85">
        <v>66.265000000000001</v>
      </c>
      <c r="AI869" s="87">
        <v>9280</v>
      </c>
      <c r="AJ869" s="85">
        <v>70.56</v>
      </c>
    </row>
    <row r="870" spans="1:36" ht="14.25" customHeight="1">
      <c r="A870" s="88">
        <v>9310</v>
      </c>
      <c r="B870" s="84">
        <v>150.26900000000001</v>
      </c>
      <c r="C870" s="88">
        <v>9320</v>
      </c>
      <c r="D870" s="85">
        <v>148.74</v>
      </c>
      <c r="E870" s="86">
        <v>9310</v>
      </c>
      <c r="F870" s="85">
        <v>390.08100000000002</v>
      </c>
      <c r="G870" s="87">
        <v>9310</v>
      </c>
      <c r="H870" s="85">
        <v>390.065</v>
      </c>
      <c r="I870" s="87">
        <v>9310</v>
      </c>
      <c r="J870" s="85">
        <v>365.57299999999998</v>
      </c>
      <c r="K870" s="87">
        <v>9310</v>
      </c>
      <c r="L870" s="85">
        <v>364.70600000000002</v>
      </c>
      <c r="M870" s="87">
        <v>9310</v>
      </c>
      <c r="N870" s="85">
        <v>365.39299999999997</v>
      </c>
      <c r="O870" s="87">
        <v>9290</v>
      </c>
      <c r="P870" s="85">
        <v>366.43599999999998</v>
      </c>
      <c r="Q870" s="87">
        <v>9310</v>
      </c>
      <c r="R870" s="85">
        <v>366.113</v>
      </c>
      <c r="S870" s="87">
        <v>9310</v>
      </c>
      <c r="T870" s="85">
        <v>366.77199999999999</v>
      </c>
      <c r="U870" s="87">
        <v>9300</v>
      </c>
      <c r="V870" s="85">
        <v>366.59899999999999</v>
      </c>
      <c r="W870" s="87">
        <v>9310</v>
      </c>
      <c r="X870" s="85">
        <v>365.947</v>
      </c>
      <c r="Y870" s="87">
        <v>9310</v>
      </c>
      <c r="Z870" s="85">
        <v>364.34500000000003</v>
      </c>
      <c r="AA870" s="87">
        <v>9310</v>
      </c>
      <c r="AB870" s="85">
        <v>364.74900000000002</v>
      </c>
      <c r="AC870" s="87">
        <v>9300</v>
      </c>
      <c r="AD870" s="85">
        <v>292.24900000000002</v>
      </c>
      <c r="AE870" s="87">
        <v>9310</v>
      </c>
      <c r="AF870" s="85">
        <v>293.86599999999999</v>
      </c>
      <c r="AG870" s="87">
        <v>9290</v>
      </c>
      <c r="AH870" s="85">
        <v>65.974999999999994</v>
      </c>
      <c r="AI870" s="87">
        <v>9290</v>
      </c>
      <c r="AJ870" s="85">
        <v>70.256</v>
      </c>
    </row>
    <row r="871" spans="1:36" ht="14.25" customHeight="1">
      <c r="A871" s="88">
        <v>9320</v>
      </c>
      <c r="B871" s="84">
        <v>149.58600000000001</v>
      </c>
      <c r="C871" s="88">
        <v>9330</v>
      </c>
      <c r="D871" s="85">
        <v>148.06299999999999</v>
      </c>
      <c r="E871" s="86">
        <v>9320</v>
      </c>
      <c r="F871" s="85">
        <v>388.63400000000001</v>
      </c>
      <c r="G871" s="87">
        <v>9320</v>
      </c>
      <c r="H871" s="85">
        <v>388.61599999999999</v>
      </c>
      <c r="I871" s="87">
        <v>9320</v>
      </c>
      <c r="J871" s="85">
        <v>364.36200000000002</v>
      </c>
      <c r="K871" s="87">
        <v>9320</v>
      </c>
      <c r="L871" s="85">
        <v>363.49200000000002</v>
      </c>
      <c r="M871" s="87">
        <v>9320</v>
      </c>
      <c r="N871" s="85">
        <v>364.18200000000002</v>
      </c>
      <c r="O871" s="87">
        <v>9300</v>
      </c>
      <c r="P871" s="85">
        <v>365.22399999999999</v>
      </c>
      <c r="Q871" s="87">
        <v>9320</v>
      </c>
      <c r="R871" s="85">
        <v>364.90100000000001</v>
      </c>
      <c r="S871" s="87">
        <v>9320</v>
      </c>
      <c r="T871" s="85">
        <v>365.56</v>
      </c>
      <c r="U871" s="87">
        <v>9310</v>
      </c>
      <c r="V871" s="85">
        <v>365.38900000000001</v>
      </c>
      <c r="W871" s="87">
        <v>9320</v>
      </c>
      <c r="X871" s="85">
        <v>364.73599999999999</v>
      </c>
      <c r="Y871" s="87">
        <v>9320</v>
      </c>
      <c r="Z871" s="85">
        <v>363.13400000000001</v>
      </c>
      <c r="AA871" s="87">
        <v>9320</v>
      </c>
      <c r="AB871" s="85">
        <v>363.53899999999999</v>
      </c>
      <c r="AC871" s="87">
        <v>9310</v>
      </c>
      <c r="AD871" s="85">
        <v>291.10899999999998</v>
      </c>
      <c r="AE871" s="87">
        <v>9320</v>
      </c>
      <c r="AF871" s="85">
        <v>292.72500000000002</v>
      </c>
      <c r="AG871" s="87">
        <v>9300</v>
      </c>
      <c r="AH871" s="85">
        <v>65.686000000000007</v>
      </c>
      <c r="AI871" s="87">
        <v>9300</v>
      </c>
      <c r="AJ871" s="85">
        <v>69.951999999999998</v>
      </c>
    </row>
    <row r="872" spans="1:36" ht="14.25" customHeight="1">
      <c r="A872" s="88">
        <v>9330</v>
      </c>
      <c r="B872" s="84">
        <v>148.905</v>
      </c>
      <c r="C872" s="88">
        <v>9340</v>
      </c>
      <c r="D872" s="85">
        <v>147.387</v>
      </c>
      <c r="E872" s="86">
        <v>9330</v>
      </c>
      <c r="F872" s="85">
        <v>387.18599999999998</v>
      </c>
      <c r="G872" s="87">
        <v>9330</v>
      </c>
      <c r="H872" s="85">
        <v>387.16699999999997</v>
      </c>
      <c r="I872" s="87">
        <v>9330</v>
      </c>
      <c r="J872" s="85">
        <v>363.15</v>
      </c>
      <c r="K872" s="87">
        <v>9330</v>
      </c>
      <c r="L872" s="85">
        <v>362.279</v>
      </c>
      <c r="M872" s="87">
        <v>9330</v>
      </c>
      <c r="N872" s="85">
        <v>362.97</v>
      </c>
      <c r="O872" s="87">
        <v>9310</v>
      </c>
      <c r="P872" s="85">
        <v>364.012</v>
      </c>
      <c r="Q872" s="87">
        <v>9330</v>
      </c>
      <c r="R872" s="85">
        <v>363.68900000000002</v>
      </c>
      <c r="S872" s="87">
        <v>9330</v>
      </c>
      <c r="T872" s="85">
        <v>364.34800000000001</v>
      </c>
      <c r="U872" s="87">
        <v>9320</v>
      </c>
      <c r="V872" s="85">
        <v>364.178</v>
      </c>
      <c r="W872" s="87">
        <v>9330</v>
      </c>
      <c r="X872" s="85">
        <v>363.524</v>
      </c>
      <c r="Y872" s="87">
        <v>9330</v>
      </c>
      <c r="Z872" s="85">
        <v>361.923</v>
      </c>
      <c r="AA872" s="87">
        <v>9330</v>
      </c>
      <c r="AB872" s="85">
        <v>362.32900000000001</v>
      </c>
      <c r="AC872" s="87">
        <v>9320</v>
      </c>
      <c r="AD872" s="85">
        <v>289.96899999999999</v>
      </c>
      <c r="AE872" s="87">
        <v>9330</v>
      </c>
      <c r="AF872" s="85">
        <v>291.58499999999998</v>
      </c>
      <c r="AG872" s="87">
        <v>9310</v>
      </c>
      <c r="AH872" s="85">
        <v>65.397000000000006</v>
      </c>
      <c r="AI872" s="87">
        <v>9310</v>
      </c>
      <c r="AJ872" s="85">
        <v>69.649000000000001</v>
      </c>
    </row>
    <row r="873" spans="1:36" ht="14.25" customHeight="1">
      <c r="A873" s="88">
        <v>9340</v>
      </c>
      <c r="B873" s="84">
        <v>148.22499999999999</v>
      </c>
      <c r="C873" s="88">
        <v>9350</v>
      </c>
      <c r="D873" s="85">
        <v>146.71199999999999</v>
      </c>
      <c r="E873" s="86">
        <v>9340</v>
      </c>
      <c r="F873" s="85">
        <v>385.73899999999998</v>
      </c>
      <c r="G873" s="87">
        <v>9340</v>
      </c>
      <c r="H873" s="85">
        <v>385.71800000000002</v>
      </c>
      <c r="I873" s="87">
        <v>9340</v>
      </c>
      <c r="J873" s="85">
        <v>361.93900000000002</v>
      </c>
      <c r="K873" s="87">
        <v>9340</v>
      </c>
      <c r="L873" s="85">
        <v>361.06599999999997</v>
      </c>
      <c r="M873" s="87">
        <v>9340</v>
      </c>
      <c r="N873" s="85">
        <v>361.75799999999998</v>
      </c>
      <c r="O873" s="87">
        <v>9320</v>
      </c>
      <c r="P873" s="85">
        <v>362.8</v>
      </c>
      <c r="Q873" s="87">
        <v>9340</v>
      </c>
      <c r="R873" s="85">
        <v>362.47800000000001</v>
      </c>
      <c r="S873" s="87">
        <v>9340</v>
      </c>
      <c r="T873" s="85">
        <v>363.13600000000002</v>
      </c>
      <c r="U873" s="87">
        <v>9330</v>
      </c>
      <c r="V873" s="85">
        <v>362.96800000000002</v>
      </c>
      <c r="W873" s="87">
        <v>9340</v>
      </c>
      <c r="X873" s="85">
        <v>362.31299999999999</v>
      </c>
      <c r="Y873" s="87">
        <v>9340</v>
      </c>
      <c r="Z873" s="85">
        <v>360.71300000000002</v>
      </c>
      <c r="AA873" s="87">
        <v>9340</v>
      </c>
      <c r="AB873" s="85">
        <v>361.11900000000003</v>
      </c>
      <c r="AC873" s="87">
        <v>9330</v>
      </c>
      <c r="AD873" s="85">
        <v>288.83</v>
      </c>
      <c r="AE873" s="87">
        <v>9340</v>
      </c>
      <c r="AF873" s="85">
        <v>290.44600000000003</v>
      </c>
      <c r="AG873" s="87">
        <v>9320</v>
      </c>
      <c r="AH873" s="85">
        <v>65.108999999999995</v>
      </c>
      <c r="AI873" s="87">
        <v>9320</v>
      </c>
      <c r="AJ873" s="85">
        <v>69.346000000000004</v>
      </c>
    </row>
    <row r="874" spans="1:36" ht="14.25" customHeight="1">
      <c r="A874" s="88">
        <v>9350</v>
      </c>
      <c r="B874" s="84">
        <v>147.547</v>
      </c>
      <c r="C874" s="88">
        <v>9360</v>
      </c>
      <c r="D874" s="85">
        <v>146.03899999999999</v>
      </c>
      <c r="E874" s="86">
        <v>9350</v>
      </c>
      <c r="F874" s="85">
        <v>384.29199999999997</v>
      </c>
      <c r="G874" s="87">
        <v>9350</v>
      </c>
      <c r="H874" s="85">
        <v>384.27</v>
      </c>
      <c r="I874" s="87">
        <v>9350</v>
      </c>
      <c r="J874" s="85">
        <v>360.72699999999998</v>
      </c>
      <c r="K874" s="87">
        <v>9350</v>
      </c>
      <c r="L874" s="85">
        <v>359.85199999999998</v>
      </c>
      <c r="M874" s="87">
        <v>9350</v>
      </c>
      <c r="N874" s="85">
        <v>360.54599999999999</v>
      </c>
      <c r="O874" s="87">
        <v>9330</v>
      </c>
      <c r="P874" s="85">
        <v>361.58800000000002</v>
      </c>
      <c r="Q874" s="87">
        <v>9350</v>
      </c>
      <c r="R874" s="85">
        <v>361.26600000000002</v>
      </c>
      <c r="S874" s="87">
        <v>9350</v>
      </c>
      <c r="T874" s="85">
        <v>361.92399999999998</v>
      </c>
      <c r="U874" s="87">
        <v>9340</v>
      </c>
      <c r="V874" s="85">
        <v>361.75799999999998</v>
      </c>
      <c r="W874" s="87">
        <v>9350</v>
      </c>
      <c r="X874" s="85">
        <v>361.10199999999998</v>
      </c>
      <c r="Y874" s="87">
        <v>9350</v>
      </c>
      <c r="Z874" s="85">
        <v>359.50200000000001</v>
      </c>
      <c r="AA874" s="87">
        <v>9350</v>
      </c>
      <c r="AB874" s="85">
        <v>359.90899999999999</v>
      </c>
      <c r="AC874" s="87">
        <v>9340</v>
      </c>
      <c r="AD874" s="85">
        <v>287.69299999999998</v>
      </c>
      <c r="AE874" s="87">
        <v>9350</v>
      </c>
      <c r="AF874" s="85">
        <v>289.30799999999999</v>
      </c>
      <c r="AG874" s="87">
        <v>9330</v>
      </c>
      <c r="AH874" s="85">
        <v>64.820999999999998</v>
      </c>
      <c r="AI874" s="87">
        <v>9330</v>
      </c>
      <c r="AJ874" s="85">
        <v>69.043999999999997</v>
      </c>
    </row>
    <row r="875" spans="1:36" ht="14.25" customHeight="1">
      <c r="A875" s="88">
        <v>9360</v>
      </c>
      <c r="B875" s="84">
        <v>146.869</v>
      </c>
      <c r="C875" s="88">
        <v>9370</v>
      </c>
      <c r="D875" s="85">
        <v>145.36699999999999</v>
      </c>
      <c r="E875" s="86">
        <v>9360</v>
      </c>
      <c r="F875" s="85">
        <v>382.84500000000003</v>
      </c>
      <c r="G875" s="87">
        <v>9360</v>
      </c>
      <c r="H875" s="85">
        <v>382.82100000000003</v>
      </c>
      <c r="I875" s="87">
        <v>9360</v>
      </c>
      <c r="J875" s="85">
        <v>359.51600000000002</v>
      </c>
      <c r="K875" s="87">
        <v>9360</v>
      </c>
      <c r="L875" s="85">
        <v>358.63900000000001</v>
      </c>
      <c r="M875" s="87">
        <v>9360</v>
      </c>
      <c r="N875" s="85">
        <v>359.33499999999998</v>
      </c>
      <c r="O875" s="87">
        <v>9340</v>
      </c>
      <c r="P875" s="85">
        <v>360.37599999999998</v>
      </c>
      <c r="Q875" s="87">
        <v>9360</v>
      </c>
      <c r="R875" s="85">
        <v>360.05399999999997</v>
      </c>
      <c r="S875" s="87">
        <v>9360</v>
      </c>
      <c r="T875" s="85">
        <v>360.71199999999999</v>
      </c>
      <c r="U875" s="87">
        <v>9350</v>
      </c>
      <c r="V875" s="85">
        <v>360.54700000000003</v>
      </c>
      <c r="W875" s="87">
        <v>9360</v>
      </c>
      <c r="X875" s="85">
        <v>359.89100000000002</v>
      </c>
      <c r="Y875" s="87">
        <v>9360</v>
      </c>
      <c r="Z875" s="85">
        <v>358.291</v>
      </c>
      <c r="AA875" s="87">
        <v>9360</v>
      </c>
      <c r="AB875" s="85">
        <v>358.69900000000001</v>
      </c>
      <c r="AC875" s="87">
        <v>9350</v>
      </c>
      <c r="AD875" s="85">
        <v>286.55599999999998</v>
      </c>
      <c r="AE875" s="87">
        <v>9360</v>
      </c>
      <c r="AF875" s="85">
        <v>288.17099999999999</v>
      </c>
      <c r="AG875" s="87">
        <v>9340</v>
      </c>
      <c r="AH875" s="85">
        <v>64.533000000000001</v>
      </c>
      <c r="AI875" s="87">
        <v>9340</v>
      </c>
      <c r="AJ875" s="85">
        <v>68.742000000000004</v>
      </c>
    </row>
    <row r="876" spans="1:36" ht="14.25" customHeight="1">
      <c r="A876" s="88">
        <v>9370</v>
      </c>
      <c r="B876" s="84">
        <v>146.19300000000001</v>
      </c>
      <c r="C876" s="88">
        <v>9380</v>
      </c>
      <c r="D876" s="85">
        <v>144.696</v>
      </c>
      <c r="E876" s="86">
        <v>9370</v>
      </c>
      <c r="F876" s="85">
        <v>381.39800000000002</v>
      </c>
      <c r="G876" s="87">
        <v>9370</v>
      </c>
      <c r="H876" s="85">
        <v>381.37299999999999</v>
      </c>
      <c r="I876" s="87">
        <v>9370</v>
      </c>
      <c r="J876" s="85">
        <v>358.30399999999997</v>
      </c>
      <c r="K876" s="87">
        <v>9370</v>
      </c>
      <c r="L876" s="85">
        <v>357.42599999999999</v>
      </c>
      <c r="M876" s="87">
        <v>9370</v>
      </c>
      <c r="N876" s="85">
        <v>358.12299999999999</v>
      </c>
      <c r="O876" s="87">
        <v>9350</v>
      </c>
      <c r="P876" s="85">
        <v>359.16399999999999</v>
      </c>
      <c r="Q876" s="87">
        <v>9370</v>
      </c>
      <c r="R876" s="85">
        <v>358.84199999999998</v>
      </c>
      <c r="S876" s="87">
        <v>9370</v>
      </c>
      <c r="T876" s="85">
        <v>359.5</v>
      </c>
      <c r="U876" s="87">
        <v>9360</v>
      </c>
      <c r="V876" s="85">
        <v>359.33699999999999</v>
      </c>
      <c r="W876" s="87">
        <v>9370</v>
      </c>
      <c r="X876" s="85">
        <v>358.68</v>
      </c>
      <c r="Y876" s="87">
        <v>9370</v>
      </c>
      <c r="Z876" s="85">
        <v>357.08</v>
      </c>
      <c r="AA876" s="87">
        <v>9370</v>
      </c>
      <c r="AB876" s="85">
        <v>357.48899999999998</v>
      </c>
      <c r="AC876" s="87">
        <v>9360</v>
      </c>
      <c r="AD876" s="85">
        <v>285.41899999999998</v>
      </c>
      <c r="AE876" s="87">
        <v>9370</v>
      </c>
      <c r="AF876" s="85">
        <v>287.03399999999999</v>
      </c>
      <c r="AG876" s="87">
        <v>9350</v>
      </c>
      <c r="AH876" s="85">
        <v>64.245999999999995</v>
      </c>
      <c r="AI876" s="87">
        <v>9350</v>
      </c>
      <c r="AJ876" s="85">
        <v>68.44</v>
      </c>
    </row>
    <row r="877" spans="1:36" ht="14.25" customHeight="1">
      <c r="A877" s="88">
        <v>9380</v>
      </c>
      <c r="B877" s="84">
        <v>145.518</v>
      </c>
      <c r="C877" s="88">
        <v>9390</v>
      </c>
      <c r="D877" s="85">
        <v>144.02699999999999</v>
      </c>
      <c r="E877" s="86">
        <v>9380</v>
      </c>
      <c r="F877" s="85">
        <v>379.95100000000002</v>
      </c>
      <c r="G877" s="87">
        <v>9380</v>
      </c>
      <c r="H877" s="85">
        <v>379.92500000000001</v>
      </c>
      <c r="I877" s="87">
        <v>9380</v>
      </c>
      <c r="J877" s="85">
        <v>357.09300000000002</v>
      </c>
      <c r="K877" s="87">
        <v>9380</v>
      </c>
      <c r="L877" s="85">
        <v>356.21199999999999</v>
      </c>
      <c r="M877" s="87">
        <v>9380</v>
      </c>
      <c r="N877" s="85">
        <v>356.911</v>
      </c>
      <c r="O877" s="87">
        <v>9360</v>
      </c>
      <c r="P877" s="85">
        <v>357.952</v>
      </c>
      <c r="Q877" s="87">
        <v>9380</v>
      </c>
      <c r="R877" s="85">
        <v>357.63099999999997</v>
      </c>
      <c r="S877" s="87">
        <v>9380</v>
      </c>
      <c r="T877" s="85">
        <v>358.28800000000001</v>
      </c>
      <c r="U877" s="87">
        <v>9370</v>
      </c>
      <c r="V877" s="85">
        <v>358.12700000000001</v>
      </c>
      <c r="W877" s="87">
        <v>9380</v>
      </c>
      <c r="X877" s="85">
        <v>357.46899999999999</v>
      </c>
      <c r="Y877" s="87">
        <v>9380</v>
      </c>
      <c r="Z877" s="85">
        <v>355.86900000000003</v>
      </c>
      <c r="AA877" s="87">
        <v>9380</v>
      </c>
      <c r="AB877" s="85">
        <v>356.279</v>
      </c>
      <c r="AC877" s="87">
        <v>9370</v>
      </c>
      <c r="AD877" s="85">
        <v>284.28399999999999</v>
      </c>
      <c r="AE877" s="87">
        <v>9380</v>
      </c>
      <c r="AF877" s="85">
        <v>285.89800000000002</v>
      </c>
      <c r="AG877" s="87">
        <v>9360</v>
      </c>
      <c r="AH877" s="85">
        <v>63.959000000000003</v>
      </c>
      <c r="AI877" s="87">
        <v>9360</v>
      </c>
      <c r="AJ877" s="85">
        <v>68.138999999999996</v>
      </c>
    </row>
    <row r="878" spans="1:36" ht="14.25" customHeight="1">
      <c r="A878" s="88">
        <v>9390</v>
      </c>
      <c r="B878" s="84">
        <v>144.84399999999999</v>
      </c>
      <c r="C878" s="88">
        <v>9400</v>
      </c>
      <c r="D878" s="85">
        <v>143.35900000000001</v>
      </c>
      <c r="E878" s="86">
        <v>9390</v>
      </c>
      <c r="F878" s="85">
        <v>378.50400000000002</v>
      </c>
      <c r="G878" s="87">
        <v>9390</v>
      </c>
      <c r="H878" s="85">
        <v>378.47699999999998</v>
      </c>
      <c r="I878" s="87">
        <v>9390</v>
      </c>
      <c r="J878" s="85">
        <v>355.88099999999997</v>
      </c>
      <c r="K878" s="87">
        <v>9390</v>
      </c>
      <c r="L878" s="85">
        <v>354.99900000000002</v>
      </c>
      <c r="M878" s="87">
        <v>9390</v>
      </c>
      <c r="N878" s="85">
        <v>355.7</v>
      </c>
      <c r="O878" s="87">
        <v>9370</v>
      </c>
      <c r="P878" s="85">
        <v>356.74</v>
      </c>
      <c r="Q878" s="87">
        <v>9390</v>
      </c>
      <c r="R878" s="85">
        <v>356.41899999999998</v>
      </c>
      <c r="S878" s="87">
        <v>9390</v>
      </c>
      <c r="T878" s="85">
        <v>357.07600000000002</v>
      </c>
      <c r="U878" s="87">
        <v>9380</v>
      </c>
      <c r="V878" s="85">
        <v>356.916</v>
      </c>
      <c r="W878" s="87">
        <v>9390</v>
      </c>
      <c r="X878" s="85">
        <v>356.25799999999998</v>
      </c>
      <c r="Y878" s="87">
        <v>9390</v>
      </c>
      <c r="Z878" s="85">
        <v>354.65899999999999</v>
      </c>
      <c r="AA878" s="87">
        <v>9390</v>
      </c>
      <c r="AB878" s="85">
        <v>355.06900000000002</v>
      </c>
      <c r="AC878" s="87">
        <v>9380</v>
      </c>
      <c r="AD878" s="85">
        <v>283.14999999999998</v>
      </c>
      <c r="AE878" s="87">
        <v>9390</v>
      </c>
      <c r="AF878" s="85">
        <v>284.76400000000001</v>
      </c>
      <c r="AG878" s="87">
        <v>9370</v>
      </c>
      <c r="AH878" s="85">
        <v>63.673000000000002</v>
      </c>
      <c r="AI878" s="87">
        <v>9370</v>
      </c>
      <c r="AJ878" s="85">
        <v>67.837999999999994</v>
      </c>
    </row>
    <row r="879" spans="1:36" ht="14.25" customHeight="1">
      <c r="A879" s="88">
        <v>9400</v>
      </c>
      <c r="B879" s="84">
        <v>144.172</v>
      </c>
      <c r="C879" s="88">
        <v>9410</v>
      </c>
      <c r="D879" s="85">
        <v>142.69200000000001</v>
      </c>
      <c r="E879" s="86">
        <v>9400</v>
      </c>
      <c r="F879" s="85">
        <v>377.05700000000002</v>
      </c>
      <c r="G879" s="87">
        <v>9400</v>
      </c>
      <c r="H879" s="85">
        <v>377.029</v>
      </c>
      <c r="I879" s="87">
        <v>9400</v>
      </c>
      <c r="J879" s="85">
        <v>354.67</v>
      </c>
      <c r="K879" s="87">
        <v>9400</v>
      </c>
      <c r="L879" s="85">
        <v>353.786</v>
      </c>
      <c r="M879" s="87">
        <v>9400</v>
      </c>
      <c r="N879" s="85">
        <v>354.488</v>
      </c>
      <c r="O879" s="87">
        <v>9380</v>
      </c>
      <c r="P879" s="85">
        <v>355.52800000000002</v>
      </c>
      <c r="Q879" s="87">
        <v>9400</v>
      </c>
      <c r="R879" s="85">
        <v>355.20699999999999</v>
      </c>
      <c r="S879" s="87">
        <v>9400</v>
      </c>
      <c r="T879" s="85">
        <v>355.86399999999998</v>
      </c>
      <c r="U879" s="87">
        <v>9390</v>
      </c>
      <c r="V879" s="85">
        <v>355.70600000000002</v>
      </c>
      <c r="W879" s="87">
        <v>9400</v>
      </c>
      <c r="X879" s="85">
        <v>355.04700000000003</v>
      </c>
      <c r="Y879" s="87">
        <v>9400</v>
      </c>
      <c r="Z879" s="85">
        <v>353.44799999999998</v>
      </c>
      <c r="AA879" s="87">
        <v>9400</v>
      </c>
      <c r="AB879" s="85">
        <v>353.85899999999998</v>
      </c>
      <c r="AC879" s="87">
        <v>9390</v>
      </c>
      <c r="AD879" s="85">
        <v>282.01600000000002</v>
      </c>
      <c r="AE879" s="87">
        <v>9400</v>
      </c>
      <c r="AF879" s="85">
        <v>283.63</v>
      </c>
      <c r="AG879" s="87">
        <v>9380</v>
      </c>
      <c r="AH879" s="85">
        <v>63.387</v>
      </c>
      <c r="AI879" s="87">
        <v>9380</v>
      </c>
      <c r="AJ879" s="85">
        <v>67.537999999999997</v>
      </c>
    </row>
    <row r="880" spans="1:36" ht="14.25" customHeight="1">
      <c r="A880" s="88">
        <v>9410</v>
      </c>
      <c r="B880" s="84">
        <v>143.501</v>
      </c>
      <c r="C880" s="88">
        <v>9420</v>
      </c>
      <c r="D880" s="85">
        <v>142.02600000000001</v>
      </c>
      <c r="E880" s="86">
        <v>9410</v>
      </c>
      <c r="F880" s="85">
        <v>375.61099999999999</v>
      </c>
      <c r="G880" s="87">
        <v>9410</v>
      </c>
      <c r="H880" s="85">
        <v>375.58100000000002</v>
      </c>
      <c r="I880" s="87">
        <v>9410</v>
      </c>
      <c r="J880" s="85">
        <v>353.45800000000003</v>
      </c>
      <c r="K880" s="87">
        <v>9410</v>
      </c>
      <c r="L880" s="85">
        <v>352.572</v>
      </c>
      <c r="M880" s="87">
        <v>9410</v>
      </c>
      <c r="N880" s="85">
        <v>353.27600000000001</v>
      </c>
      <c r="O880" s="87">
        <v>9390</v>
      </c>
      <c r="P880" s="85">
        <v>354.31599999999997</v>
      </c>
      <c r="Q880" s="87">
        <v>9410</v>
      </c>
      <c r="R880" s="85">
        <v>353.99599999999998</v>
      </c>
      <c r="S880" s="87">
        <v>9410</v>
      </c>
      <c r="T880" s="85">
        <v>354.65199999999999</v>
      </c>
      <c r="U880" s="87">
        <v>9400</v>
      </c>
      <c r="V880" s="85">
        <v>354.49599999999998</v>
      </c>
      <c r="W880" s="87">
        <v>9410</v>
      </c>
      <c r="X880" s="85">
        <v>353.83600000000001</v>
      </c>
      <c r="Y880" s="87">
        <v>9410</v>
      </c>
      <c r="Z880" s="85">
        <v>352.23700000000002</v>
      </c>
      <c r="AA880" s="87">
        <v>9410</v>
      </c>
      <c r="AB880" s="85">
        <v>352.649</v>
      </c>
      <c r="AC880" s="87">
        <v>9400</v>
      </c>
      <c r="AD880" s="85">
        <v>280.88400000000001</v>
      </c>
      <c r="AE880" s="87">
        <v>9410</v>
      </c>
      <c r="AF880" s="85">
        <v>282.49700000000001</v>
      </c>
      <c r="AG880" s="87">
        <v>9390</v>
      </c>
      <c r="AH880" s="85">
        <v>63.100999999999999</v>
      </c>
      <c r="AI880" s="87">
        <v>9390</v>
      </c>
      <c r="AJ880" s="85">
        <v>67.238</v>
      </c>
    </row>
    <row r="881" spans="1:36" ht="14.25" customHeight="1">
      <c r="A881" s="88">
        <v>9420</v>
      </c>
      <c r="B881" s="84">
        <v>142.83099999999999</v>
      </c>
      <c r="C881" s="88">
        <v>9430</v>
      </c>
      <c r="D881" s="85">
        <v>141.36199999999999</v>
      </c>
      <c r="E881" s="86">
        <v>9420</v>
      </c>
      <c r="F881" s="85">
        <v>374.16399999999999</v>
      </c>
      <c r="G881" s="87">
        <v>9420</v>
      </c>
      <c r="H881" s="85">
        <v>374.13400000000001</v>
      </c>
      <c r="I881" s="87">
        <v>9420</v>
      </c>
      <c r="J881" s="85">
        <v>352.24700000000001</v>
      </c>
      <c r="K881" s="87">
        <v>9420</v>
      </c>
      <c r="L881" s="85">
        <v>351.35899999999998</v>
      </c>
      <c r="M881" s="87">
        <v>9420</v>
      </c>
      <c r="N881" s="85">
        <v>352.06400000000002</v>
      </c>
      <c r="O881" s="87">
        <v>9400</v>
      </c>
      <c r="P881" s="85">
        <v>353.10399999999998</v>
      </c>
      <c r="Q881" s="87">
        <v>9420</v>
      </c>
      <c r="R881" s="85">
        <v>352.78399999999999</v>
      </c>
      <c r="S881" s="87">
        <v>9420</v>
      </c>
      <c r="T881" s="85">
        <v>353.44</v>
      </c>
      <c r="U881" s="87">
        <v>9410</v>
      </c>
      <c r="V881" s="85">
        <v>353.28500000000003</v>
      </c>
      <c r="W881" s="87">
        <v>9420</v>
      </c>
      <c r="X881" s="85">
        <v>352.625</v>
      </c>
      <c r="Y881" s="87">
        <v>9420</v>
      </c>
      <c r="Z881" s="85">
        <v>351.02600000000001</v>
      </c>
      <c r="AA881" s="87">
        <v>9420</v>
      </c>
      <c r="AB881" s="85">
        <v>351.43900000000002</v>
      </c>
      <c r="AC881" s="87">
        <v>9410</v>
      </c>
      <c r="AD881" s="85">
        <v>279.75200000000001</v>
      </c>
      <c r="AE881" s="87">
        <v>9420</v>
      </c>
      <c r="AF881" s="85">
        <v>281.36399999999998</v>
      </c>
      <c r="AG881" s="87">
        <v>9400</v>
      </c>
      <c r="AH881" s="85">
        <v>62.816000000000003</v>
      </c>
      <c r="AI881" s="87">
        <v>9400</v>
      </c>
      <c r="AJ881" s="85">
        <v>66.938999999999993</v>
      </c>
    </row>
    <row r="882" spans="1:36" ht="14.25" customHeight="1">
      <c r="A882" s="88">
        <v>9430</v>
      </c>
      <c r="B882" s="84">
        <v>142.16300000000001</v>
      </c>
      <c r="C882" s="88">
        <v>9440</v>
      </c>
      <c r="D882" s="85">
        <v>140.69900000000001</v>
      </c>
      <c r="E882" s="86">
        <v>9430</v>
      </c>
      <c r="F882" s="85">
        <v>372.71800000000002</v>
      </c>
      <c r="G882" s="87">
        <v>9430</v>
      </c>
      <c r="H882" s="85">
        <v>372.68599999999998</v>
      </c>
      <c r="I882" s="87">
        <v>9430</v>
      </c>
      <c r="J882" s="85">
        <v>351.03500000000003</v>
      </c>
      <c r="K882" s="87">
        <v>9430</v>
      </c>
      <c r="L882" s="85">
        <v>350.14499999999998</v>
      </c>
      <c r="M882" s="87">
        <v>9430</v>
      </c>
      <c r="N882" s="85">
        <v>350.85300000000001</v>
      </c>
      <c r="O882" s="87">
        <v>9410</v>
      </c>
      <c r="P882" s="85">
        <v>351.892</v>
      </c>
      <c r="Q882" s="87">
        <v>9430</v>
      </c>
      <c r="R882" s="85">
        <v>351.572</v>
      </c>
      <c r="S882" s="87">
        <v>9430</v>
      </c>
      <c r="T882" s="85">
        <v>352.22800000000001</v>
      </c>
      <c r="U882" s="87">
        <v>9420</v>
      </c>
      <c r="V882" s="85">
        <v>352.07499999999999</v>
      </c>
      <c r="W882" s="87">
        <v>9430</v>
      </c>
      <c r="X882" s="85">
        <v>351.41399999999999</v>
      </c>
      <c r="Y882" s="87">
        <v>9430</v>
      </c>
      <c r="Z882" s="85">
        <v>349.81599999999997</v>
      </c>
      <c r="AA882" s="87">
        <v>9430</v>
      </c>
      <c r="AB882" s="85">
        <v>350.22899999999998</v>
      </c>
      <c r="AC882" s="87">
        <v>9420</v>
      </c>
      <c r="AD882" s="85">
        <v>278.62099999999998</v>
      </c>
      <c r="AE882" s="87">
        <v>9430</v>
      </c>
      <c r="AF882" s="85">
        <v>280.233</v>
      </c>
      <c r="AG882" s="87">
        <v>9410</v>
      </c>
      <c r="AH882" s="85">
        <v>62.530999999999999</v>
      </c>
      <c r="AI882" s="87">
        <v>9410</v>
      </c>
      <c r="AJ882" s="85">
        <v>66.638999999999996</v>
      </c>
    </row>
    <row r="883" spans="1:36" ht="14.25" customHeight="1">
      <c r="A883" s="88">
        <v>9440</v>
      </c>
      <c r="B883" s="84">
        <v>141.49600000000001</v>
      </c>
      <c r="C883" s="88">
        <v>9450</v>
      </c>
      <c r="D883" s="85">
        <v>140.03700000000001</v>
      </c>
      <c r="E883" s="86">
        <v>9440</v>
      </c>
      <c r="F883" s="85">
        <v>371.27199999999999</v>
      </c>
      <c r="G883" s="87">
        <v>9440</v>
      </c>
      <c r="H883" s="85">
        <v>371.23899999999998</v>
      </c>
      <c r="I883" s="87">
        <v>9440</v>
      </c>
      <c r="J883" s="85">
        <v>349.82400000000001</v>
      </c>
      <c r="K883" s="87">
        <v>9440</v>
      </c>
      <c r="L883" s="85">
        <v>348.93200000000002</v>
      </c>
      <c r="M883" s="87">
        <v>9440</v>
      </c>
      <c r="N883" s="85">
        <v>349.64100000000002</v>
      </c>
      <c r="O883" s="87">
        <v>9420</v>
      </c>
      <c r="P883" s="85">
        <v>350.68</v>
      </c>
      <c r="Q883" s="87">
        <v>9440</v>
      </c>
      <c r="R883" s="85">
        <v>350.36099999999999</v>
      </c>
      <c r="S883" s="87">
        <v>9440</v>
      </c>
      <c r="T883" s="85">
        <v>351.01600000000002</v>
      </c>
      <c r="U883" s="87">
        <v>9430</v>
      </c>
      <c r="V883" s="85">
        <v>350.86500000000001</v>
      </c>
      <c r="W883" s="87">
        <v>9440</v>
      </c>
      <c r="X883" s="85">
        <v>350.20299999999997</v>
      </c>
      <c r="Y883" s="87">
        <v>9440</v>
      </c>
      <c r="Z883" s="85">
        <v>348.60500000000002</v>
      </c>
      <c r="AA883" s="87">
        <v>9440</v>
      </c>
      <c r="AB883" s="85">
        <v>349.01900000000001</v>
      </c>
      <c r="AC883" s="87">
        <v>9430</v>
      </c>
      <c r="AD883" s="85">
        <v>277.49099999999999</v>
      </c>
      <c r="AE883" s="87">
        <v>9440</v>
      </c>
      <c r="AF883" s="85">
        <v>279.10300000000001</v>
      </c>
      <c r="AG883" s="87">
        <v>9420</v>
      </c>
      <c r="AH883" s="85">
        <v>62.247</v>
      </c>
      <c r="AI883" s="87">
        <v>9420</v>
      </c>
      <c r="AJ883" s="85">
        <v>66.340999999999994</v>
      </c>
    </row>
    <row r="884" spans="1:36" ht="14.25" customHeight="1">
      <c r="A884" s="88">
        <v>9450</v>
      </c>
      <c r="B884" s="84">
        <v>140.83000000000001</v>
      </c>
      <c r="C884" s="88">
        <v>9460</v>
      </c>
      <c r="D884" s="85">
        <v>139.37700000000001</v>
      </c>
      <c r="E884" s="86">
        <v>9450</v>
      </c>
      <c r="F884" s="85">
        <v>369.82600000000002</v>
      </c>
      <c r="G884" s="87">
        <v>9450</v>
      </c>
      <c r="H884" s="85">
        <v>369.79199999999997</v>
      </c>
      <c r="I884" s="87">
        <v>9450</v>
      </c>
      <c r="J884" s="85">
        <v>348.61200000000002</v>
      </c>
      <c r="K884" s="87">
        <v>9450</v>
      </c>
      <c r="L884" s="85">
        <v>347.71899999999999</v>
      </c>
      <c r="M884" s="87">
        <v>9450</v>
      </c>
      <c r="N884" s="85">
        <v>348.42899999999997</v>
      </c>
      <c r="O884" s="87">
        <v>9430</v>
      </c>
      <c r="P884" s="85">
        <v>349.46899999999999</v>
      </c>
      <c r="Q884" s="87">
        <v>9450</v>
      </c>
      <c r="R884" s="85">
        <v>349.149</v>
      </c>
      <c r="S884" s="87">
        <v>9450</v>
      </c>
      <c r="T884" s="85">
        <v>349.80399999999997</v>
      </c>
      <c r="U884" s="87">
        <v>9440</v>
      </c>
      <c r="V884" s="89">
        <v>349.654</v>
      </c>
      <c r="W884" s="87">
        <v>9450</v>
      </c>
      <c r="X884" s="85">
        <v>348.99200000000002</v>
      </c>
      <c r="Y884" s="87">
        <v>9450</v>
      </c>
      <c r="Z884" s="85">
        <v>347.39400000000001</v>
      </c>
      <c r="AA884" s="87">
        <v>9450</v>
      </c>
      <c r="AB884" s="85">
        <v>347.80900000000003</v>
      </c>
      <c r="AC884" s="87">
        <v>9440</v>
      </c>
      <c r="AD884" s="85">
        <v>276.36200000000002</v>
      </c>
      <c r="AE884" s="87">
        <v>9450</v>
      </c>
      <c r="AF884" s="85">
        <v>277.97300000000001</v>
      </c>
      <c r="AG884" s="87">
        <v>9430</v>
      </c>
      <c r="AH884" s="85">
        <v>61.963000000000001</v>
      </c>
      <c r="AI884" s="87">
        <v>9430</v>
      </c>
      <c r="AJ884" s="85">
        <v>66.042000000000002</v>
      </c>
    </row>
    <row r="885" spans="1:36" ht="14.25" customHeight="1">
      <c r="A885" s="88">
        <v>9460</v>
      </c>
      <c r="B885" s="84">
        <v>140.16499999999999</v>
      </c>
      <c r="C885" s="88">
        <v>9470</v>
      </c>
      <c r="D885" s="85">
        <v>138.71700000000001</v>
      </c>
      <c r="E885" s="86">
        <v>9460</v>
      </c>
      <c r="F885" s="85">
        <v>368.38</v>
      </c>
      <c r="G885" s="87">
        <v>9460</v>
      </c>
      <c r="H885" s="85">
        <v>368.34500000000003</v>
      </c>
      <c r="I885" s="87">
        <v>9460</v>
      </c>
      <c r="J885" s="85">
        <v>347.40100000000001</v>
      </c>
      <c r="K885" s="87">
        <v>9460</v>
      </c>
      <c r="L885" s="85">
        <v>346.505</v>
      </c>
      <c r="M885" s="87">
        <v>9460</v>
      </c>
      <c r="N885" s="85">
        <v>347.21800000000002</v>
      </c>
      <c r="O885" s="87">
        <v>9440</v>
      </c>
      <c r="P885" s="85">
        <v>348.25700000000001</v>
      </c>
      <c r="Q885" s="87">
        <v>9460</v>
      </c>
      <c r="R885" s="85">
        <v>347.93700000000001</v>
      </c>
      <c r="S885" s="87">
        <v>9460</v>
      </c>
      <c r="T885" s="85">
        <v>348.59199999999998</v>
      </c>
      <c r="U885" s="87">
        <v>9450</v>
      </c>
      <c r="V885" s="89">
        <v>348.44400000000002</v>
      </c>
      <c r="W885" s="87">
        <v>9460</v>
      </c>
      <c r="X885" s="85">
        <v>347.78</v>
      </c>
      <c r="Y885" s="87">
        <v>9460</v>
      </c>
      <c r="Z885" s="85">
        <v>346.18299999999999</v>
      </c>
      <c r="AA885" s="87">
        <v>9460</v>
      </c>
      <c r="AB885" s="85">
        <v>346.59899999999999</v>
      </c>
      <c r="AC885" s="87">
        <v>9450</v>
      </c>
      <c r="AD885" s="85">
        <v>275.23399999999998</v>
      </c>
      <c r="AE885" s="87">
        <v>9460</v>
      </c>
      <c r="AF885" s="85">
        <v>276.84399999999999</v>
      </c>
      <c r="AG885" s="87">
        <v>9440</v>
      </c>
      <c r="AH885" s="85">
        <v>61.679000000000002</v>
      </c>
      <c r="AI885" s="87">
        <v>9440</v>
      </c>
      <c r="AJ885" s="85">
        <v>65.744</v>
      </c>
    </row>
    <row r="886" spans="1:36" ht="14.25" customHeight="1">
      <c r="A886" s="88">
        <v>9470</v>
      </c>
      <c r="B886" s="84">
        <v>139.50200000000001</v>
      </c>
      <c r="C886" s="88">
        <v>9480</v>
      </c>
      <c r="D886" s="85">
        <v>138.059</v>
      </c>
      <c r="E886" s="86">
        <v>9470</v>
      </c>
      <c r="F886" s="85">
        <v>366.935</v>
      </c>
      <c r="G886" s="87">
        <v>9470</v>
      </c>
      <c r="H886" s="85">
        <v>366.899</v>
      </c>
      <c r="I886" s="87">
        <v>9470</v>
      </c>
      <c r="J886" s="85">
        <v>346.18900000000002</v>
      </c>
      <c r="K886" s="87">
        <v>9470</v>
      </c>
      <c r="L886" s="85">
        <v>345.29199999999997</v>
      </c>
      <c r="M886" s="87">
        <v>9470</v>
      </c>
      <c r="N886" s="85">
        <v>346.00599999999997</v>
      </c>
      <c r="O886" s="87">
        <v>9450</v>
      </c>
      <c r="P886" s="85">
        <v>347.04500000000002</v>
      </c>
      <c r="Q886" s="87">
        <v>9470</v>
      </c>
      <c r="R886" s="85">
        <v>346.72500000000002</v>
      </c>
      <c r="S886" s="87">
        <v>9470</v>
      </c>
      <c r="T886" s="85">
        <v>347.38</v>
      </c>
      <c r="U886" s="87">
        <v>9460</v>
      </c>
      <c r="V886" s="85">
        <v>347.233</v>
      </c>
      <c r="W886" s="87">
        <v>9470</v>
      </c>
      <c r="X886" s="85">
        <v>346.56900000000002</v>
      </c>
      <c r="Y886" s="87">
        <v>9470</v>
      </c>
      <c r="Z886" s="85">
        <v>344.97300000000001</v>
      </c>
      <c r="AA886" s="87">
        <v>9470</v>
      </c>
      <c r="AB886" s="85">
        <v>345.38900000000001</v>
      </c>
      <c r="AC886" s="87">
        <v>9460</v>
      </c>
      <c r="AD886" s="85">
        <v>274.10700000000003</v>
      </c>
      <c r="AE886" s="87">
        <v>9470</v>
      </c>
      <c r="AF886" s="85">
        <v>275.71699999999998</v>
      </c>
      <c r="AG886" s="87">
        <v>9450</v>
      </c>
      <c r="AH886" s="85">
        <v>61.396000000000001</v>
      </c>
      <c r="AI886" s="87">
        <v>9450</v>
      </c>
      <c r="AJ886" s="85">
        <v>65.447000000000003</v>
      </c>
    </row>
    <row r="887" spans="1:36" ht="14.25" customHeight="1">
      <c r="A887" s="88">
        <v>9480</v>
      </c>
      <c r="B887" s="84">
        <v>138.839</v>
      </c>
      <c r="C887" s="88">
        <v>9490</v>
      </c>
      <c r="D887" s="92">
        <v>137.40299999999999</v>
      </c>
      <c r="E887" s="86">
        <v>9480</v>
      </c>
      <c r="F887" s="85">
        <v>365.49</v>
      </c>
      <c r="G887" s="87">
        <v>9480</v>
      </c>
      <c r="H887" s="85">
        <v>365.45299999999997</v>
      </c>
      <c r="I887" s="87">
        <v>9480</v>
      </c>
      <c r="J887" s="85">
        <v>344.97800000000001</v>
      </c>
      <c r="K887" s="87">
        <v>9480</v>
      </c>
      <c r="L887" s="85">
        <v>344.07900000000001</v>
      </c>
      <c r="M887" s="87">
        <v>9480</v>
      </c>
      <c r="N887" s="85">
        <v>344.79399999999998</v>
      </c>
      <c r="O887" s="87">
        <v>9460</v>
      </c>
      <c r="P887" s="85">
        <v>345.83300000000003</v>
      </c>
      <c r="Q887" s="87">
        <v>9480</v>
      </c>
      <c r="R887" s="85">
        <v>345.51400000000001</v>
      </c>
      <c r="S887" s="87">
        <v>9480</v>
      </c>
      <c r="T887" s="85">
        <v>346.16800000000001</v>
      </c>
      <c r="U887" s="87">
        <v>9470</v>
      </c>
      <c r="V887" s="85">
        <v>346.02300000000002</v>
      </c>
      <c r="W887" s="87">
        <v>9480</v>
      </c>
      <c r="X887" s="85">
        <v>345.358</v>
      </c>
      <c r="Y887" s="87">
        <v>9480</v>
      </c>
      <c r="Z887" s="85">
        <v>343.762</v>
      </c>
      <c r="AA887" s="87">
        <v>9480</v>
      </c>
      <c r="AB887" s="85">
        <v>344.17899999999997</v>
      </c>
      <c r="AC887" s="87">
        <v>9470</v>
      </c>
      <c r="AD887" s="85">
        <v>272.98</v>
      </c>
      <c r="AE887" s="87">
        <v>9480</v>
      </c>
      <c r="AF887" s="85">
        <v>274.58999999999997</v>
      </c>
      <c r="AG887" s="87">
        <v>9460</v>
      </c>
      <c r="AH887" s="85">
        <v>61.113</v>
      </c>
      <c r="AI887" s="87">
        <v>9460</v>
      </c>
      <c r="AJ887" s="85">
        <v>65.150000000000006</v>
      </c>
    </row>
    <row r="888" spans="1:36" ht="14.25" customHeight="1">
      <c r="A888" s="88">
        <v>9490</v>
      </c>
      <c r="B888" s="84">
        <v>138.179</v>
      </c>
      <c r="C888" s="88">
        <v>9500</v>
      </c>
      <c r="D888" s="85">
        <v>136.74700000000001</v>
      </c>
      <c r="E888" s="86">
        <v>9490</v>
      </c>
      <c r="F888" s="85">
        <v>364.04500000000002</v>
      </c>
      <c r="G888" s="87">
        <v>9490</v>
      </c>
      <c r="H888" s="85">
        <v>364.00700000000001</v>
      </c>
      <c r="I888" s="87">
        <v>9490</v>
      </c>
      <c r="J888" s="85">
        <v>343.767</v>
      </c>
      <c r="K888" s="87">
        <v>9490</v>
      </c>
      <c r="L888" s="85">
        <v>342.86500000000001</v>
      </c>
      <c r="M888" s="87">
        <v>9490</v>
      </c>
      <c r="N888" s="85">
        <v>343.58300000000003</v>
      </c>
      <c r="O888" s="87">
        <v>9470</v>
      </c>
      <c r="P888" s="85">
        <v>344.62099999999998</v>
      </c>
      <c r="Q888" s="87">
        <v>9490</v>
      </c>
      <c r="R888" s="85">
        <v>344.30200000000002</v>
      </c>
      <c r="S888" s="87">
        <v>9490</v>
      </c>
      <c r="T888" s="85">
        <v>344.95600000000002</v>
      </c>
      <c r="U888" s="87">
        <v>9480</v>
      </c>
      <c r="V888" s="85">
        <v>344.81299999999999</v>
      </c>
      <c r="W888" s="87">
        <v>9490</v>
      </c>
      <c r="X888" s="85">
        <v>344.14699999999999</v>
      </c>
      <c r="Y888" s="87">
        <v>9490</v>
      </c>
      <c r="Z888" s="85">
        <v>342.55099999999999</v>
      </c>
      <c r="AA888" s="87">
        <v>9490</v>
      </c>
      <c r="AB888" s="85">
        <v>342.96899999999999</v>
      </c>
      <c r="AC888" s="87">
        <v>9480</v>
      </c>
      <c r="AD888" s="85">
        <v>271.85500000000002</v>
      </c>
      <c r="AE888" s="87">
        <v>9490</v>
      </c>
      <c r="AF888" s="85">
        <v>273.464</v>
      </c>
      <c r="AG888" s="87">
        <v>9470</v>
      </c>
      <c r="AH888" s="85">
        <v>60.831000000000003</v>
      </c>
      <c r="AI888" s="87">
        <v>9470</v>
      </c>
      <c r="AJ888" s="85">
        <v>64.852999999999994</v>
      </c>
    </row>
    <row r="889" spans="1:36" ht="14.25" customHeight="1">
      <c r="A889" s="88">
        <v>9500</v>
      </c>
      <c r="B889" s="84">
        <v>137.51900000000001</v>
      </c>
      <c r="C889" s="88">
        <v>9510</v>
      </c>
      <c r="D889" s="85">
        <v>136.09299999999999</v>
      </c>
      <c r="E889" s="86">
        <v>9500</v>
      </c>
      <c r="F889" s="85">
        <v>362.6</v>
      </c>
      <c r="G889" s="87">
        <v>9500</v>
      </c>
      <c r="H889" s="85">
        <v>362.56099999999998</v>
      </c>
      <c r="I889" s="87">
        <v>9500</v>
      </c>
      <c r="J889" s="85">
        <v>342.55500000000001</v>
      </c>
      <c r="K889" s="87">
        <v>9500</v>
      </c>
      <c r="L889" s="85">
        <v>341.65199999999999</v>
      </c>
      <c r="M889" s="87">
        <v>9500</v>
      </c>
      <c r="N889" s="85">
        <v>342.37099999999998</v>
      </c>
      <c r="O889" s="87">
        <v>9480</v>
      </c>
      <c r="P889" s="85">
        <v>343.40899999999999</v>
      </c>
      <c r="Q889" s="87">
        <v>9500</v>
      </c>
      <c r="R889" s="85">
        <v>343.09</v>
      </c>
      <c r="S889" s="87">
        <v>9500</v>
      </c>
      <c r="T889" s="85">
        <v>343.74400000000003</v>
      </c>
      <c r="U889" s="87">
        <v>9490</v>
      </c>
      <c r="V889" s="85">
        <v>343.60199999999998</v>
      </c>
      <c r="W889" s="87">
        <v>9500</v>
      </c>
      <c r="X889" s="85">
        <v>342.93599999999998</v>
      </c>
      <c r="Y889" s="87">
        <v>9500</v>
      </c>
      <c r="Z889" s="85">
        <v>341.34</v>
      </c>
      <c r="AA889" s="87">
        <v>9500</v>
      </c>
      <c r="AB889" s="85">
        <v>341.75900000000001</v>
      </c>
      <c r="AC889" s="87">
        <v>9490</v>
      </c>
      <c r="AD889" s="85">
        <v>270.73</v>
      </c>
      <c r="AE889" s="87">
        <v>9500</v>
      </c>
      <c r="AF889" s="85">
        <v>272.339</v>
      </c>
      <c r="AG889" s="87">
        <v>9480</v>
      </c>
      <c r="AH889" s="85">
        <v>60.548999999999999</v>
      </c>
      <c r="AI889" s="87">
        <v>9480</v>
      </c>
      <c r="AJ889" s="85">
        <v>64.557000000000002</v>
      </c>
    </row>
    <row r="890" spans="1:36" ht="14.25" customHeight="1">
      <c r="A890" s="88">
        <v>9510</v>
      </c>
      <c r="B890" s="84">
        <v>136.86099999999999</v>
      </c>
      <c r="C890" s="88">
        <v>9520</v>
      </c>
      <c r="D890" s="85">
        <v>135.44</v>
      </c>
      <c r="E890" s="86">
        <v>9510</v>
      </c>
      <c r="F890" s="85">
        <v>361.15600000000001</v>
      </c>
      <c r="G890" s="87">
        <v>9510</v>
      </c>
      <c r="H890" s="85">
        <v>361.11599999999999</v>
      </c>
      <c r="I890" s="87">
        <v>9510</v>
      </c>
      <c r="J890" s="85">
        <v>341.34399999999999</v>
      </c>
      <c r="K890" s="87">
        <v>9510</v>
      </c>
      <c r="L890" s="85">
        <v>340.43900000000002</v>
      </c>
      <c r="M890" s="87">
        <v>9510</v>
      </c>
      <c r="N890" s="85">
        <v>341.15899999999999</v>
      </c>
      <c r="O890" s="87">
        <v>9490</v>
      </c>
      <c r="P890" s="85">
        <v>342.197</v>
      </c>
      <c r="Q890" s="87">
        <v>9510</v>
      </c>
      <c r="R890" s="85">
        <v>341.87900000000002</v>
      </c>
      <c r="S890" s="87">
        <v>9510</v>
      </c>
      <c r="T890" s="85">
        <v>342.53199999999998</v>
      </c>
      <c r="U890" s="87">
        <v>9500</v>
      </c>
      <c r="V890" s="85">
        <v>342.392</v>
      </c>
      <c r="W890" s="87">
        <v>9510</v>
      </c>
      <c r="X890" s="85">
        <v>341.72500000000002</v>
      </c>
      <c r="Y890" s="87">
        <v>9510</v>
      </c>
      <c r="Z890" s="85">
        <v>340.13</v>
      </c>
      <c r="AA890" s="87">
        <v>9510</v>
      </c>
      <c r="AB890" s="85">
        <v>340.54899999999998</v>
      </c>
      <c r="AC890" s="87">
        <v>9500</v>
      </c>
      <c r="AD890" s="85">
        <v>269.60599999999999</v>
      </c>
      <c r="AE890" s="87">
        <v>9510</v>
      </c>
      <c r="AF890" s="85">
        <v>271.214</v>
      </c>
      <c r="AG890" s="87">
        <v>9490</v>
      </c>
      <c r="AH890" s="85">
        <v>60.268000000000001</v>
      </c>
      <c r="AI890" s="87">
        <v>9490</v>
      </c>
      <c r="AJ890" s="85">
        <v>64.260999999999996</v>
      </c>
    </row>
    <row r="891" spans="1:36" ht="14.25" customHeight="1">
      <c r="A891" s="88">
        <v>9520</v>
      </c>
      <c r="B891" s="84">
        <v>136.20400000000001</v>
      </c>
      <c r="C891" s="88">
        <v>9530</v>
      </c>
      <c r="D891" s="85">
        <v>134.78899999999999</v>
      </c>
      <c r="E891" s="86">
        <v>9520</v>
      </c>
      <c r="F891" s="85">
        <v>359.71100000000001</v>
      </c>
      <c r="G891" s="87">
        <v>9520</v>
      </c>
      <c r="H891" s="85">
        <v>359.67099999999999</v>
      </c>
      <c r="I891" s="87">
        <v>9520</v>
      </c>
      <c r="J891" s="85">
        <v>340.13200000000001</v>
      </c>
      <c r="K891" s="87">
        <v>9520</v>
      </c>
      <c r="L891" s="85">
        <v>339.22500000000002</v>
      </c>
      <c r="M891" s="87">
        <v>9520</v>
      </c>
      <c r="N891" s="85">
        <v>339.94799999999998</v>
      </c>
      <c r="O891" s="87">
        <v>9500</v>
      </c>
      <c r="P891" s="85">
        <v>340.98500000000001</v>
      </c>
      <c r="Q891" s="87">
        <v>9520</v>
      </c>
      <c r="R891" s="85">
        <v>340.66699999999997</v>
      </c>
      <c r="S891" s="87">
        <v>9520</v>
      </c>
      <c r="T891" s="85">
        <v>341.32</v>
      </c>
      <c r="U891" s="87">
        <v>9510</v>
      </c>
      <c r="V891" s="85">
        <v>341.18200000000002</v>
      </c>
      <c r="W891" s="87">
        <v>9520</v>
      </c>
      <c r="X891" s="85">
        <v>340.51400000000001</v>
      </c>
      <c r="Y891" s="87">
        <v>9520</v>
      </c>
      <c r="Z891" s="85">
        <v>338.91899999999998</v>
      </c>
      <c r="AA891" s="87">
        <v>9520</v>
      </c>
      <c r="AB891" s="85">
        <v>339.339</v>
      </c>
      <c r="AC891" s="87">
        <v>9510</v>
      </c>
      <c r="AD891" s="85">
        <v>268.48399999999998</v>
      </c>
      <c r="AE891" s="87">
        <v>9520</v>
      </c>
      <c r="AF891" s="85">
        <v>270.09100000000001</v>
      </c>
      <c r="AG891" s="87">
        <v>9500</v>
      </c>
      <c r="AH891" s="85">
        <v>59.985999999999997</v>
      </c>
      <c r="AI891" s="87">
        <v>9500</v>
      </c>
      <c r="AJ891" s="85">
        <v>63.966000000000001</v>
      </c>
    </row>
    <row r="892" spans="1:36" ht="14.25" customHeight="1">
      <c r="A892" s="88">
        <v>9530</v>
      </c>
      <c r="B892" s="84">
        <v>135.548</v>
      </c>
      <c r="C892" s="88">
        <v>9540</v>
      </c>
      <c r="D892" s="85">
        <v>134.13900000000001</v>
      </c>
      <c r="E892" s="86">
        <v>9530</v>
      </c>
      <c r="F892" s="85">
        <v>358.267</v>
      </c>
      <c r="G892" s="87">
        <v>9530</v>
      </c>
      <c r="H892" s="85">
        <v>358.226</v>
      </c>
      <c r="I892" s="87">
        <v>9530</v>
      </c>
      <c r="J892" s="85">
        <v>338.92099999999999</v>
      </c>
      <c r="K892" s="87">
        <v>9530</v>
      </c>
      <c r="L892" s="85">
        <v>338.012</v>
      </c>
      <c r="M892" s="87">
        <v>9530</v>
      </c>
      <c r="N892" s="85">
        <v>338.73599999999999</v>
      </c>
      <c r="O892" s="87">
        <v>9510</v>
      </c>
      <c r="P892" s="85">
        <v>339.77300000000002</v>
      </c>
      <c r="Q892" s="87">
        <v>9530</v>
      </c>
      <c r="R892" s="85">
        <v>339.45499999999998</v>
      </c>
      <c r="S892" s="87">
        <v>9530</v>
      </c>
      <c r="T892" s="85">
        <v>340.108</v>
      </c>
      <c r="U892" s="87">
        <v>9520</v>
      </c>
      <c r="V892" s="85">
        <v>339.971</v>
      </c>
      <c r="W892" s="87">
        <v>9530</v>
      </c>
      <c r="X892" s="85">
        <v>339.303</v>
      </c>
      <c r="Y892" s="87">
        <v>9530</v>
      </c>
      <c r="Z892" s="85">
        <v>337.70800000000003</v>
      </c>
      <c r="AA892" s="87">
        <v>9530</v>
      </c>
      <c r="AB892" s="85">
        <v>338.12799999999999</v>
      </c>
      <c r="AC892" s="87">
        <v>9520</v>
      </c>
      <c r="AD892" s="85">
        <v>267.36200000000002</v>
      </c>
      <c r="AE892" s="87">
        <v>9530</v>
      </c>
      <c r="AF892" s="85">
        <v>268.96899999999999</v>
      </c>
      <c r="AG892" s="87">
        <v>9510</v>
      </c>
      <c r="AH892" s="85">
        <v>59.706000000000003</v>
      </c>
      <c r="AI892" s="87">
        <v>9510</v>
      </c>
      <c r="AJ892" s="85">
        <v>63.670999999999999</v>
      </c>
    </row>
    <row r="893" spans="1:36" ht="14.25" customHeight="1">
      <c r="A893" s="88">
        <v>9540</v>
      </c>
      <c r="B893" s="84">
        <v>134.89400000000001</v>
      </c>
      <c r="C893" s="88">
        <v>9550</v>
      </c>
      <c r="D893" s="85">
        <v>133.49</v>
      </c>
      <c r="E893" s="86">
        <v>9540</v>
      </c>
      <c r="F893" s="85">
        <v>356.82400000000001</v>
      </c>
      <c r="G893" s="87">
        <v>9540</v>
      </c>
      <c r="H893" s="85">
        <v>356.78199999999998</v>
      </c>
      <c r="I893" s="87">
        <v>9540</v>
      </c>
      <c r="J893" s="85">
        <v>337.71</v>
      </c>
      <c r="K893" s="87">
        <v>9540</v>
      </c>
      <c r="L893" s="85">
        <v>336.79899999999998</v>
      </c>
      <c r="M893" s="87">
        <v>9540</v>
      </c>
      <c r="N893" s="85">
        <v>337.524</v>
      </c>
      <c r="O893" s="87">
        <v>9520</v>
      </c>
      <c r="P893" s="85">
        <v>338.56099999999998</v>
      </c>
      <c r="Q893" s="87">
        <v>9540</v>
      </c>
      <c r="R893" s="85">
        <v>338.24400000000003</v>
      </c>
      <c r="S893" s="87">
        <v>9540</v>
      </c>
      <c r="T893" s="85">
        <v>338.89600000000002</v>
      </c>
      <c r="U893" s="87">
        <v>9530</v>
      </c>
      <c r="V893" s="85">
        <v>338.76100000000002</v>
      </c>
      <c r="W893" s="87">
        <v>9540</v>
      </c>
      <c r="X893" s="85">
        <v>338.09199999999998</v>
      </c>
      <c r="Y893" s="87">
        <v>9540</v>
      </c>
      <c r="Z893" s="85">
        <v>336.49700000000001</v>
      </c>
      <c r="AA893" s="87">
        <v>9540</v>
      </c>
      <c r="AB893" s="85">
        <v>336.91800000000001</v>
      </c>
      <c r="AC893" s="87">
        <v>9530</v>
      </c>
      <c r="AD893" s="85">
        <v>266.24099999999999</v>
      </c>
      <c r="AE893" s="87">
        <v>9540</v>
      </c>
      <c r="AF893" s="85">
        <v>267.84699999999998</v>
      </c>
      <c r="AG893" s="87">
        <v>9520</v>
      </c>
      <c r="AH893" s="85">
        <v>59.426000000000002</v>
      </c>
      <c r="AI893" s="87">
        <v>9520</v>
      </c>
      <c r="AJ893" s="85">
        <v>63.375999999999998</v>
      </c>
    </row>
    <row r="894" spans="1:36" ht="14.25" customHeight="1">
      <c r="A894" s="88">
        <v>9550</v>
      </c>
      <c r="B894" s="84">
        <v>134.24100000000001</v>
      </c>
      <c r="C894" s="88">
        <v>9560</v>
      </c>
      <c r="D894" s="85">
        <v>132.84200000000001</v>
      </c>
      <c r="E894" s="86">
        <v>9550</v>
      </c>
      <c r="F894" s="85">
        <v>355.38</v>
      </c>
      <c r="G894" s="87">
        <v>9550</v>
      </c>
      <c r="H894" s="85">
        <v>355.33800000000002</v>
      </c>
      <c r="I894" s="87">
        <v>9550</v>
      </c>
      <c r="J894" s="85">
        <v>336.49799999999999</v>
      </c>
      <c r="K894" s="87">
        <v>9550</v>
      </c>
      <c r="L894" s="85">
        <v>335.58499999999998</v>
      </c>
      <c r="M894" s="87">
        <v>9550</v>
      </c>
      <c r="N894" s="85">
        <v>336.31299999999999</v>
      </c>
      <c r="O894" s="87">
        <v>9530</v>
      </c>
      <c r="P894" s="85">
        <v>337.34899999999999</v>
      </c>
      <c r="Q894" s="87">
        <v>9550</v>
      </c>
      <c r="R894" s="85">
        <v>337.03199999999998</v>
      </c>
      <c r="S894" s="87">
        <v>9550</v>
      </c>
      <c r="T894" s="85">
        <v>337.68400000000003</v>
      </c>
      <c r="U894" s="87">
        <v>9540</v>
      </c>
      <c r="V894" s="85">
        <v>337.55099999999999</v>
      </c>
      <c r="W894" s="87">
        <v>9550</v>
      </c>
      <c r="X894" s="85">
        <v>336.88099999999997</v>
      </c>
      <c r="Y894" s="87">
        <v>9550</v>
      </c>
      <c r="Z894" s="85">
        <v>335.28699999999998</v>
      </c>
      <c r="AA894" s="87">
        <v>9550</v>
      </c>
      <c r="AB894" s="85">
        <v>335.70800000000003</v>
      </c>
      <c r="AC894" s="87">
        <v>9540</v>
      </c>
      <c r="AD894" s="85">
        <v>265.12099999999998</v>
      </c>
      <c r="AE894" s="87">
        <v>9550</v>
      </c>
      <c r="AF894" s="85">
        <v>266.72699999999998</v>
      </c>
      <c r="AG894" s="87">
        <v>9530</v>
      </c>
      <c r="AH894" s="85">
        <v>59.146000000000001</v>
      </c>
      <c r="AI894" s="87">
        <v>9530</v>
      </c>
      <c r="AJ894" s="85">
        <v>63.082000000000001</v>
      </c>
    </row>
    <row r="895" spans="1:36" ht="14.25" customHeight="1">
      <c r="A895" s="88">
        <v>9560</v>
      </c>
      <c r="B895" s="84">
        <v>133.589</v>
      </c>
      <c r="C895" s="88">
        <v>9570</v>
      </c>
      <c r="D895" s="85">
        <v>132.196</v>
      </c>
      <c r="E895" s="86">
        <v>9560</v>
      </c>
      <c r="F895" s="85">
        <v>353.93700000000001</v>
      </c>
      <c r="G895" s="87">
        <v>9560</v>
      </c>
      <c r="H895" s="85">
        <v>353.89400000000001</v>
      </c>
      <c r="I895" s="87">
        <v>9560</v>
      </c>
      <c r="J895" s="85">
        <v>335.28699999999998</v>
      </c>
      <c r="K895" s="87">
        <v>9560</v>
      </c>
      <c r="L895" s="85">
        <v>334.37200000000001</v>
      </c>
      <c r="M895" s="87">
        <v>9560</v>
      </c>
      <c r="N895" s="85">
        <v>335.101</v>
      </c>
      <c r="O895" s="87">
        <v>9540</v>
      </c>
      <c r="P895" s="85">
        <v>336.137</v>
      </c>
      <c r="Q895" s="87">
        <v>9560</v>
      </c>
      <c r="R895" s="85">
        <v>335.82</v>
      </c>
      <c r="S895" s="87">
        <v>9560</v>
      </c>
      <c r="T895" s="85">
        <v>336.47199999999998</v>
      </c>
      <c r="U895" s="87">
        <v>9550</v>
      </c>
      <c r="V895" s="85">
        <v>336.34</v>
      </c>
      <c r="W895" s="87">
        <v>9560</v>
      </c>
      <c r="X895" s="85">
        <v>335.67</v>
      </c>
      <c r="Y895" s="87">
        <v>9560</v>
      </c>
      <c r="Z895" s="85">
        <v>334.07600000000002</v>
      </c>
      <c r="AA895" s="87">
        <v>9560</v>
      </c>
      <c r="AB895" s="85">
        <v>334.49799999999999</v>
      </c>
      <c r="AC895" s="87">
        <v>9550</v>
      </c>
      <c r="AD895" s="85">
        <v>264.00200000000001</v>
      </c>
      <c r="AE895" s="87">
        <v>9560</v>
      </c>
      <c r="AF895" s="85">
        <v>265.60700000000003</v>
      </c>
      <c r="AG895" s="87">
        <v>9540</v>
      </c>
      <c r="AH895" s="85">
        <v>58.866999999999997</v>
      </c>
      <c r="AI895" s="87">
        <v>9540</v>
      </c>
      <c r="AJ895" s="85">
        <v>62.787999999999997</v>
      </c>
    </row>
    <row r="896" spans="1:36" ht="14.25" customHeight="1">
      <c r="A896" s="88">
        <v>9570</v>
      </c>
      <c r="B896" s="84">
        <v>132.93799999999999</v>
      </c>
      <c r="C896" s="88">
        <v>9580</v>
      </c>
      <c r="D896" s="85">
        <v>131.55000000000001</v>
      </c>
      <c r="E896" s="86">
        <v>9570</v>
      </c>
      <c r="F896" s="85">
        <v>352.495</v>
      </c>
      <c r="G896" s="87">
        <v>9570</v>
      </c>
      <c r="H896" s="85">
        <v>352.45</v>
      </c>
      <c r="I896" s="87">
        <v>9570</v>
      </c>
      <c r="J896" s="85">
        <v>334.07499999999999</v>
      </c>
      <c r="K896" s="87">
        <v>9570</v>
      </c>
      <c r="L896" s="85">
        <v>333.15899999999999</v>
      </c>
      <c r="M896" s="87">
        <v>9570</v>
      </c>
      <c r="N896" s="85">
        <v>333.88900000000001</v>
      </c>
      <c r="O896" s="87">
        <v>9550</v>
      </c>
      <c r="P896" s="85">
        <v>334.92500000000001</v>
      </c>
      <c r="Q896" s="87">
        <v>9570</v>
      </c>
      <c r="R896" s="85">
        <v>334.60899999999998</v>
      </c>
      <c r="S896" s="87">
        <v>9570</v>
      </c>
      <c r="T896" s="85">
        <v>335.26</v>
      </c>
      <c r="U896" s="87">
        <v>9560</v>
      </c>
      <c r="V896" s="85">
        <v>335.13</v>
      </c>
      <c r="W896" s="87">
        <v>9570</v>
      </c>
      <c r="X896" s="85">
        <v>334.459</v>
      </c>
      <c r="Y896" s="87">
        <v>9570</v>
      </c>
      <c r="Z896" s="85">
        <v>332.86500000000001</v>
      </c>
      <c r="AA896" s="87">
        <v>9570</v>
      </c>
      <c r="AB896" s="85">
        <v>333.28800000000001</v>
      </c>
      <c r="AC896" s="87">
        <v>9560</v>
      </c>
      <c r="AD896" s="85">
        <v>262.935</v>
      </c>
      <c r="AE896" s="87">
        <v>9570</v>
      </c>
      <c r="AF896" s="85">
        <v>264.488</v>
      </c>
      <c r="AG896" s="87">
        <v>9550</v>
      </c>
      <c r="AH896" s="85">
        <v>58.588000000000001</v>
      </c>
      <c r="AI896" s="87">
        <v>9550</v>
      </c>
      <c r="AJ896" s="85">
        <v>62.494999999999997</v>
      </c>
    </row>
    <row r="897" spans="1:36" ht="14.25" customHeight="1">
      <c r="A897" s="88">
        <v>9580</v>
      </c>
      <c r="B897" s="84">
        <v>132.28899999999999</v>
      </c>
      <c r="C897" s="88">
        <v>9590</v>
      </c>
      <c r="D897" s="85">
        <v>130.90600000000001</v>
      </c>
      <c r="E897" s="86">
        <v>9580</v>
      </c>
      <c r="F897" s="85">
        <v>351.05200000000002</v>
      </c>
      <c r="G897" s="87">
        <v>9580</v>
      </c>
      <c r="H897" s="85">
        <v>351.00799999999998</v>
      </c>
      <c r="I897" s="87">
        <v>9580</v>
      </c>
      <c r="J897" s="85">
        <v>332.86399999999998</v>
      </c>
      <c r="K897" s="87">
        <v>9580</v>
      </c>
      <c r="L897" s="85">
        <v>331.94499999999999</v>
      </c>
      <c r="M897" s="87">
        <v>9580</v>
      </c>
      <c r="N897" s="85">
        <v>332.678</v>
      </c>
      <c r="O897" s="87">
        <v>9560</v>
      </c>
      <c r="P897" s="85">
        <v>333.71300000000002</v>
      </c>
      <c r="Q897" s="87">
        <v>9580</v>
      </c>
      <c r="R897" s="85">
        <v>333.39699999999999</v>
      </c>
      <c r="S897" s="87">
        <v>9580</v>
      </c>
      <c r="T897" s="85">
        <v>334.048</v>
      </c>
      <c r="U897" s="87">
        <v>9570</v>
      </c>
      <c r="V897" s="85">
        <v>333.91899999999998</v>
      </c>
      <c r="W897" s="87">
        <v>9580</v>
      </c>
      <c r="X897" s="85">
        <v>333.24700000000001</v>
      </c>
      <c r="Y897" s="87">
        <v>9580</v>
      </c>
      <c r="Z897" s="85">
        <v>331.654</v>
      </c>
      <c r="AA897" s="87">
        <v>9580</v>
      </c>
      <c r="AB897" s="85">
        <v>332.07799999999997</v>
      </c>
      <c r="AC897" s="87">
        <v>9570</v>
      </c>
      <c r="AD897" s="85">
        <v>261.88200000000001</v>
      </c>
      <c r="AE897" s="87">
        <v>9580</v>
      </c>
      <c r="AF897" s="85">
        <v>263.37</v>
      </c>
      <c r="AG897" s="87">
        <v>9560</v>
      </c>
      <c r="AH897" s="85">
        <v>58.308999999999997</v>
      </c>
      <c r="AI897" s="87">
        <v>9560</v>
      </c>
      <c r="AJ897" s="85">
        <v>62.201999999999998</v>
      </c>
    </row>
    <row r="898" spans="1:36" ht="14.25" customHeight="1">
      <c r="A898" s="88">
        <v>9590</v>
      </c>
      <c r="B898" s="84">
        <v>131.64099999999999</v>
      </c>
      <c r="C898" s="88">
        <v>9600</v>
      </c>
      <c r="D898" s="85">
        <v>130.26400000000001</v>
      </c>
      <c r="E898" s="86">
        <v>9590</v>
      </c>
      <c r="F898" s="85">
        <v>349.61099999999999</v>
      </c>
      <c r="G898" s="87">
        <v>9590</v>
      </c>
      <c r="H898" s="85">
        <v>349.565</v>
      </c>
      <c r="I898" s="87">
        <v>9590</v>
      </c>
      <c r="J898" s="85">
        <v>331.65199999999999</v>
      </c>
      <c r="K898" s="87">
        <v>9590</v>
      </c>
      <c r="L898" s="85">
        <v>330.73200000000003</v>
      </c>
      <c r="M898" s="87">
        <v>9590</v>
      </c>
      <c r="N898" s="85">
        <v>331.46600000000001</v>
      </c>
      <c r="O898" s="87">
        <v>9570</v>
      </c>
      <c r="P898" s="85">
        <v>332.50099999999998</v>
      </c>
      <c r="Q898" s="87">
        <v>9590</v>
      </c>
      <c r="R898" s="85">
        <v>332.185</v>
      </c>
      <c r="S898" s="87">
        <v>9590</v>
      </c>
      <c r="T898" s="85">
        <v>332.83600000000001</v>
      </c>
      <c r="U898" s="87">
        <v>9580</v>
      </c>
      <c r="V898" s="85">
        <v>332.709</v>
      </c>
      <c r="W898" s="87">
        <v>9590</v>
      </c>
      <c r="X898" s="85">
        <v>332.036</v>
      </c>
      <c r="Y898" s="87">
        <v>9590</v>
      </c>
      <c r="Z898" s="85">
        <v>330.44400000000002</v>
      </c>
      <c r="AA898" s="87">
        <v>9590</v>
      </c>
      <c r="AB898" s="85">
        <v>330.86799999999999</v>
      </c>
      <c r="AC898" s="87">
        <v>9580</v>
      </c>
      <c r="AD898" s="85">
        <v>260.82900000000001</v>
      </c>
      <c r="AE898" s="87">
        <v>9590</v>
      </c>
      <c r="AF898" s="85">
        <v>262.25299999999999</v>
      </c>
      <c r="AG898" s="87">
        <v>9570</v>
      </c>
      <c r="AH898" s="85">
        <v>58.030999999999999</v>
      </c>
      <c r="AI898" s="87">
        <v>9570</v>
      </c>
      <c r="AJ898" s="85">
        <v>61.91</v>
      </c>
    </row>
    <row r="899" spans="1:36" ht="14.25" customHeight="1">
      <c r="A899" s="88">
        <v>9600</v>
      </c>
      <c r="B899" s="84">
        <v>130.995</v>
      </c>
      <c r="C899" s="88">
        <v>9610</v>
      </c>
      <c r="D899" s="85">
        <v>129.62299999999999</v>
      </c>
      <c r="E899" s="86">
        <v>9600</v>
      </c>
      <c r="F899" s="85">
        <v>348.16899999999998</v>
      </c>
      <c r="G899" s="87">
        <v>9600</v>
      </c>
      <c r="H899" s="85">
        <v>348.12299999999999</v>
      </c>
      <c r="I899" s="87">
        <v>9600</v>
      </c>
      <c r="J899" s="85">
        <v>330.44099999999997</v>
      </c>
      <c r="K899" s="87">
        <v>9600</v>
      </c>
      <c r="L899" s="85">
        <v>329.51799999999997</v>
      </c>
      <c r="M899" s="87">
        <v>9600</v>
      </c>
      <c r="N899" s="85">
        <v>330.25400000000002</v>
      </c>
      <c r="O899" s="87">
        <v>9580</v>
      </c>
      <c r="P899" s="85">
        <v>331.29</v>
      </c>
      <c r="Q899" s="87">
        <v>9600</v>
      </c>
      <c r="R899" s="85">
        <v>330.97399999999999</v>
      </c>
      <c r="S899" s="87">
        <v>9600</v>
      </c>
      <c r="T899" s="85">
        <v>331.62400000000002</v>
      </c>
      <c r="U899" s="87">
        <v>9590</v>
      </c>
      <c r="V899" s="85">
        <v>331.49900000000002</v>
      </c>
      <c r="W899" s="87">
        <v>9600</v>
      </c>
      <c r="X899" s="85">
        <v>330.82499999999999</v>
      </c>
      <c r="Y899" s="87">
        <v>9600</v>
      </c>
      <c r="Z899" s="85">
        <v>329.233</v>
      </c>
      <c r="AA899" s="87">
        <v>9600</v>
      </c>
      <c r="AB899" s="85">
        <v>329.65800000000002</v>
      </c>
      <c r="AC899" s="87">
        <v>9590</v>
      </c>
      <c r="AD899" s="85">
        <v>259.77699999999999</v>
      </c>
      <c r="AE899" s="87">
        <v>9600</v>
      </c>
      <c r="AF899" s="85">
        <v>261.137</v>
      </c>
      <c r="AG899" s="87">
        <v>9580</v>
      </c>
      <c r="AH899" s="85">
        <v>57.753</v>
      </c>
      <c r="AI899" s="87">
        <v>9580</v>
      </c>
      <c r="AJ899" s="85">
        <v>61.618000000000002</v>
      </c>
    </row>
    <row r="900" spans="1:36" ht="14.25" customHeight="1">
      <c r="A900" s="88">
        <v>9610</v>
      </c>
      <c r="B900" s="84">
        <v>130.34899999999999</v>
      </c>
      <c r="C900" s="88">
        <v>9620</v>
      </c>
      <c r="D900" s="85">
        <v>128.983</v>
      </c>
      <c r="E900" s="86">
        <v>9610</v>
      </c>
      <c r="F900" s="85">
        <v>346.72800000000001</v>
      </c>
      <c r="G900" s="87">
        <v>9610</v>
      </c>
      <c r="H900" s="85">
        <v>346.68099999999998</v>
      </c>
      <c r="I900" s="87">
        <v>9610</v>
      </c>
      <c r="J900" s="85">
        <v>329.23</v>
      </c>
      <c r="K900" s="87">
        <v>9610</v>
      </c>
      <c r="L900" s="85">
        <v>328.30500000000001</v>
      </c>
      <c r="M900" s="87">
        <v>9610</v>
      </c>
      <c r="N900" s="85">
        <v>329.04300000000001</v>
      </c>
      <c r="O900" s="87">
        <v>9590</v>
      </c>
      <c r="P900" s="85">
        <v>330.07799999999997</v>
      </c>
      <c r="Q900" s="87">
        <v>9610</v>
      </c>
      <c r="R900" s="85">
        <v>329.762</v>
      </c>
      <c r="S900" s="87">
        <v>9610</v>
      </c>
      <c r="T900" s="85">
        <v>330.41199999999998</v>
      </c>
      <c r="U900" s="87">
        <v>9600</v>
      </c>
      <c r="V900" s="85">
        <v>330.28800000000001</v>
      </c>
      <c r="W900" s="87">
        <v>9610</v>
      </c>
      <c r="X900" s="85">
        <v>329.61399999999998</v>
      </c>
      <c r="Y900" s="87">
        <v>9610</v>
      </c>
      <c r="Z900" s="85">
        <v>328.02199999999999</v>
      </c>
      <c r="AA900" s="87">
        <v>9610</v>
      </c>
      <c r="AB900" s="85">
        <v>328.44799999999998</v>
      </c>
      <c r="AC900" s="87">
        <v>9600</v>
      </c>
      <c r="AD900" s="85">
        <v>258.72399999999999</v>
      </c>
      <c r="AE900" s="87">
        <v>9610</v>
      </c>
      <c r="AF900" s="85">
        <v>260.02199999999999</v>
      </c>
      <c r="AG900" s="87">
        <v>9590</v>
      </c>
      <c r="AH900" s="85">
        <v>57.475999999999999</v>
      </c>
      <c r="AI900" s="87">
        <v>9590</v>
      </c>
      <c r="AJ900" s="85">
        <v>61.326000000000001</v>
      </c>
    </row>
    <row r="901" spans="1:36" ht="14.25" customHeight="1">
      <c r="A901" s="88">
        <v>9620</v>
      </c>
      <c r="B901" s="84">
        <v>129.70500000000001</v>
      </c>
      <c r="C901" s="88">
        <v>9630</v>
      </c>
      <c r="D901" s="85">
        <v>128.34399999999999</v>
      </c>
      <c r="E901" s="86">
        <v>9620</v>
      </c>
      <c r="F901" s="85">
        <v>345.28699999999998</v>
      </c>
      <c r="G901" s="87">
        <v>9620</v>
      </c>
      <c r="H901" s="85">
        <v>345.24</v>
      </c>
      <c r="I901" s="87">
        <v>9620</v>
      </c>
      <c r="J901" s="85">
        <v>328.01799999999997</v>
      </c>
      <c r="K901" s="87">
        <v>9620</v>
      </c>
      <c r="L901" s="85">
        <v>327.09199999999998</v>
      </c>
      <c r="M901" s="87">
        <v>9620</v>
      </c>
      <c r="N901" s="85">
        <v>327.83100000000002</v>
      </c>
      <c r="O901" s="87">
        <v>9600</v>
      </c>
      <c r="P901" s="85">
        <v>328.86599999999999</v>
      </c>
      <c r="Q901" s="87">
        <v>9620</v>
      </c>
      <c r="R901" s="85">
        <v>328.55</v>
      </c>
      <c r="S901" s="87">
        <v>9620</v>
      </c>
      <c r="T901" s="85">
        <v>329.2</v>
      </c>
      <c r="U901" s="87">
        <v>9610</v>
      </c>
      <c r="V901" s="85">
        <v>329.07799999999997</v>
      </c>
      <c r="W901" s="87">
        <v>9620</v>
      </c>
      <c r="X901" s="85">
        <v>328.40300000000002</v>
      </c>
      <c r="Y901" s="87">
        <v>9620</v>
      </c>
      <c r="Z901" s="85">
        <v>326.81099999999998</v>
      </c>
      <c r="AA901" s="87">
        <v>9620</v>
      </c>
      <c r="AB901" s="85">
        <v>327.238</v>
      </c>
      <c r="AC901" s="87">
        <v>9610</v>
      </c>
      <c r="AD901" s="85">
        <v>257.67099999999999</v>
      </c>
      <c r="AE901" s="87">
        <v>9620</v>
      </c>
      <c r="AF901" s="85">
        <v>258.90800000000002</v>
      </c>
      <c r="AG901" s="87">
        <v>9600</v>
      </c>
      <c r="AH901" s="85">
        <v>57.2</v>
      </c>
      <c r="AI901" s="87">
        <v>9600</v>
      </c>
      <c r="AJ901" s="85">
        <v>61.034999999999997</v>
      </c>
    </row>
    <row r="902" spans="1:36" ht="14.25" customHeight="1">
      <c r="A902" s="88">
        <v>9630</v>
      </c>
      <c r="B902" s="84">
        <v>129.06200000000001</v>
      </c>
      <c r="C902" s="88">
        <v>9640</v>
      </c>
      <c r="D902" s="85">
        <v>127.706</v>
      </c>
      <c r="E902" s="86">
        <v>9630</v>
      </c>
      <c r="F902" s="85">
        <v>343.84699999999998</v>
      </c>
      <c r="G902" s="87">
        <v>9630</v>
      </c>
      <c r="H902" s="85">
        <v>343.79899999999998</v>
      </c>
      <c r="I902" s="87">
        <v>9630</v>
      </c>
      <c r="J902" s="85">
        <v>326.80700000000002</v>
      </c>
      <c r="K902" s="87">
        <v>9630</v>
      </c>
      <c r="L902" s="85">
        <v>325.87799999999999</v>
      </c>
      <c r="M902" s="87">
        <v>9630</v>
      </c>
      <c r="N902" s="85">
        <v>326.61900000000003</v>
      </c>
      <c r="O902" s="87">
        <v>9610</v>
      </c>
      <c r="P902" s="85">
        <v>327.654</v>
      </c>
      <c r="Q902" s="87">
        <v>9630</v>
      </c>
      <c r="R902" s="85">
        <v>327.339</v>
      </c>
      <c r="S902" s="87">
        <v>9630</v>
      </c>
      <c r="T902" s="85">
        <v>327.988</v>
      </c>
      <c r="U902" s="87">
        <v>9620</v>
      </c>
      <c r="V902" s="85">
        <v>327.86799999999999</v>
      </c>
      <c r="W902" s="87">
        <v>9630</v>
      </c>
      <c r="X902" s="85">
        <v>327.19200000000001</v>
      </c>
      <c r="Y902" s="87">
        <v>9630</v>
      </c>
      <c r="Z902" s="85">
        <v>325.601</v>
      </c>
      <c r="AA902" s="87">
        <v>9630</v>
      </c>
      <c r="AB902" s="85">
        <v>326.02800000000002</v>
      </c>
      <c r="AC902" s="87">
        <v>9620</v>
      </c>
      <c r="AD902" s="85">
        <v>256.61900000000003</v>
      </c>
      <c r="AE902" s="87">
        <v>9630</v>
      </c>
      <c r="AF902" s="85">
        <v>257.79399999999998</v>
      </c>
      <c r="AG902" s="87">
        <v>9610</v>
      </c>
      <c r="AH902" s="85">
        <v>56.923000000000002</v>
      </c>
      <c r="AI902" s="87">
        <v>9610</v>
      </c>
      <c r="AJ902" s="85">
        <v>60.744999999999997</v>
      </c>
    </row>
    <row r="903" spans="1:36" ht="14.25" customHeight="1">
      <c r="A903" s="88">
        <v>9640</v>
      </c>
      <c r="B903" s="84">
        <v>128.42099999999999</v>
      </c>
      <c r="C903" s="88">
        <v>9650</v>
      </c>
      <c r="D903" s="85">
        <v>127.07</v>
      </c>
      <c r="E903" s="86">
        <v>9640</v>
      </c>
      <c r="F903" s="85">
        <v>342.40699999999998</v>
      </c>
      <c r="G903" s="87">
        <v>9640</v>
      </c>
      <c r="H903" s="85">
        <v>342.35899999999998</v>
      </c>
      <c r="I903" s="87">
        <v>9640</v>
      </c>
      <c r="J903" s="85">
        <v>325.59500000000003</v>
      </c>
      <c r="K903" s="87">
        <v>9640</v>
      </c>
      <c r="L903" s="85">
        <v>324.66500000000002</v>
      </c>
      <c r="M903" s="87">
        <v>9640</v>
      </c>
      <c r="N903" s="85">
        <v>325.40800000000002</v>
      </c>
      <c r="O903" s="87">
        <v>9620</v>
      </c>
      <c r="P903" s="85">
        <v>326.44200000000001</v>
      </c>
      <c r="Q903" s="87">
        <v>9640</v>
      </c>
      <c r="R903" s="85">
        <v>326.12700000000001</v>
      </c>
      <c r="S903" s="87">
        <v>9640</v>
      </c>
      <c r="T903" s="85">
        <v>326.77600000000001</v>
      </c>
      <c r="U903" s="87">
        <v>9630</v>
      </c>
      <c r="V903" s="85">
        <v>326.65699999999998</v>
      </c>
      <c r="W903" s="87">
        <v>9640</v>
      </c>
      <c r="X903" s="85">
        <v>325.98099999999999</v>
      </c>
      <c r="Y903" s="87">
        <v>9640</v>
      </c>
      <c r="Z903" s="85">
        <v>324.39</v>
      </c>
      <c r="AA903" s="87">
        <v>9640</v>
      </c>
      <c r="AB903" s="85">
        <v>324.81799999999998</v>
      </c>
      <c r="AC903" s="87">
        <v>9630</v>
      </c>
      <c r="AD903" s="85">
        <v>255.566</v>
      </c>
      <c r="AE903" s="87">
        <v>9640</v>
      </c>
      <c r="AF903" s="85">
        <v>256.68200000000002</v>
      </c>
      <c r="AG903" s="87">
        <v>9620</v>
      </c>
      <c r="AH903" s="85">
        <v>56.648000000000003</v>
      </c>
      <c r="AI903" s="87">
        <v>9620</v>
      </c>
      <c r="AJ903" s="85">
        <v>60.454000000000001</v>
      </c>
    </row>
    <row r="904" spans="1:36" ht="14.25" customHeight="1">
      <c r="A904" s="88">
        <v>9650</v>
      </c>
      <c r="B904" s="84">
        <v>127.78</v>
      </c>
      <c r="C904" s="88">
        <v>9660</v>
      </c>
      <c r="D904" s="85">
        <v>126.435</v>
      </c>
      <c r="E904" s="86">
        <v>9650</v>
      </c>
      <c r="F904" s="85">
        <v>340.96699999999998</v>
      </c>
      <c r="G904" s="87">
        <v>9650</v>
      </c>
      <c r="H904" s="85">
        <v>340.91899999999998</v>
      </c>
      <c r="I904" s="87">
        <v>9650</v>
      </c>
      <c r="J904" s="85">
        <v>324.38400000000001</v>
      </c>
      <c r="K904" s="87">
        <v>9650</v>
      </c>
      <c r="L904" s="85">
        <v>323.452</v>
      </c>
      <c r="M904" s="87">
        <v>9650</v>
      </c>
      <c r="N904" s="85">
        <v>324.19600000000003</v>
      </c>
      <c r="O904" s="87">
        <v>9630</v>
      </c>
      <c r="P904" s="85">
        <v>325.23</v>
      </c>
      <c r="Q904" s="87">
        <v>9650</v>
      </c>
      <c r="R904" s="85">
        <v>324.91500000000002</v>
      </c>
      <c r="S904" s="87">
        <v>9650</v>
      </c>
      <c r="T904" s="85">
        <v>325.56400000000002</v>
      </c>
      <c r="U904" s="87">
        <v>9640</v>
      </c>
      <c r="V904" s="85">
        <v>325.447</v>
      </c>
      <c r="W904" s="87">
        <v>9650</v>
      </c>
      <c r="X904" s="85">
        <v>324.77</v>
      </c>
      <c r="Y904" s="87">
        <v>9650</v>
      </c>
      <c r="Z904" s="85">
        <v>323.17899999999997</v>
      </c>
      <c r="AA904" s="87">
        <v>9650</v>
      </c>
      <c r="AB904" s="85">
        <v>323.608</v>
      </c>
      <c r="AC904" s="87">
        <v>9640</v>
      </c>
      <c r="AD904" s="85">
        <v>254.51300000000001</v>
      </c>
      <c r="AE904" s="87">
        <v>9650</v>
      </c>
      <c r="AF904" s="85">
        <v>255.57</v>
      </c>
      <c r="AG904" s="87">
        <v>9630</v>
      </c>
      <c r="AH904" s="85">
        <v>56.372</v>
      </c>
      <c r="AI904" s="87">
        <v>9630</v>
      </c>
      <c r="AJ904" s="85">
        <v>60.164999999999999</v>
      </c>
    </row>
    <row r="905" spans="1:36" ht="14.25" customHeight="1">
      <c r="A905" s="88">
        <v>9660</v>
      </c>
      <c r="B905" s="84">
        <v>127.14100000000001</v>
      </c>
      <c r="C905" s="88">
        <v>9670</v>
      </c>
      <c r="D905" s="85">
        <v>125.801</v>
      </c>
      <c r="E905" s="86">
        <v>9660</v>
      </c>
      <c r="F905" s="85">
        <v>339.52800000000002</v>
      </c>
      <c r="G905" s="87">
        <v>9660</v>
      </c>
      <c r="H905" s="85">
        <v>339.47899999999998</v>
      </c>
      <c r="I905" s="87">
        <v>9660</v>
      </c>
      <c r="J905" s="85">
        <v>323.173</v>
      </c>
      <c r="K905" s="87">
        <v>9660</v>
      </c>
      <c r="L905" s="85">
        <v>322.238</v>
      </c>
      <c r="M905" s="87">
        <v>9660</v>
      </c>
      <c r="N905" s="85">
        <v>322.98399999999998</v>
      </c>
      <c r="O905" s="87">
        <v>9640</v>
      </c>
      <c r="P905" s="85">
        <v>324.01799999999997</v>
      </c>
      <c r="Q905" s="87">
        <v>9660</v>
      </c>
      <c r="R905" s="85">
        <v>323.70400000000001</v>
      </c>
      <c r="S905" s="87">
        <v>9660</v>
      </c>
      <c r="T905" s="85">
        <v>324.35199999999998</v>
      </c>
      <c r="U905" s="87">
        <v>9650</v>
      </c>
      <c r="V905" s="85">
        <v>324.23599999999999</v>
      </c>
      <c r="W905" s="87">
        <v>9660</v>
      </c>
      <c r="X905" s="85">
        <v>323.55900000000003</v>
      </c>
      <c r="Y905" s="87">
        <v>9660</v>
      </c>
      <c r="Z905" s="85">
        <v>321.96899999999999</v>
      </c>
      <c r="AA905" s="87">
        <v>9660</v>
      </c>
      <c r="AB905" s="85">
        <v>322.39800000000002</v>
      </c>
      <c r="AC905" s="87">
        <v>9650</v>
      </c>
      <c r="AD905" s="85">
        <v>253.46100000000001</v>
      </c>
      <c r="AE905" s="87">
        <v>9660</v>
      </c>
      <c r="AF905" s="85">
        <v>254.46</v>
      </c>
      <c r="AG905" s="87">
        <v>9640</v>
      </c>
      <c r="AH905" s="85">
        <v>56.097000000000001</v>
      </c>
      <c r="AI905" s="87">
        <v>9640</v>
      </c>
      <c r="AJ905" s="85">
        <v>59.875999999999998</v>
      </c>
    </row>
    <row r="906" spans="1:36" ht="14.25" customHeight="1">
      <c r="A906" s="88">
        <v>9670</v>
      </c>
      <c r="B906" s="84">
        <v>126.504</v>
      </c>
      <c r="C906" s="88">
        <v>9680</v>
      </c>
      <c r="D906" s="85">
        <v>125.169</v>
      </c>
      <c r="E906" s="86">
        <v>9670</v>
      </c>
      <c r="F906" s="85">
        <v>338.09</v>
      </c>
      <c r="G906" s="87">
        <v>9670</v>
      </c>
      <c r="H906" s="85">
        <v>338.041</v>
      </c>
      <c r="I906" s="87">
        <v>9670</v>
      </c>
      <c r="J906" s="85">
        <v>321.96100000000001</v>
      </c>
      <c r="K906" s="87">
        <v>9670</v>
      </c>
      <c r="L906" s="85">
        <v>321.02499999999998</v>
      </c>
      <c r="M906" s="87">
        <v>9670</v>
      </c>
      <c r="N906" s="85">
        <v>321.77300000000002</v>
      </c>
      <c r="O906" s="87">
        <v>9650</v>
      </c>
      <c r="P906" s="85">
        <v>322.80599999999998</v>
      </c>
      <c r="Q906" s="87">
        <v>9670</v>
      </c>
      <c r="R906" s="85">
        <v>322.49200000000002</v>
      </c>
      <c r="S906" s="87">
        <v>9670</v>
      </c>
      <c r="T906" s="85">
        <v>323.14</v>
      </c>
      <c r="U906" s="87">
        <v>9660</v>
      </c>
      <c r="V906" s="85">
        <v>323.02600000000001</v>
      </c>
      <c r="W906" s="87">
        <v>9670</v>
      </c>
      <c r="X906" s="85">
        <v>322.34800000000001</v>
      </c>
      <c r="Y906" s="87">
        <v>9670</v>
      </c>
      <c r="Z906" s="85">
        <v>320.75799999999998</v>
      </c>
      <c r="AA906" s="87">
        <v>9670</v>
      </c>
      <c r="AB906" s="85">
        <v>321.18799999999999</v>
      </c>
      <c r="AC906" s="87">
        <v>9660</v>
      </c>
      <c r="AD906" s="85">
        <v>252.40799999999999</v>
      </c>
      <c r="AE906" s="87">
        <v>9670</v>
      </c>
      <c r="AF906" s="85">
        <v>253.35</v>
      </c>
      <c r="AG906" s="87">
        <v>9650</v>
      </c>
      <c r="AH906" s="85">
        <v>55.823</v>
      </c>
      <c r="AI906" s="87">
        <v>9650</v>
      </c>
      <c r="AJ906" s="85">
        <v>59.587000000000003</v>
      </c>
    </row>
    <row r="907" spans="1:36" ht="14.25" customHeight="1">
      <c r="A907" s="88">
        <v>9680</v>
      </c>
      <c r="B907" s="84">
        <v>125.867</v>
      </c>
      <c r="C907" s="88">
        <v>9690</v>
      </c>
      <c r="D907" s="85">
        <v>124.538</v>
      </c>
      <c r="E907" s="86">
        <v>9680</v>
      </c>
      <c r="F907" s="85">
        <v>336.65100000000001</v>
      </c>
      <c r="G907" s="87">
        <v>9680</v>
      </c>
      <c r="H907" s="85">
        <v>336.60199999999998</v>
      </c>
      <c r="I907" s="87">
        <v>9680</v>
      </c>
      <c r="J907" s="85">
        <v>320.75</v>
      </c>
      <c r="K907" s="87">
        <v>9680</v>
      </c>
      <c r="L907" s="85">
        <v>319.81200000000001</v>
      </c>
      <c r="M907" s="87">
        <v>9680</v>
      </c>
      <c r="N907" s="85">
        <v>320.56099999999998</v>
      </c>
      <c r="O907" s="87">
        <v>9660</v>
      </c>
      <c r="P907" s="85">
        <v>321.59399999999999</v>
      </c>
      <c r="Q907" s="87">
        <v>9680</v>
      </c>
      <c r="R907" s="85">
        <v>321.27999999999997</v>
      </c>
      <c r="S907" s="87">
        <v>9680</v>
      </c>
      <c r="T907" s="85">
        <v>321.928</v>
      </c>
      <c r="U907" s="87">
        <v>9670</v>
      </c>
      <c r="V907" s="85">
        <v>321.81599999999997</v>
      </c>
      <c r="W907" s="87">
        <v>9680</v>
      </c>
      <c r="X907" s="85">
        <v>321.13600000000002</v>
      </c>
      <c r="Y907" s="87">
        <v>9680</v>
      </c>
      <c r="Z907" s="85">
        <v>319.54700000000003</v>
      </c>
      <c r="AA907" s="87">
        <v>9680</v>
      </c>
      <c r="AB907" s="85">
        <v>319.97800000000001</v>
      </c>
      <c r="AC907" s="87">
        <v>9670</v>
      </c>
      <c r="AD907" s="85">
        <v>251.35499999999999</v>
      </c>
      <c r="AE907" s="87">
        <v>9680</v>
      </c>
      <c r="AF907" s="85">
        <v>252.24199999999999</v>
      </c>
      <c r="AG907" s="87">
        <v>9660</v>
      </c>
      <c r="AH907" s="85">
        <v>55.548999999999999</v>
      </c>
      <c r="AI907" s="87">
        <v>9660</v>
      </c>
      <c r="AJ907" s="85">
        <v>59.298000000000002</v>
      </c>
    </row>
    <row r="908" spans="1:36" ht="14.25" customHeight="1">
      <c r="A908" s="88">
        <v>9690</v>
      </c>
      <c r="B908" s="84">
        <v>125.232</v>
      </c>
      <c r="C908" s="88">
        <v>9700</v>
      </c>
      <c r="D908" s="85">
        <v>123.908</v>
      </c>
      <c r="E908" s="86">
        <v>9690</v>
      </c>
      <c r="F908" s="85">
        <v>335.214</v>
      </c>
      <c r="G908" s="87">
        <v>9690</v>
      </c>
      <c r="H908" s="85">
        <v>335.16399999999999</v>
      </c>
      <c r="I908" s="87">
        <v>9690</v>
      </c>
      <c r="J908" s="85">
        <v>319.53899999999999</v>
      </c>
      <c r="K908" s="87">
        <v>9690</v>
      </c>
      <c r="L908" s="85">
        <v>318.59800000000001</v>
      </c>
      <c r="M908" s="87">
        <v>9690</v>
      </c>
      <c r="N908" s="85">
        <v>319.34899999999999</v>
      </c>
      <c r="O908" s="87">
        <v>9670</v>
      </c>
      <c r="P908" s="85">
        <v>320.38200000000001</v>
      </c>
      <c r="Q908" s="87">
        <v>9690</v>
      </c>
      <c r="R908" s="85">
        <v>320.06900000000002</v>
      </c>
      <c r="S908" s="87">
        <v>9690</v>
      </c>
      <c r="T908" s="85">
        <v>320.71600000000001</v>
      </c>
      <c r="U908" s="87">
        <v>9680</v>
      </c>
      <c r="V908" s="85">
        <v>320.60500000000002</v>
      </c>
      <c r="W908" s="87">
        <v>9690</v>
      </c>
      <c r="X908" s="85">
        <v>319.92500000000001</v>
      </c>
      <c r="Y908" s="87">
        <v>9690</v>
      </c>
      <c r="Z908" s="85">
        <v>318.33600000000001</v>
      </c>
      <c r="AA908" s="87">
        <v>9690</v>
      </c>
      <c r="AB908" s="85">
        <v>318.76799999999997</v>
      </c>
      <c r="AC908" s="87">
        <v>9680</v>
      </c>
      <c r="AD908" s="85">
        <v>250.303</v>
      </c>
      <c r="AE908" s="87">
        <v>9690</v>
      </c>
      <c r="AF908" s="85">
        <v>251.13399999999999</v>
      </c>
      <c r="AG908" s="87">
        <v>9670</v>
      </c>
      <c r="AH908" s="85">
        <v>55.274999999999999</v>
      </c>
      <c r="AI908" s="87">
        <v>9670</v>
      </c>
      <c r="AJ908" s="85">
        <v>59.011000000000003</v>
      </c>
    </row>
    <row r="909" spans="1:36" ht="14.25" customHeight="1">
      <c r="A909" s="88">
        <v>9700</v>
      </c>
      <c r="B909" s="84">
        <v>124.598</v>
      </c>
      <c r="C909" s="88">
        <v>9710</v>
      </c>
      <c r="D909" s="85">
        <v>123.28</v>
      </c>
      <c r="E909" s="86">
        <v>9700</v>
      </c>
      <c r="F909" s="85">
        <v>333.77699999999999</v>
      </c>
      <c r="G909" s="87">
        <v>9700</v>
      </c>
      <c r="H909" s="85">
        <v>333.72699999999998</v>
      </c>
      <c r="I909" s="87">
        <v>9700</v>
      </c>
      <c r="J909" s="85">
        <v>318.327</v>
      </c>
      <c r="K909" s="87">
        <v>9700</v>
      </c>
      <c r="L909" s="85">
        <v>317.38499999999999</v>
      </c>
      <c r="M909" s="87">
        <v>9700</v>
      </c>
      <c r="N909" s="85">
        <v>318.13799999999998</v>
      </c>
      <c r="O909" s="87">
        <v>9680</v>
      </c>
      <c r="P909" s="85">
        <v>319.17099999999999</v>
      </c>
      <c r="Q909" s="87">
        <v>9700</v>
      </c>
      <c r="R909" s="85">
        <v>318.85700000000003</v>
      </c>
      <c r="S909" s="87">
        <v>9700</v>
      </c>
      <c r="T909" s="85">
        <v>319.50400000000002</v>
      </c>
      <c r="U909" s="87">
        <v>9690</v>
      </c>
      <c r="V909" s="85">
        <v>319.39499999999998</v>
      </c>
      <c r="W909" s="87">
        <v>9700</v>
      </c>
      <c r="X909" s="85">
        <v>318.714</v>
      </c>
      <c r="Y909" s="87">
        <v>9700</v>
      </c>
      <c r="Z909" s="85">
        <v>317.12599999999998</v>
      </c>
      <c r="AA909" s="87">
        <v>9700</v>
      </c>
      <c r="AB909" s="85">
        <v>317.55799999999999</v>
      </c>
      <c r="AC909" s="87">
        <v>9690</v>
      </c>
      <c r="AD909" s="85">
        <v>249.25</v>
      </c>
      <c r="AE909" s="87">
        <v>9700</v>
      </c>
      <c r="AF909" s="85">
        <v>250.02699999999999</v>
      </c>
      <c r="AG909" s="87">
        <v>9680</v>
      </c>
      <c r="AH909" s="85">
        <v>55.002000000000002</v>
      </c>
      <c r="AI909" s="87">
        <v>9680</v>
      </c>
      <c r="AJ909" s="85">
        <v>58.722999999999999</v>
      </c>
    </row>
    <row r="910" spans="1:36" ht="14.25" customHeight="1">
      <c r="A910" s="88">
        <v>9710</v>
      </c>
      <c r="B910" s="84">
        <v>123.96599999999999</v>
      </c>
      <c r="C910" s="88">
        <v>9720</v>
      </c>
      <c r="D910" s="85">
        <v>122.652</v>
      </c>
      <c r="E910" s="86">
        <v>9710</v>
      </c>
      <c r="F910" s="85">
        <v>332.34</v>
      </c>
      <c r="G910" s="87">
        <v>9710</v>
      </c>
      <c r="H910" s="85">
        <v>332.29</v>
      </c>
      <c r="I910" s="87">
        <v>9710</v>
      </c>
      <c r="J910" s="85">
        <v>317.11599999999999</v>
      </c>
      <c r="K910" s="87">
        <v>9710</v>
      </c>
      <c r="L910" s="85">
        <v>316.17200000000003</v>
      </c>
      <c r="M910" s="87">
        <v>9710</v>
      </c>
      <c r="N910" s="85">
        <v>316.92599999999999</v>
      </c>
      <c r="O910" s="87">
        <v>9690</v>
      </c>
      <c r="P910" s="85">
        <v>317.959</v>
      </c>
      <c r="Q910" s="87">
        <v>9710</v>
      </c>
      <c r="R910" s="85">
        <v>317.64499999999998</v>
      </c>
      <c r="S910" s="87">
        <v>9710</v>
      </c>
      <c r="T910" s="85">
        <v>318.29199999999997</v>
      </c>
      <c r="U910" s="87">
        <v>9700</v>
      </c>
      <c r="V910" s="85">
        <v>318.18400000000003</v>
      </c>
      <c r="W910" s="87">
        <v>9710</v>
      </c>
      <c r="X910" s="85">
        <v>317.50299999999999</v>
      </c>
      <c r="Y910" s="87">
        <v>9710</v>
      </c>
      <c r="Z910" s="85">
        <v>315.91500000000002</v>
      </c>
      <c r="AA910" s="87">
        <v>9710</v>
      </c>
      <c r="AB910" s="85">
        <v>316.34800000000001</v>
      </c>
      <c r="AC910" s="87">
        <v>9700</v>
      </c>
      <c r="AD910" s="85">
        <v>248.197</v>
      </c>
      <c r="AE910" s="87">
        <v>9710</v>
      </c>
      <c r="AF910" s="85">
        <v>248.92099999999999</v>
      </c>
      <c r="AG910" s="87">
        <v>9690</v>
      </c>
      <c r="AH910" s="85">
        <v>54.728999999999999</v>
      </c>
      <c r="AI910" s="87">
        <v>9690</v>
      </c>
      <c r="AJ910" s="85">
        <v>58.436</v>
      </c>
    </row>
    <row r="911" spans="1:36" ht="14.25" customHeight="1">
      <c r="A911" s="88">
        <v>9720</v>
      </c>
      <c r="B911" s="84">
        <v>123.334</v>
      </c>
      <c r="C911" s="88">
        <v>9730</v>
      </c>
      <c r="D911" s="85">
        <v>122.026</v>
      </c>
      <c r="E911" s="86">
        <v>9720</v>
      </c>
      <c r="F911" s="85">
        <v>330.904</v>
      </c>
      <c r="G911" s="87">
        <v>9720</v>
      </c>
      <c r="H911" s="85">
        <v>330.85399999999998</v>
      </c>
      <c r="I911" s="87">
        <v>9720</v>
      </c>
      <c r="J911" s="85">
        <v>315.904</v>
      </c>
      <c r="K911" s="87">
        <v>9720</v>
      </c>
      <c r="L911" s="85">
        <v>314.95800000000003</v>
      </c>
      <c r="M911" s="87">
        <v>9720</v>
      </c>
      <c r="N911" s="85">
        <v>315.714</v>
      </c>
      <c r="O911" s="87">
        <v>9700</v>
      </c>
      <c r="P911" s="85">
        <v>316.74700000000001</v>
      </c>
      <c r="Q911" s="87">
        <v>9720</v>
      </c>
      <c r="R911" s="85">
        <v>316.43400000000003</v>
      </c>
      <c r="S911" s="87">
        <v>9720</v>
      </c>
      <c r="T911" s="85">
        <v>317.08</v>
      </c>
      <c r="U911" s="87">
        <v>9710</v>
      </c>
      <c r="V911" s="85">
        <v>316.97399999999999</v>
      </c>
      <c r="W911" s="87">
        <v>9720</v>
      </c>
      <c r="X911" s="85">
        <v>316.29199999999997</v>
      </c>
      <c r="Y911" s="87">
        <v>9720</v>
      </c>
      <c r="Z911" s="85">
        <v>314.70400000000001</v>
      </c>
      <c r="AA911" s="87">
        <v>9720</v>
      </c>
      <c r="AB911" s="85">
        <v>315.13799999999998</v>
      </c>
      <c r="AC911" s="87">
        <v>9710</v>
      </c>
      <c r="AD911" s="85">
        <v>247.14500000000001</v>
      </c>
      <c r="AE911" s="87">
        <v>9720</v>
      </c>
      <c r="AF911" s="85">
        <v>247.816</v>
      </c>
      <c r="AG911" s="87">
        <v>9700</v>
      </c>
      <c r="AH911" s="85">
        <v>54.457000000000001</v>
      </c>
      <c r="AI911" s="87">
        <v>9700</v>
      </c>
      <c r="AJ911" s="85">
        <v>58.15</v>
      </c>
    </row>
    <row r="912" spans="1:36" ht="14.25" customHeight="1">
      <c r="A912" s="88">
        <v>9730</v>
      </c>
      <c r="B912" s="84">
        <v>122.70399999999999</v>
      </c>
      <c r="C912" s="88">
        <v>9740</v>
      </c>
      <c r="D912" s="85">
        <v>121.402</v>
      </c>
      <c r="E912" s="86">
        <v>9730</v>
      </c>
      <c r="F912" s="85">
        <v>329.46899999999999</v>
      </c>
      <c r="G912" s="87">
        <v>9730</v>
      </c>
      <c r="H912" s="85">
        <v>329.41899999999998</v>
      </c>
      <c r="I912" s="87">
        <v>9730</v>
      </c>
      <c r="J912" s="85">
        <v>314.69299999999998</v>
      </c>
      <c r="K912" s="87">
        <v>9730</v>
      </c>
      <c r="L912" s="85">
        <v>313.745</v>
      </c>
      <c r="M912" s="87">
        <v>9730</v>
      </c>
      <c r="N912" s="85">
        <v>314.50299999999999</v>
      </c>
      <c r="O912" s="87">
        <v>9710</v>
      </c>
      <c r="P912" s="85">
        <v>315.53500000000003</v>
      </c>
      <c r="Q912" s="87">
        <v>9730</v>
      </c>
      <c r="R912" s="85">
        <v>315.22199999999998</v>
      </c>
      <c r="S912" s="87">
        <v>9730</v>
      </c>
      <c r="T912" s="85">
        <v>315.86799999999999</v>
      </c>
      <c r="U912" s="87">
        <v>9720</v>
      </c>
      <c r="V912" s="85">
        <v>315.76400000000001</v>
      </c>
      <c r="W912" s="87">
        <v>9730</v>
      </c>
      <c r="X912" s="85">
        <v>315.08100000000002</v>
      </c>
      <c r="Y912" s="87">
        <v>9730</v>
      </c>
      <c r="Z912" s="85">
        <v>313.49299999999999</v>
      </c>
      <c r="AA912" s="87">
        <v>9730</v>
      </c>
      <c r="AB912" s="85">
        <v>313.928</v>
      </c>
      <c r="AC912" s="87">
        <v>9720</v>
      </c>
      <c r="AD912" s="85">
        <v>246.09200000000001</v>
      </c>
      <c r="AE912" s="87">
        <v>9730</v>
      </c>
      <c r="AF912" s="85">
        <v>246.71199999999999</v>
      </c>
      <c r="AG912" s="87">
        <v>9710</v>
      </c>
      <c r="AH912" s="85">
        <v>54.186</v>
      </c>
      <c r="AI912" s="87">
        <v>9710</v>
      </c>
      <c r="AJ912" s="85">
        <v>57.863999999999997</v>
      </c>
    </row>
    <row r="913" spans="1:36" ht="14.25" customHeight="1">
      <c r="A913" s="88">
        <v>9740</v>
      </c>
      <c r="B913" s="84">
        <v>122.07599999999999</v>
      </c>
      <c r="C913" s="88">
        <v>9750</v>
      </c>
      <c r="D913" s="85">
        <v>120.77800000000001</v>
      </c>
      <c r="E913" s="86">
        <v>9740</v>
      </c>
      <c r="F913" s="85">
        <v>328.03399999999999</v>
      </c>
      <c r="G913" s="87">
        <v>9740</v>
      </c>
      <c r="H913" s="85">
        <v>327.98399999999998</v>
      </c>
      <c r="I913" s="87">
        <v>9740</v>
      </c>
      <c r="J913" s="85">
        <v>313.48200000000003</v>
      </c>
      <c r="K913" s="87">
        <v>9740</v>
      </c>
      <c r="L913" s="85">
        <v>312.53199999999998</v>
      </c>
      <c r="M913" s="87">
        <v>9740</v>
      </c>
      <c r="N913" s="85">
        <v>313.291</v>
      </c>
      <c r="O913" s="87">
        <v>9720</v>
      </c>
      <c r="P913" s="85">
        <v>314.32299999999998</v>
      </c>
      <c r="Q913" s="87">
        <v>9740</v>
      </c>
      <c r="R913" s="85">
        <v>314.01100000000002</v>
      </c>
      <c r="S913" s="87">
        <v>9740</v>
      </c>
      <c r="T913" s="85">
        <v>314.65600000000001</v>
      </c>
      <c r="U913" s="87">
        <v>9730</v>
      </c>
      <c r="V913" s="85">
        <v>314.553</v>
      </c>
      <c r="W913" s="87">
        <v>9740</v>
      </c>
      <c r="X913" s="85">
        <v>313.87</v>
      </c>
      <c r="Y913" s="87">
        <v>9740</v>
      </c>
      <c r="Z913" s="85">
        <v>312.28300000000002</v>
      </c>
      <c r="AA913" s="87">
        <v>9740</v>
      </c>
      <c r="AB913" s="85">
        <v>312.71800000000002</v>
      </c>
      <c r="AC913" s="87">
        <v>9730</v>
      </c>
      <c r="AD913" s="85">
        <v>245.03899999999999</v>
      </c>
      <c r="AE913" s="87">
        <v>9740</v>
      </c>
      <c r="AF913" s="85">
        <v>245.60900000000001</v>
      </c>
      <c r="AG913" s="87">
        <v>9720</v>
      </c>
      <c r="AH913" s="85">
        <v>53.914000000000001</v>
      </c>
      <c r="AI913" s="87">
        <v>9720</v>
      </c>
      <c r="AJ913" s="85">
        <v>57.578000000000003</v>
      </c>
    </row>
    <row r="914" spans="1:36" ht="14.25" customHeight="1">
      <c r="A914" s="88">
        <v>9750</v>
      </c>
      <c r="B914" s="84">
        <v>121.44799999999999</v>
      </c>
      <c r="C914" s="88">
        <v>9760</v>
      </c>
      <c r="D914" s="85">
        <v>120.15600000000001</v>
      </c>
      <c r="E914" s="86">
        <v>9750</v>
      </c>
      <c r="F914" s="85">
        <v>326.59899999999999</v>
      </c>
      <c r="G914" s="87">
        <v>9750</v>
      </c>
      <c r="H914" s="85">
        <v>326.54899999999998</v>
      </c>
      <c r="I914" s="87">
        <v>9750</v>
      </c>
      <c r="J914" s="85">
        <v>312.27</v>
      </c>
      <c r="K914" s="87">
        <v>9750</v>
      </c>
      <c r="L914" s="85">
        <v>311.31799999999998</v>
      </c>
      <c r="M914" s="87">
        <v>9750</v>
      </c>
      <c r="N914" s="85">
        <v>312.08</v>
      </c>
      <c r="O914" s="87">
        <v>9730</v>
      </c>
      <c r="P914" s="85">
        <v>313.11099999999999</v>
      </c>
      <c r="Q914" s="87">
        <v>9750</v>
      </c>
      <c r="R914" s="85">
        <v>312.79899999999998</v>
      </c>
      <c r="S914" s="87">
        <v>9750</v>
      </c>
      <c r="T914" s="85">
        <v>313.44400000000002</v>
      </c>
      <c r="U914" s="87">
        <v>9740</v>
      </c>
      <c r="V914" s="85">
        <v>313.34300000000002</v>
      </c>
      <c r="W914" s="87">
        <v>9750</v>
      </c>
      <c r="X914" s="85">
        <v>312.65899999999999</v>
      </c>
      <c r="Y914" s="87">
        <v>9750</v>
      </c>
      <c r="Z914" s="85">
        <v>311.072</v>
      </c>
      <c r="AA914" s="87">
        <v>9750</v>
      </c>
      <c r="AB914" s="85">
        <v>311.50799999999998</v>
      </c>
      <c r="AC914" s="87">
        <v>9740</v>
      </c>
      <c r="AD914" s="85">
        <v>243.98699999999999</v>
      </c>
      <c r="AE914" s="87">
        <v>9750</v>
      </c>
      <c r="AF914" s="85">
        <v>244.50700000000001</v>
      </c>
      <c r="AG914" s="87">
        <v>9730</v>
      </c>
      <c r="AH914" s="85">
        <v>53.643000000000001</v>
      </c>
      <c r="AI914" s="87">
        <v>9730</v>
      </c>
      <c r="AJ914" s="85">
        <v>57.292999999999999</v>
      </c>
    </row>
    <row r="915" spans="1:36" ht="14.25" customHeight="1">
      <c r="A915" s="88">
        <v>9760</v>
      </c>
      <c r="B915" s="84">
        <v>120.822</v>
      </c>
      <c r="C915" s="88">
        <v>9770</v>
      </c>
      <c r="D915" s="85">
        <v>119.535</v>
      </c>
      <c r="E915" s="86">
        <v>9760</v>
      </c>
      <c r="F915" s="85">
        <v>325.16500000000002</v>
      </c>
      <c r="G915" s="87">
        <v>9760</v>
      </c>
      <c r="H915" s="85">
        <v>325.11599999999999</v>
      </c>
      <c r="I915" s="87">
        <v>9760</v>
      </c>
      <c r="J915" s="85">
        <v>311.05900000000003</v>
      </c>
      <c r="K915" s="87">
        <v>9760</v>
      </c>
      <c r="L915" s="85">
        <v>310.10500000000002</v>
      </c>
      <c r="M915" s="87">
        <v>9760</v>
      </c>
      <c r="N915" s="85">
        <v>310.86799999999999</v>
      </c>
      <c r="O915" s="87">
        <v>9740</v>
      </c>
      <c r="P915" s="85">
        <v>311.899</v>
      </c>
      <c r="Q915" s="87">
        <v>9760</v>
      </c>
      <c r="R915" s="85">
        <v>311.58699999999999</v>
      </c>
      <c r="S915" s="87">
        <v>9760</v>
      </c>
      <c r="T915" s="85">
        <v>312.23200000000003</v>
      </c>
      <c r="U915" s="87">
        <v>9750</v>
      </c>
      <c r="V915" s="85">
        <v>312.13200000000001</v>
      </c>
      <c r="W915" s="87">
        <v>9760</v>
      </c>
      <c r="X915" s="85">
        <v>311.44799999999998</v>
      </c>
      <c r="Y915" s="87">
        <v>9760</v>
      </c>
      <c r="Z915" s="85">
        <v>309.86099999999999</v>
      </c>
      <c r="AA915" s="87">
        <v>9760</v>
      </c>
      <c r="AB915" s="85">
        <v>310.298</v>
      </c>
      <c r="AC915" s="87">
        <v>9750</v>
      </c>
      <c r="AD915" s="85">
        <v>242.934</v>
      </c>
      <c r="AE915" s="87">
        <v>9760</v>
      </c>
      <c r="AF915" s="85">
        <v>243.40600000000001</v>
      </c>
      <c r="AG915" s="87">
        <v>9740</v>
      </c>
      <c r="AH915" s="85">
        <v>53.372999999999998</v>
      </c>
      <c r="AI915" s="87">
        <v>9740</v>
      </c>
      <c r="AJ915" s="85">
        <v>57.008000000000003</v>
      </c>
    </row>
    <row r="916" spans="1:36" ht="14.25" customHeight="1">
      <c r="A916" s="88">
        <v>9770</v>
      </c>
      <c r="B916" s="84">
        <v>120.197</v>
      </c>
      <c r="C916" s="88">
        <v>9780</v>
      </c>
      <c r="D916" s="85">
        <v>118.916</v>
      </c>
      <c r="E916" s="86">
        <v>9770</v>
      </c>
      <c r="F916" s="85">
        <v>323.73200000000003</v>
      </c>
      <c r="G916" s="87">
        <v>9770</v>
      </c>
      <c r="H916" s="85">
        <v>323.68299999999999</v>
      </c>
      <c r="I916" s="87">
        <v>9770</v>
      </c>
      <c r="J916" s="85">
        <v>309.84800000000001</v>
      </c>
      <c r="K916" s="87">
        <v>9770</v>
      </c>
      <c r="L916" s="85">
        <v>308.892</v>
      </c>
      <c r="M916" s="87">
        <v>9770</v>
      </c>
      <c r="N916" s="85">
        <v>309.65600000000001</v>
      </c>
      <c r="O916" s="87">
        <v>9750</v>
      </c>
      <c r="P916" s="85">
        <v>310.68700000000001</v>
      </c>
      <c r="Q916" s="87">
        <v>9770</v>
      </c>
      <c r="R916" s="85">
        <v>310.37599999999998</v>
      </c>
      <c r="S916" s="87">
        <v>9770</v>
      </c>
      <c r="T916" s="85">
        <v>311.02</v>
      </c>
      <c r="U916" s="87">
        <v>9760</v>
      </c>
      <c r="V916" s="85">
        <v>310.92200000000003</v>
      </c>
      <c r="W916" s="87">
        <v>9770</v>
      </c>
      <c r="X916" s="85">
        <v>310.23700000000002</v>
      </c>
      <c r="Y916" s="87">
        <v>9770</v>
      </c>
      <c r="Z916" s="85">
        <v>308.64999999999998</v>
      </c>
      <c r="AA916" s="87">
        <v>9770</v>
      </c>
      <c r="AB916" s="85">
        <v>309.08800000000002</v>
      </c>
      <c r="AC916" s="87">
        <v>9760</v>
      </c>
      <c r="AD916" s="85">
        <v>241.881</v>
      </c>
      <c r="AE916" s="87">
        <v>9770</v>
      </c>
      <c r="AF916" s="85">
        <v>242.30600000000001</v>
      </c>
      <c r="AG916" s="87">
        <v>9750</v>
      </c>
      <c r="AH916" s="85">
        <v>53.103000000000002</v>
      </c>
      <c r="AI916" s="87">
        <v>9750</v>
      </c>
      <c r="AJ916" s="85">
        <v>56.723999999999997</v>
      </c>
    </row>
    <row r="917" spans="1:36" ht="14.25" customHeight="1">
      <c r="A917" s="88">
        <v>9780</v>
      </c>
      <c r="B917" s="84">
        <v>119.574</v>
      </c>
      <c r="C917" s="88">
        <v>9790</v>
      </c>
      <c r="D917" s="85">
        <v>118.297</v>
      </c>
      <c r="E917" s="86">
        <v>9780</v>
      </c>
      <c r="F917" s="85">
        <v>322.3</v>
      </c>
      <c r="G917" s="87">
        <v>9780</v>
      </c>
      <c r="H917" s="85">
        <v>322.25</v>
      </c>
      <c r="I917" s="87">
        <v>9780</v>
      </c>
      <c r="J917" s="85">
        <v>308.63600000000002</v>
      </c>
      <c r="K917" s="87">
        <v>9780</v>
      </c>
      <c r="L917" s="85">
        <v>307.678</v>
      </c>
      <c r="M917" s="87">
        <v>9780</v>
      </c>
      <c r="N917" s="85">
        <v>308.44499999999999</v>
      </c>
      <c r="O917" s="87">
        <v>9760</v>
      </c>
      <c r="P917" s="85">
        <v>309.476</v>
      </c>
      <c r="Q917" s="87">
        <v>9780</v>
      </c>
      <c r="R917" s="85">
        <v>309.16399999999999</v>
      </c>
      <c r="S917" s="87">
        <v>9780</v>
      </c>
      <c r="T917" s="85">
        <v>309.80799999999999</v>
      </c>
      <c r="U917" s="87">
        <v>9770</v>
      </c>
      <c r="V917" s="85">
        <v>309.71199999999999</v>
      </c>
      <c r="W917" s="87">
        <v>9780</v>
      </c>
      <c r="X917" s="85">
        <v>309.02499999999998</v>
      </c>
      <c r="Y917" s="87">
        <v>9780</v>
      </c>
      <c r="Z917" s="85">
        <v>307.44</v>
      </c>
      <c r="AA917" s="87">
        <v>9780</v>
      </c>
      <c r="AB917" s="85">
        <v>307.87799999999999</v>
      </c>
      <c r="AC917" s="87">
        <v>9770</v>
      </c>
      <c r="AD917" s="85">
        <v>240.82900000000001</v>
      </c>
      <c r="AE917" s="87">
        <v>9780</v>
      </c>
      <c r="AF917" s="85">
        <v>241.20699999999999</v>
      </c>
      <c r="AG917" s="87">
        <v>9760</v>
      </c>
      <c r="AH917" s="85">
        <v>52.834000000000003</v>
      </c>
      <c r="AI917" s="87">
        <v>9760</v>
      </c>
      <c r="AJ917" s="85">
        <v>56.441000000000003</v>
      </c>
    </row>
    <row r="918" spans="1:36" ht="14.25" customHeight="1">
      <c r="A918" s="88">
        <v>9790</v>
      </c>
      <c r="B918" s="84">
        <v>118.95099999999999</v>
      </c>
      <c r="C918" s="88">
        <v>9800</v>
      </c>
      <c r="D918" s="85">
        <v>117.68</v>
      </c>
      <c r="E918" s="86">
        <v>9790</v>
      </c>
      <c r="F918" s="85">
        <v>320.86799999999999</v>
      </c>
      <c r="G918" s="87">
        <v>9790</v>
      </c>
      <c r="H918" s="85">
        <v>320.81900000000002</v>
      </c>
      <c r="I918" s="87">
        <v>9790</v>
      </c>
      <c r="J918" s="85">
        <v>307.42500000000001</v>
      </c>
      <c r="K918" s="87">
        <v>9790</v>
      </c>
      <c r="L918" s="85">
        <v>306.46499999999997</v>
      </c>
      <c r="M918" s="87">
        <v>9790</v>
      </c>
      <c r="N918" s="85">
        <v>307.233</v>
      </c>
      <c r="O918" s="87">
        <v>9770</v>
      </c>
      <c r="P918" s="85">
        <v>308.26400000000001</v>
      </c>
      <c r="Q918" s="87">
        <v>9790</v>
      </c>
      <c r="R918" s="85">
        <v>307.952</v>
      </c>
      <c r="S918" s="87">
        <v>9790</v>
      </c>
      <c r="T918" s="85">
        <v>308.596</v>
      </c>
      <c r="U918" s="87">
        <v>9780</v>
      </c>
      <c r="V918" s="85">
        <v>308.50099999999998</v>
      </c>
      <c r="W918" s="87">
        <v>9790</v>
      </c>
      <c r="X918" s="85">
        <v>307.81400000000002</v>
      </c>
      <c r="Y918" s="87">
        <v>9790</v>
      </c>
      <c r="Z918" s="85">
        <v>306.22899999999998</v>
      </c>
      <c r="AA918" s="87">
        <v>9790</v>
      </c>
      <c r="AB918" s="85">
        <v>306.66800000000001</v>
      </c>
      <c r="AC918" s="87">
        <v>9780</v>
      </c>
      <c r="AD918" s="85">
        <v>239.77600000000001</v>
      </c>
      <c r="AE918" s="87">
        <v>9790</v>
      </c>
      <c r="AF918" s="85">
        <v>240.108</v>
      </c>
      <c r="AG918" s="87">
        <v>9770</v>
      </c>
      <c r="AH918" s="85">
        <v>52.564999999999998</v>
      </c>
      <c r="AI918" s="87">
        <v>9770</v>
      </c>
      <c r="AJ918" s="85">
        <v>56.158000000000001</v>
      </c>
    </row>
    <row r="919" spans="1:36" ht="14.25" customHeight="1">
      <c r="A919" s="88">
        <v>9800</v>
      </c>
      <c r="B919" s="84">
        <v>118.33</v>
      </c>
      <c r="C919" s="88">
        <v>9810</v>
      </c>
      <c r="D919" s="85">
        <v>117.06399999999999</v>
      </c>
      <c r="E919" s="86">
        <v>9800</v>
      </c>
      <c r="F919" s="85">
        <v>319.43599999999998</v>
      </c>
      <c r="G919" s="87">
        <v>9800</v>
      </c>
      <c r="H919" s="85">
        <v>319.38799999999998</v>
      </c>
      <c r="I919" s="87">
        <v>9800</v>
      </c>
      <c r="J919" s="85">
        <v>306.214</v>
      </c>
      <c r="K919" s="87">
        <v>9800</v>
      </c>
      <c r="L919" s="85">
        <v>305.25200000000001</v>
      </c>
      <c r="M919" s="87">
        <v>9800</v>
      </c>
      <c r="N919" s="85">
        <v>306.02199999999999</v>
      </c>
      <c r="O919" s="87">
        <v>9780</v>
      </c>
      <c r="P919" s="85">
        <v>307.05200000000002</v>
      </c>
      <c r="Q919" s="87">
        <v>9800</v>
      </c>
      <c r="R919" s="85">
        <v>306.74099999999999</v>
      </c>
      <c r="S919" s="87">
        <v>9800</v>
      </c>
      <c r="T919" s="85">
        <v>307.38400000000001</v>
      </c>
      <c r="U919" s="87">
        <v>9790</v>
      </c>
      <c r="V919" s="85">
        <v>307.291</v>
      </c>
      <c r="W919" s="87">
        <v>9800</v>
      </c>
      <c r="X919" s="85">
        <v>306.60300000000001</v>
      </c>
      <c r="Y919" s="87">
        <v>9800</v>
      </c>
      <c r="Z919" s="85">
        <v>305.01799999999997</v>
      </c>
      <c r="AA919" s="87">
        <v>9800</v>
      </c>
      <c r="AB919" s="85">
        <v>305.45800000000003</v>
      </c>
      <c r="AC919" s="87">
        <v>9790</v>
      </c>
      <c r="AD919" s="85">
        <v>238.72300000000001</v>
      </c>
      <c r="AE919" s="87">
        <v>9800</v>
      </c>
      <c r="AF919" s="85">
        <v>239.011</v>
      </c>
      <c r="AG919" s="87">
        <v>9780</v>
      </c>
      <c r="AH919" s="85">
        <v>52.296999999999997</v>
      </c>
      <c r="AI919" s="87">
        <v>9780</v>
      </c>
      <c r="AJ919" s="85">
        <v>55.875</v>
      </c>
    </row>
    <row r="920" spans="1:36" ht="14.25" customHeight="1">
      <c r="A920" s="88">
        <v>9810</v>
      </c>
      <c r="B920" s="84">
        <v>117.711</v>
      </c>
      <c r="C920" s="88">
        <v>9820</v>
      </c>
      <c r="D920" s="85">
        <v>116.45</v>
      </c>
      <c r="E920" s="86">
        <v>9810</v>
      </c>
      <c r="F920" s="85">
        <v>318.00599999999997</v>
      </c>
      <c r="G920" s="87">
        <v>9810</v>
      </c>
      <c r="H920" s="85">
        <v>317.95699999999999</v>
      </c>
      <c r="I920" s="87">
        <v>9810</v>
      </c>
      <c r="J920" s="85">
        <v>305.00200000000001</v>
      </c>
      <c r="K920" s="87">
        <v>9810</v>
      </c>
      <c r="L920" s="85">
        <v>304.03800000000001</v>
      </c>
      <c r="M920" s="87">
        <v>9810</v>
      </c>
      <c r="N920" s="85">
        <v>304.81</v>
      </c>
      <c r="O920" s="87">
        <v>9790</v>
      </c>
      <c r="P920" s="85">
        <v>305.83999999999997</v>
      </c>
      <c r="Q920" s="87">
        <v>9810</v>
      </c>
      <c r="R920" s="85">
        <v>305.529</v>
      </c>
      <c r="S920" s="87">
        <v>9810</v>
      </c>
      <c r="T920" s="85">
        <v>306.17200000000003</v>
      </c>
      <c r="U920" s="87">
        <v>9800</v>
      </c>
      <c r="V920" s="85">
        <v>306.08</v>
      </c>
      <c r="W920" s="87">
        <v>9810</v>
      </c>
      <c r="X920" s="85">
        <v>305.392</v>
      </c>
      <c r="Y920" s="87">
        <v>9810</v>
      </c>
      <c r="Z920" s="85">
        <v>303.80799999999999</v>
      </c>
      <c r="AA920" s="87">
        <v>9810</v>
      </c>
      <c r="AB920" s="85">
        <v>304.24799999999999</v>
      </c>
      <c r="AC920" s="87">
        <v>9800</v>
      </c>
      <c r="AD920" s="85">
        <v>237.67099999999999</v>
      </c>
      <c r="AE920" s="87">
        <v>9810</v>
      </c>
      <c r="AF920" s="85">
        <v>237.91499999999999</v>
      </c>
      <c r="AG920" s="87">
        <v>9790</v>
      </c>
      <c r="AH920" s="85">
        <v>52.029000000000003</v>
      </c>
      <c r="AI920" s="87">
        <v>9790</v>
      </c>
      <c r="AJ920" s="85">
        <v>55.593000000000004</v>
      </c>
    </row>
    <row r="921" spans="1:36" ht="14.25" customHeight="1">
      <c r="A921" s="88">
        <v>9820</v>
      </c>
      <c r="B921" s="84">
        <v>117.092</v>
      </c>
      <c r="C921" s="88">
        <v>9830</v>
      </c>
      <c r="D921" s="85">
        <v>115.837</v>
      </c>
      <c r="E921" s="86">
        <v>9820</v>
      </c>
      <c r="F921" s="85">
        <v>316.57600000000002</v>
      </c>
      <c r="G921" s="87">
        <v>9820</v>
      </c>
      <c r="H921" s="85">
        <v>316.52800000000002</v>
      </c>
      <c r="I921" s="87">
        <v>9820</v>
      </c>
      <c r="J921" s="85">
        <v>303.791</v>
      </c>
      <c r="K921" s="87">
        <v>9820</v>
      </c>
      <c r="L921" s="85">
        <v>302.82499999999999</v>
      </c>
      <c r="M921" s="87">
        <v>9820</v>
      </c>
      <c r="N921" s="85">
        <v>303.59800000000001</v>
      </c>
      <c r="O921" s="87">
        <v>9800</v>
      </c>
      <c r="P921" s="85">
        <v>304.62799999999999</v>
      </c>
      <c r="Q921" s="87">
        <v>9820</v>
      </c>
      <c r="R921" s="85">
        <v>304.31799999999998</v>
      </c>
      <c r="S921" s="87">
        <v>9820</v>
      </c>
      <c r="T921" s="85">
        <v>304.95999999999998</v>
      </c>
      <c r="U921" s="87">
        <v>9810</v>
      </c>
      <c r="V921" s="85">
        <v>304.87</v>
      </c>
      <c r="W921" s="87">
        <v>9820</v>
      </c>
      <c r="X921" s="85">
        <v>304.18099999999998</v>
      </c>
      <c r="Y921" s="87">
        <v>9820</v>
      </c>
      <c r="Z921" s="85">
        <v>302.59699999999998</v>
      </c>
      <c r="AA921" s="87">
        <v>9820</v>
      </c>
      <c r="AB921" s="85">
        <v>303.03800000000001</v>
      </c>
      <c r="AC921" s="87">
        <v>9810</v>
      </c>
      <c r="AD921" s="85">
        <v>236.61799999999999</v>
      </c>
      <c r="AE921" s="87">
        <v>9820</v>
      </c>
      <c r="AF921" s="85">
        <v>236.81899999999999</v>
      </c>
      <c r="AG921" s="87">
        <v>9800</v>
      </c>
      <c r="AH921" s="85">
        <v>51.761000000000003</v>
      </c>
      <c r="AI921" s="87">
        <v>9800</v>
      </c>
      <c r="AJ921" s="85">
        <v>55.311</v>
      </c>
    </row>
    <row r="922" spans="1:36" ht="14.25" customHeight="1">
      <c r="A922" s="88">
        <v>9830</v>
      </c>
      <c r="B922" s="84">
        <v>116.47499999999999</v>
      </c>
      <c r="C922" s="88">
        <v>9840</v>
      </c>
      <c r="D922" s="85">
        <v>115.22499999999999</v>
      </c>
      <c r="E922" s="86">
        <v>9830</v>
      </c>
      <c r="F922" s="85">
        <v>315.14699999999999</v>
      </c>
      <c r="G922" s="87">
        <v>9830</v>
      </c>
      <c r="H922" s="85">
        <v>315.09899999999999</v>
      </c>
      <c r="I922" s="87">
        <v>9830</v>
      </c>
      <c r="J922" s="85">
        <v>302.58</v>
      </c>
      <c r="K922" s="87">
        <v>9830</v>
      </c>
      <c r="L922" s="85">
        <v>301.61200000000002</v>
      </c>
      <c r="M922" s="87">
        <v>9830</v>
      </c>
      <c r="N922" s="85">
        <v>302.387</v>
      </c>
      <c r="O922" s="87">
        <v>9810</v>
      </c>
      <c r="P922" s="85">
        <v>303.416</v>
      </c>
      <c r="Q922" s="87">
        <v>9830</v>
      </c>
      <c r="R922" s="85">
        <v>303.10599999999999</v>
      </c>
      <c r="S922" s="87">
        <v>9830</v>
      </c>
      <c r="T922" s="85">
        <v>303.74799999999999</v>
      </c>
      <c r="U922" s="87">
        <v>9820</v>
      </c>
      <c r="V922" s="85">
        <v>303.66000000000003</v>
      </c>
      <c r="W922" s="87">
        <v>9830</v>
      </c>
      <c r="X922" s="85">
        <v>302.97000000000003</v>
      </c>
      <c r="Y922" s="87">
        <v>9830</v>
      </c>
      <c r="Z922" s="85">
        <v>301.38600000000002</v>
      </c>
      <c r="AA922" s="87">
        <v>9830</v>
      </c>
      <c r="AB922" s="85">
        <v>301.82799999999997</v>
      </c>
      <c r="AC922" s="87">
        <v>9820</v>
      </c>
      <c r="AD922" s="85">
        <v>235.565</v>
      </c>
      <c r="AE922" s="87">
        <v>9830</v>
      </c>
      <c r="AF922" s="85">
        <v>235.72499999999999</v>
      </c>
      <c r="AG922" s="87">
        <v>9810</v>
      </c>
      <c r="AH922" s="85">
        <v>51.494</v>
      </c>
      <c r="AI922" s="87">
        <v>9810</v>
      </c>
      <c r="AJ922" s="85">
        <v>55.03</v>
      </c>
    </row>
    <row r="923" spans="1:36" ht="14.25" customHeight="1">
      <c r="A923" s="88">
        <v>9840</v>
      </c>
      <c r="B923" s="84">
        <v>115.85899999999999</v>
      </c>
      <c r="C923" s="88">
        <v>9850</v>
      </c>
      <c r="D923" s="85">
        <v>114.614</v>
      </c>
      <c r="E923" s="86">
        <v>9840</v>
      </c>
      <c r="F923" s="85">
        <v>313.71800000000002</v>
      </c>
      <c r="G923" s="87">
        <v>9840</v>
      </c>
      <c r="H923" s="85">
        <v>313.67099999999999</v>
      </c>
      <c r="I923" s="87">
        <v>9840</v>
      </c>
      <c r="J923" s="85">
        <v>301.36799999999999</v>
      </c>
      <c r="K923" s="87">
        <v>9840</v>
      </c>
      <c r="L923" s="85">
        <v>300.39800000000002</v>
      </c>
      <c r="M923" s="87">
        <v>9840</v>
      </c>
      <c r="N923" s="85">
        <v>301.17500000000001</v>
      </c>
      <c r="O923" s="87">
        <v>9820</v>
      </c>
      <c r="P923" s="85">
        <v>302.20400000000001</v>
      </c>
      <c r="Q923" s="87">
        <v>9840</v>
      </c>
      <c r="R923" s="85">
        <v>301.89400000000001</v>
      </c>
      <c r="S923" s="87">
        <v>9840</v>
      </c>
      <c r="T923" s="85">
        <v>302.536</v>
      </c>
      <c r="U923" s="87">
        <v>9830</v>
      </c>
      <c r="V923" s="85">
        <v>302.44900000000001</v>
      </c>
      <c r="W923" s="87">
        <v>9840</v>
      </c>
      <c r="X923" s="85">
        <v>301.75900000000001</v>
      </c>
      <c r="Y923" s="87">
        <v>9840</v>
      </c>
      <c r="Z923" s="85">
        <v>300.17599999999999</v>
      </c>
      <c r="AA923" s="87">
        <v>9840</v>
      </c>
      <c r="AB923" s="85">
        <v>300.61799999999999</v>
      </c>
      <c r="AC923" s="87">
        <v>9830</v>
      </c>
      <c r="AD923" s="85">
        <v>234.51300000000001</v>
      </c>
      <c r="AE923" s="87">
        <v>9840</v>
      </c>
      <c r="AF923" s="85">
        <v>234.631</v>
      </c>
      <c r="AG923" s="87">
        <v>9820</v>
      </c>
      <c r="AH923" s="85">
        <v>51.228000000000002</v>
      </c>
      <c r="AI923" s="87">
        <v>9820</v>
      </c>
      <c r="AJ923" s="85">
        <v>54.749000000000002</v>
      </c>
    </row>
    <row r="924" spans="1:36" ht="14.25" customHeight="1">
      <c r="A924" s="88">
        <v>9850</v>
      </c>
      <c r="B924" s="84">
        <v>115.245</v>
      </c>
      <c r="C924" s="88">
        <v>9860</v>
      </c>
      <c r="D924" s="85">
        <v>114.005</v>
      </c>
      <c r="E924" s="86">
        <v>9850</v>
      </c>
      <c r="F924" s="85">
        <v>312.29000000000002</v>
      </c>
      <c r="G924" s="87">
        <v>9850</v>
      </c>
      <c r="H924" s="85">
        <v>312.24400000000003</v>
      </c>
      <c r="I924" s="87">
        <v>9850</v>
      </c>
      <c r="J924" s="85">
        <v>300.15699999999998</v>
      </c>
      <c r="K924" s="87">
        <v>9850</v>
      </c>
      <c r="L924" s="85">
        <v>299.185</v>
      </c>
      <c r="M924" s="87">
        <v>9850</v>
      </c>
      <c r="N924" s="85">
        <v>299.96300000000002</v>
      </c>
      <c r="O924" s="87">
        <v>9830</v>
      </c>
      <c r="P924" s="85">
        <v>300.99299999999999</v>
      </c>
      <c r="Q924" s="87">
        <v>9850</v>
      </c>
      <c r="R924" s="85">
        <v>300.68299999999999</v>
      </c>
      <c r="S924" s="87">
        <v>9850</v>
      </c>
      <c r="T924" s="85">
        <v>301.32400000000001</v>
      </c>
      <c r="U924" s="87">
        <v>9840</v>
      </c>
      <c r="V924" s="85">
        <v>301.23899999999998</v>
      </c>
      <c r="W924" s="87">
        <v>9850</v>
      </c>
      <c r="X924" s="85">
        <v>300.548</v>
      </c>
      <c r="Y924" s="87">
        <v>9850</v>
      </c>
      <c r="Z924" s="85">
        <v>298.96499999999997</v>
      </c>
      <c r="AA924" s="87">
        <v>9850</v>
      </c>
      <c r="AB924" s="85">
        <v>299.40800000000002</v>
      </c>
      <c r="AC924" s="87">
        <v>9840</v>
      </c>
      <c r="AD924" s="85">
        <v>233.46</v>
      </c>
      <c r="AE924" s="87">
        <v>9850</v>
      </c>
      <c r="AF924" s="85">
        <v>233.53899999999999</v>
      </c>
      <c r="AG924" s="87">
        <v>9830</v>
      </c>
      <c r="AH924" s="85">
        <v>50.962000000000003</v>
      </c>
      <c r="AI924" s="87">
        <v>9830</v>
      </c>
      <c r="AJ924" s="85">
        <v>54.469000000000001</v>
      </c>
    </row>
    <row r="925" spans="1:36" ht="14.25" customHeight="1">
      <c r="A925" s="88">
        <v>9860</v>
      </c>
      <c r="B925" s="84">
        <v>114.631</v>
      </c>
      <c r="C925" s="88">
        <v>9870</v>
      </c>
      <c r="D925" s="85">
        <v>113.39700000000001</v>
      </c>
      <c r="E925" s="86">
        <v>9860</v>
      </c>
      <c r="F925" s="85">
        <v>310.863</v>
      </c>
      <c r="G925" s="87">
        <v>9860</v>
      </c>
      <c r="H925" s="85">
        <v>310.81700000000001</v>
      </c>
      <c r="I925" s="87">
        <v>9860</v>
      </c>
      <c r="J925" s="85">
        <v>298.94600000000003</v>
      </c>
      <c r="K925" s="87">
        <v>9860</v>
      </c>
      <c r="L925" s="85">
        <v>297.97199999999998</v>
      </c>
      <c r="M925" s="87">
        <v>9860</v>
      </c>
      <c r="N925" s="85">
        <v>298.75200000000001</v>
      </c>
      <c r="O925" s="87">
        <v>9840</v>
      </c>
      <c r="P925" s="85">
        <v>299.78100000000001</v>
      </c>
      <c r="Q925" s="87">
        <v>9860</v>
      </c>
      <c r="R925" s="85">
        <v>299.471</v>
      </c>
      <c r="S925" s="87">
        <v>9860</v>
      </c>
      <c r="T925" s="85">
        <v>300.11200000000002</v>
      </c>
      <c r="U925" s="87">
        <v>9850</v>
      </c>
      <c r="V925" s="85">
        <v>300.02800000000002</v>
      </c>
      <c r="W925" s="87">
        <v>9860</v>
      </c>
      <c r="X925" s="85">
        <v>299.33699999999999</v>
      </c>
      <c r="Y925" s="87">
        <v>9860</v>
      </c>
      <c r="Z925" s="85">
        <v>297.75400000000002</v>
      </c>
      <c r="AA925" s="87">
        <v>9860</v>
      </c>
      <c r="AB925" s="85">
        <v>298.19799999999998</v>
      </c>
      <c r="AC925" s="87">
        <v>9850</v>
      </c>
      <c r="AD925" s="85">
        <v>232.40700000000001</v>
      </c>
      <c r="AE925" s="87">
        <v>9860</v>
      </c>
      <c r="AF925" s="85">
        <v>232.447</v>
      </c>
      <c r="AG925" s="87">
        <v>9840</v>
      </c>
      <c r="AH925" s="85">
        <v>50.695999999999998</v>
      </c>
      <c r="AI925" s="87">
        <v>9840</v>
      </c>
      <c r="AJ925" s="85">
        <v>54.189</v>
      </c>
    </row>
    <row r="926" spans="1:36" ht="14.25" customHeight="1">
      <c r="A926" s="88">
        <v>9870</v>
      </c>
      <c r="B926" s="84">
        <v>114.01900000000001</v>
      </c>
      <c r="C926" s="88">
        <v>9880</v>
      </c>
      <c r="D926" s="85">
        <v>112.79</v>
      </c>
      <c r="E926" s="86">
        <v>9870</v>
      </c>
      <c r="F926" s="85">
        <v>309.43700000000001</v>
      </c>
      <c r="G926" s="87">
        <v>9870</v>
      </c>
      <c r="H926" s="85">
        <v>309.39100000000002</v>
      </c>
      <c r="I926" s="87">
        <v>9870</v>
      </c>
      <c r="J926" s="85">
        <v>297.73399999999998</v>
      </c>
      <c r="K926" s="87">
        <v>9870</v>
      </c>
      <c r="L926" s="85">
        <v>296.75799999999998</v>
      </c>
      <c r="M926" s="87">
        <v>9870</v>
      </c>
      <c r="N926" s="85">
        <v>297.54000000000002</v>
      </c>
      <c r="O926" s="87">
        <v>9850</v>
      </c>
      <c r="P926" s="85">
        <v>298.56900000000002</v>
      </c>
      <c r="Q926" s="87">
        <v>9870</v>
      </c>
      <c r="R926" s="85">
        <v>298.26</v>
      </c>
      <c r="S926" s="87">
        <v>9870</v>
      </c>
      <c r="T926" s="85">
        <v>298.90100000000001</v>
      </c>
      <c r="U926" s="87">
        <v>9860</v>
      </c>
      <c r="V926" s="85">
        <v>298.81799999999998</v>
      </c>
      <c r="W926" s="87">
        <v>9870</v>
      </c>
      <c r="X926" s="85">
        <v>298.125</v>
      </c>
      <c r="Y926" s="87">
        <v>9870</v>
      </c>
      <c r="Z926" s="85">
        <v>296.54300000000001</v>
      </c>
      <c r="AA926" s="87">
        <v>9870</v>
      </c>
      <c r="AB926" s="85">
        <v>296.988</v>
      </c>
      <c r="AC926" s="87">
        <v>9860</v>
      </c>
      <c r="AD926" s="85">
        <v>231.35499999999999</v>
      </c>
      <c r="AE926" s="87">
        <v>9870</v>
      </c>
      <c r="AF926" s="85">
        <v>231.35599999999999</v>
      </c>
      <c r="AG926" s="87">
        <v>9850</v>
      </c>
      <c r="AH926" s="85">
        <v>50.430999999999997</v>
      </c>
      <c r="AI926" s="87">
        <v>9850</v>
      </c>
      <c r="AJ926" s="85">
        <v>53.91</v>
      </c>
    </row>
    <row r="927" spans="1:36" ht="14.25" customHeight="1">
      <c r="A927" s="88">
        <v>9880</v>
      </c>
      <c r="B927" s="84">
        <v>113.40900000000001</v>
      </c>
      <c r="C927" s="88">
        <v>9890</v>
      </c>
      <c r="D927" s="85">
        <v>112.184</v>
      </c>
      <c r="E927" s="86">
        <v>9880</v>
      </c>
      <c r="F927" s="85">
        <v>308.01100000000002</v>
      </c>
      <c r="G927" s="87">
        <v>9880</v>
      </c>
      <c r="H927" s="85">
        <v>307.96699999999998</v>
      </c>
      <c r="I927" s="87">
        <v>9880</v>
      </c>
      <c r="J927" s="85">
        <v>296.52300000000002</v>
      </c>
      <c r="K927" s="87">
        <v>9880</v>
      </c>
      <c r="L927" s="85">
        <v>295.54500000000002</v>
      </c>
      <c r="M927" s="87">
        <v>9880</v>
      </c>
      <c r="N927" s="85">
        <v>296.32900000000001</v>
      </c>
      <c r="O927" s="87">
        <v>9860</v>
      </c>
      <c r="P927" s="85">
        <v>297.35700000000003</v>
      </c>
      <c r="Q927" s="87">
        <v>9880</v>
      </c>
      <c r="R927" s="85">
        <v>297.048</v>
      </c>
      <c r="S927" s="87">
        <v>9880</v>
      </c>
      <c r="T927" s="85">
        <v>297.68900000000002</v>
      </c>
      <c r="U927" s="87">
        <v>9870</v>
      </c>
      <c r="V927" s="85">
        <v>297.60700000000003</v>
      </c>
      <c r="W927" s="87">
        <v>9880</v>
      </c>
      <c r="X927" s="85">
        <v>296.91399999999999</v>
      </c>
      <c r="Y927" s="87">
        <v>9880</v>
      </c>
      <c r="Z927" s="85">
        <v>295.33300000000003</v>
      </c>
      <c r="AA927" s="87">
        <v>9880</v>
      </c>
      <c r="AB927" s="85">
        <v>295.77699999999999</v>
      </c>
      <c r="AC927" s="87">
        <v>9870</v>
      </c>
      <c r="AD927" s="85">
        <v>230.30199999999999</v>
      </c>
      <c r="AE927" s="87">
        <v>9880</v>
      </c>
      <c r="AF927" s="85">
        <v>230.267</v>
      </c>
      <c r="AG927" s="87">
        <v>9860</v>
      </c>
      <c r="AH927" s="85">
        <v>50.167000000000002</v>
      </c>
      <c r="AI927" s="87">
        <v>9860</v>
      </c>
      <c r="AJ927" s="85">
        <v>53.631</v>
      </c>
    </row>
    <row r="928" spans="1:36" ht="14.25" customHeight="1">
      <c r="A928" s="88">
        <v>9890</v>
      </c>
      <c r="B928" s="84">
        <v>112.79900000000001</v>
      </c>
      <c r="C928" s="88">
        <v>9900</v>
      </c>
      <c r="D928" s="85">
        <v>111.58</v>
      </c>
      <c r="E928" s="86">
        <v>9890</v>
      </c>
      <c r="F928" s="85">
        <v>306.58600000000001</v>
      </c>
      <c r="G928" s="87">
        <v>9890</v>
      </c>
      <c r="H928" s="85">
        <v>306.54199999999997</v>
      </c>
      <c r="I928" s="87">
        <v>9890</v>
      </c>
      <c r="J928" s="85">
        <v>295.31200000000001</v>
      </c>
      <c r="K928" s="87">
        <v>9890</v>
      </c>
      <c r="L928" s="85">
        <v>294.33199999999999</v>
      </c>
      <c r="M928" s="87">
        <v>9890</v>
      </c>
      <c r="N928" s="85">
        <v>295.11700000000002</v>
      </c>
      <c r="O928" s="87">
        <v>9870</v>
      </c>
      <c r="P928" s="85">
        <v>296.14499999999998</v>
      </c>
      <c r="Q928" s="87">
        <v>9890</v>
      </c>
      <c r="R928" s="85">
        <v>295.83600000000001</v>
      </c>
      <c r="S928" s="87">
        <v>9890</v>
      </c>
      <c r="T928" s="85">
        <v>296.47699999999998</v>
      </c>
      <c r="U928" s="87">
        <v>9880</v>
      </c>
      <c r="V928" s="85">
        <v>296.39699999999999</v>
      </c>
      <c r="W928" s="87">
        <v>9890</v>
      </c>
      <c r="X928" s="85">
        <v>295.70299999999997</v>
      </c>
      <c r="Y928" s="87">
        <v>9890</v>
      </c>
      <c r="Z928" s="85">
        <v>294.12200000000001</v>
      </c>
      <c r="AA928" s="87">
        <v>9890</v>
      </c>
      <c r="AB928" s="85">
        <v>294.56700000000001</v>
      </c>
      <c r="AC928" s="87">
        <v>9880</v>
      </c>
      <c r="AD928" s="85">
        <v>229.249</v>
      </c>
      <c r="AE928" s="87">
        <v>9890</v>
      </c>
      <c r="AF928" s="85">
        <v>229.178</v>
      </c>
      <c r="AG928" s="87">
        <v>9870</v>
      </c>
      <c r="AH928" s="85">
        <v>49.902999999999999</v>
      </c>
      <c r="AI928" s="87">
        <v>9870</v>
      </c>
      <c r="AJ928" s="85">
        <v>53.353000000000002</v>
      </c>
    </row>
    <row r="929" spans="1:36" ht="14.25" customHeight="1">
      <c r="A929" s="88">
        <v>9900</v>
      </c>
      <c r="B929" s="84">
        <v>112.191</v>
      </c>
      <c r="C929" s="88">
        <v>9910</v>
      </c>
      <c r="D929" s="85">
        <v>110.977</v>
      </c>
      <c r="E929" s="86">
        <v>9900</v>
      </c>
      <c r="F929" s="85">
        <v>305.16199999999998</v>
      </c>
      <c r="G929" s="87">
        <v>9900</v>
      </c>
      <c r="H929" s="85">
        <v>305.11900000000003</v>
      </c>
      <c r="I929" s="87">
        <v>9900</v>
      </c>
      <c r="J929" s="85">
        <v>294.10000000000002</v>
      </c>
      <c r="K929" s="87">
        <v>9900</v>
      </c>
      <c r="L929" s="85">
        <v>293.11799999999999</v>
      </c>
      <c r="M929" s="87">
        <v>9900</v>
      </c>
      <c r="N929" s="85">
        <v>293.90600000000001</v>
      </c>
      <c r="O929" s="87">
        <v>9880</v>
      </c>
      <c r="P929" s="85">
        <v>294.93299999999999</v>
      </c>
      <c r="Q929" s="87">
        <v>9900</v>
      </c>
      <c r="R929" s="85">
        <v>294.625</v>
      </c>
      <c r="S929" s="87">
        <v>9900</v>
      </c>
      <c r="T929" s="85">
        <v>295.26499999999999</v>
      </c>
      <c r="U929" s="87">
        <v>9890</v>
      </c>
      <c r="V929" s="85">
        <v>295.18700000000001</v>
      </c>
      <c r="W929" s="87">
        <v>9900</v>
      </c>
      <c r="X929" s="85">
        <v>294.49200000000002</v>
      </c>
      <c r="Y929" s="87">
        <v>9900</v>
      </c>
      <c r="Z929" s="85">
        <v>292.911</v>
      </c>
      <c r="AA929" s="87">
        <v>9900</v>
      </c>
      <c r="AB929" s="85">
        <v>293.35700000000003</v>
      </c>
      <c r="AC929" s="87">
        <v>9890</v>
      </c>
      <c r="AD929" s="85">
        <v>228.197</v>
      </c>
      <c r="AE929" s="87">
        <v>9900</v>
      </c>
      <c r="AF929" s="85">
        <v>228.09</v>
      </c>
      <c r="AG929" s="87">
        <v>9880</v>
      </c>
      <c r="AH929" s="85">
        <v>49.639000000000003</v>
      </c>
      <c r="AI929" s="87">
        <v>9880</v>
      </c>
      <c r="AJ929" s="85">
        <v>53.075000000000003</v>
      </c>
    </row>
    <row r="930" spans="1:36" ht="14.25" customHeight="1">
      <c r="A930" s="88">
        <v>9910</v>
      </c>
      <c r="B930" s="84">
        <v>111.584</v>
      </c>
      <c r="C930" s="88">
        <v>9920</v>
      </c>
      <c r="D930" s="85">
        <v>110.375</v>
      </c>
      <c r="E930" s="86">
        <v>9910</v>
      </c>
      <c r="F930" s="85">
        <v>303.73899999999998</v>
      </c>
      <c r="G930" s="87">
        <v>9910</v>
      </c>
      <c r="H930" s="85">
        <v>303.697</v>
      </c>
      <c r="I930" s="87">
        <v>9910</v>
      </c>
      <c r="J930" s="85">
        <v>292.88900000000001</v>
      </c>
      <c r="K930" s="87">
        <v>9910</v>
      </c>
      <c r="L930" s="85">
        <v>291.90499999999997</v>
      </c>
      <c r="M930" s="87">
        <v>9910</v>
      </c>
      <c r="N930" s="85">
        <v>292.69400000000002</v>
      </c>
      <c r="O930" s="87">
        <v>9890</v>
      </c>
      <c r="P930" s="85">
        <v>293.72199999999998</v>
      </c>
      <c r="Q930" s="87">
        <v>9910</v>
      </c>
      <c r="R930" s="85">
        <v>293.41300000000001</v>
      </c>
      <c r="S930" s="87">
        <v>9910</v>
      </c>
      <c r="T930" s="85">
        <v>294.053</v>
      </c>
      <c r="U930" s="87">
        <v>9900</v>
      </c>
      <c r="V930" s="85">
        <v>293.976</v>
      </c>
      <c r="W930" s="87">
        <v>9910</v>
      </c>
      <c r="X930" s="85">
        <v>293.28100000000001</v>
      </c>
      <c r="Y930" s="87">
        <v>9910</v>
      </c>
      <c r="Z930" s="85">
        <v>291.70100000000002</v>
      </c>
      <c r="AA930" s="87">
        <v>9910</v>
      </c>
      <c r="AB930" s="85">
        <v>292.14699999999999</v>
      </c>
      <c r="AC930" s="87">
        <v>9900</v>
      </c>
      <c r="AD930" s="85">
        <v>227.14400000000001</v>
      </c>
      <c r="AE930" s="87">
        <v>9910</v>
      </c>
      <c r="AF930" s="85">
        <v>227.00399999999999</v>
      </c>
      <c r="AG930" s="87">
        <v>9890</v>
      </c>
      <c r="AH930" s="85">
        <v>49.375999999999998</v>
      </c>
      <c r="AI930" s="87">
        <v>9890</v>
      </c>
      <c r="AJ930" s="85">
        <v>52.796999999999997</v>
      </c>
    </row>
    <row r="931" spans="1:36" ht="14.25" customHeight="1">
      <c r="A931" s="88">
        <v>9920</v>
      </c>
      <c r="B931" s="84">
        <v>110.97799999999999</v>
      </c>
      <c r="C931" s="88">
        <v>9930</v>
      </c>
      <c r="D931" s="85">
        <v>109.77500000000001</v>
      </c>
      <c r="E931" s="86">
        <v>9920</v>
      </c>
      <c r="F931" s="85">
        <v>302.31599999999997</v>
      </c>
      <c r="G931" s="87">
        <v>9920</v>
      </c>
      <c r="H931" s="85">
        <v>302.27499999999998</v>
      </c>
      <c r="I931" s="87">
        <v>9920</v>
      </c>
      <c r="J931" s="85">
        <v>291.678</v>
      </c>
      <c r="K931" s="87">
        <v>9920</v>
      </c>
      <c r="L931" s="85">
        <v>290.69200000000001</v>
      </c>
      <c r="M931" s="87">
        <v>9920</v>
      </c>
      <c r="N931" s="85">
        <v>291.48200000000003</v>
      </c>
      <c r="O931" s="87">
        <v>9900</v>
      </c>
      <c r="P931" s="85">
        <v>292.51</v>
      </c>
      <c r="Q931" s="87">
        <v>9920</v>
      </c>
      <c r="R931" s="85">
        <v>292.202</v>
      </c>
      <c r="S931" s="87">
        <v>9920</v>
      </c>
      <c r="T931" s="85">
        <v>292.84100000000001</v>
      </c>
      <c r="U931" s="87">
        <v>9910</v>
      </c>
      <c r="V931" s="85">
        <v>292.76600000000002</v>
      </c>
      <c r="W931" s="87">
        <v>9920</v>
      </c>
      <c r="X931" s="85">
        <v>292.07</v>
      </c>
      <c r="Y931" s="87">
        <v>9920</v>
      </c>
      <c r="Z931" s="85">
        <v>290.49</v>
      </c>
      <c r="AA931" s="87">
        <v>9920</v>
      </c>
      <c r="AB931" s="85">
        <v>290.93700000000001</v>
      </c>
      <c r="AC931" s="87">
        <v>9910</v>
      </c>
      <c r="AD931" s="85">
        <v>226.09100000000001</v>
      </c>
      <c r="AE931" s="87">
        <v>9920</v>
      </c>
      <c r="AF931" s="85">
        <v>225.91800000000001</v>
      </c>
      <c r="AG931" s="87">
        <v>9900</v>
      </c>
      <c r="AH931" s="85">
        <v>49.113999999999997</v>
      </c>
      <c r="AI931" s="87">
        <v>9900</v>
      </c>
      <c r="AJ931" s="85">
        <v>52.521000000000001</v>
      </c>
    </row>
    <row r="932" spans="1:36" ht="14.25" customHeight="1">
      <c r="A932" s="88">
        <v>9930</v>
      </c>
      <c r="B932" s="84">
        <v>110.374</v>
      </c>
      <c r="C932" s="88">
        <v>9940</v>
      </c>
      <c r="D932" s="85">
        <v>109.176</v>
      </c>
      <c r="E932" s="86">
        <v>9930</v>
      </c>
      <c r="F932" s="85">
        <v>300.89499999999998</v>
      </c>
      <c r="G932" s="87">
        <v>9930</v>
      </c>
      <c r="H932" s="85">
        <v>300.85500000000002</v>
      </c>
      <c r="I932" s="87">
        <v>9930</v>
      </c>
      <c r="J932" s="85">
        <v>290.46699999999998</v>
      </c>
      <c r="K932" s="87">
        <v>9930</v>
      </c>
      <c r="L932" s="85">
        <v>289.47800000000001</v>
      </c>
      <c r="M932" s="87">
        <v>9930</v>
      </c>
      <c r="N932" s="85">
        <v>290.27100000000002</v>
      </c>
      <c r="O932" s="87">
        <v>9910</v>
      </c>
      <c r="P932" s="85">
        <v>291.298</v>
      </c>
      <c r="Q932" s="87">
        <v>9930</v>
      </c>
      <c r="R932" s="85">
        <v>290.99</v>
      </c>
      <c r="S932" s="87">
        <v>9930</v>
      </c>
      <c r="T932" s="85">
        <v>291.62900000000002</v>
      </c>
      <c r="U932" s="87">
        <v>9920</v>
      </c>
      <c r="V932" s="85">
        <v>291.55500000000001</v>
      </c>
      <c r="W932" s="87">
        <v>9930</v>
      </c>
      <c r="X932" s="85">
        <v>290.85899999999998</v>
      </c>
      <c r="Y932" s="87">
        <v>9930</v>
      </c>
      <c r="Z932" s="85">
        <v>289.279</v>
      </c>
      <c r="AA932" s="87">
        <v>9930</v>
      </c>
      <c r="AB932" s="85">
        <v>289.72699999999998</v>
      </c>
      <c r="AC932" s="87">
        <v>9920</v>
      </c>
      <c r="AD932" s="85">
        <v>225.03899999999999</v>
      </c>
      <c r="AE932" s="87">
        <v>9930</v>
      </c>
      <c r="AF932" s="85">
        <v>224.833</v>
      </c>
      <c r="AG932" s="87">
        <v>9910</v>
      </c>
      <c r="AH932" s="85">
        <v>48.851999999999997</v>
      </c>
      <c r="AI932" s="87">
        <v>9910</v>
      </c>
      <c r="AJ932" s="85">
        <v>52.244</v>
      </c>
    </row>
    <row r="933" spans="1:36" ht="14.25" customHeight="1">
      <c r="A933" s="88">
        <v>9940</v>
      </c>
      <c r="B933" s="84">
        <v>109.771</v>
      </c>
      <c r="C933" s="88">
        <v>9950</v>
      </c>
      <c r="D933" s="85">
        <v>108.578</v>
      </c>
      <c r="E933" s="86">
        <v>9940</v>
      </c>
      <c r="F933" s="85">
        <v>299.47399999999999</v>
      </c>
      <c r="G933" s="87">
        <v>9940</v>
      </c>
      <c r="H933" s="85">
        <v>299.435</v>
      </c>
      <c r="I933" s="87">
        <v>9940</v>
      </c>
      <c r="J933" s="85">
        <v>289.255</v>
      </c>
      <c r="K933" s="87">
        <v>9940</v>
      </c>
      <c r="L933" s="85">
        <v>288.26499999999999</v>
      </c>
      <c r="M933" s="87">
        <v>9940</v>
      </c>
      <c r="N933" s="85">
        <v>289.05900000000003</v>
      </c>
      <c r="O933" s="87">
        <v>9920</v>
      </c>
      <c r="P933" s="85">
        <v>290.08600000000001</v>
      </c>
      <c r="Q933" s="87">
        <v>9940</v>
      </c>
      <c r="R933" s="85">
        <v>289.779</v>
      </c>
      <c r="S933" s="87">
        <v>9940</v>
      </c>
      <c r="T933" s="85">
        <v>290.41699999999997</v>
      </c>
      <c r="U933" s="87">
        <v>9930</v>
      </c>
      <c r="V933" s="85">
        <v>290.34500000000003</v>
      </c>
      <c r="W933" s="87">
        <v>9940</v>
      </c>
      <c r="X933" s="85">
        <v>289.64800000000002</v>
      </c>
      <c r="Y933" s="87">
        <v>9940</v>
      </c>
      <c r="Z933" s="85">
        <v>288.06799999999998</v>
      </c>
      <c r="AA933" s="87">
        <v>9940</v>
      </c>
      <c r="AB933" s="85">
        <v>288.517</v>
      </c>
      <c r="AC933" s="87">
        <v>9930</v>
      </c>
      <c r="AD933" s="85">
        <v>223.98599999999999</v>
      </c>
      <c r="AE933" s="87">
        <v>9940</v>
      </c>
      <c r="AF933" s="85">
        <v>223.749</v>
      </c>
      <c r="AG933" s="87">
        <v>9920</v>
      </c>
      <c r="AH933" s="85">
        <v>48.59</v>
      </c>
      <c r="AI933" s="87">
        <v>9920</v>
      </c>
      <c r="AJ933" s="85">
        <v>51.969000000000001</v>
      </c>
    </row>
    <row r="934" spans="1:36" ht="14.25" customHeight="1">
      <c r="A934" s="88">
        <v>9950</v>
      </c>
      <c r="B934" s="84">
        <v>109.169</v>
      </c>
      <c r="C934" s="88">
        <v>9960</v>
      </c>
      <c r="D934" s="85">
        <v>107.98099999999999</v>
      </c>
      <c r="E934" s="86">
        <v>9950</v>
      </c>
      <c r="F934" s="85">
        <v>298.05399999999997</v>
      </c>
      <c r="G934" s="87">
        <v>9950</v>
      </c>
      <c r="H934" s="85">
        <v>298.01600000000002</v>
      </c>
      <c r="I934" s="87">
        <v>9950</v>
      </c>
      <c r="J934" s="85">
        <v>288.04399999999998</v>
      </c>
      <c r="K934" s="87">
        <v>9950</v>
      </c>
      <c r="L934" s="85">
        <v>287.05200000000002</v>
      </c>
      <c r="M934" s="87">
        <v>9950</v>
      </c>
      <c r="N934" s="85">
        <v>287.84800000000001</v>
      </c>
      <c r="O934" s="87">
        <v>9930</v>
      </c>
      <c r="P934" s="85">
        <v>288.87400000000002</v>
      </c>
      <c r="Q934" s="87">
        <v>9950</v>
      </c>
      <c r="R934" s="85">
        <v>288.56700000000001</v>
      </c>
      <c r="S934" s="87">
        <v>9950</v>
      </c>
      <c r="T934" s="85">
        <v>289.20499999999998</v>
      </c>
      <c r="U934" s="87">
        <v>9940</v>
      </c>
      <c r="V934" s="89">
        <v>289.13400000000001</v>
      </c>
      <c r="W934" s="87">
        <v>9950</v>
      </c>
      <c r="X934" s="85">
        <v>288.43599999999998</v>
      </c>
      <c r="Y934" s="87">
        <v>9950</v>
      </c>
      <c r="Z934" s="85">
        <v>286.858</v>
      </c>
      <c r="AA934" s="87">
        <v>9950</v>
      </c>
      <c r="AB934" s="85">
        <v>287.30700000000002</v>
      </c>
      <c r="AC934" s="87">
        <v>9940</v>
      </c>
      <c r="AD934" s="85">
        <v>222.93299999999999</v>
      </c>
      <c r="AE934" s="87">
        <v>9950</v>
      </c>
      <c r="AF934" s="85">
        <v>222.666</v>
      </c>
      <c r="AG934" s="87">
        <v>9930</v>
      </c>
      <c r="AH934" s="85">
        <v>48.329000000000001</v>
      </c>
      <c r="AI934" s="87">
        <v>9930</v>
      </c>
      <c r="AJ934" s="85">
        <v>51.692999999999998</v>
      </c>
    </row>
    <row r="935" spans="1:36" ht="14.25" customHeight="1">
      <c r="A935" s="88">
        <v>9960</v>
      </c>
      <c r="B935" s="84">
        <v>108.569</v>
      </c>
      <c r="C935" s="88">
        <v>9970</v>
      </c>
      <c r="D935" s="85">
        <v>107.386</v>
      </c>
      <c r="E935" s="86">
        <v>9960</v>
      </c>
      <c r="F935" s="85">
        <v>296.63499999999999</v>
      </c>
      <c r="G935" s="87">
        <v>9960</v>
      </c>
      <c r="H935" s="85">
        <v>296.59800000000001</v>
      </c>
      <c r="I935" s="87">
        <v>9960</v>
      </c>
      <c r="J935" s="85">
        <v>286.83300000000003</v>
      </c>
      <c r="K935" s="87">
        <v>9960</v>
      </c>
      <c r="L935" s="85">
        <v>285.83800000000002</v>
      </c>
      <c r="M935" s="87">
        <v>9960</v>
      </c>
      <c r="N935" s="85">
        <v>286.63600000000002</v>
      </c>
      <c r="O935" s="87">
        <v>9940</v>
      </c>
      <c r="P935" s="85">
        <v>287.66199999999998</v>
      </c>
      <c r="Q935" s="87">
        <v>9960</v>
      </c>
      <c r="R935" s="85">
        <v>287.35500000000002</v>
      </c>
      <c r="S935" s="87">
        <v>9960</v>
      </c>
      <c r="T935" s="85">
        <v>287.99299999999999</v>
      </c>
      <c r="U935" s="87">
        <v>9950</v>
      </c>
      <c r="V935" s="89">
        <v>287.92399999999998</v>
      </c>
      <c r="W935" s="87">
        <v>9960</v>
      </c>
      <c r="X935" s="85">
        <v>287.22500000000002</v>
      </c>
      <c r="Y935" s="87">
        <v>9960</v>
      </c>
      <c r="Z935" s="85">
        <v>285.64699999999999</v>
      </c>
      <c r="AA935" s="87">
        <v>9960</v>
      </c>
      <c r="AB935" s="85">
        <v>286.09699999999998</v>
      </c>
      <c r="AC935" s="87">
        <v>9950</v>
      </c>
      <c r="AD935" s="85">
        <v>221.881</v>
      </c>
      <c r="AE935" s="87">
        <v>9960</v>
      </c>
      <c r="AF935" s="85">
        <v>221.584</v>
      </c>
      <c r="AG935" s="87">
        <v>9940</v>
      </c>
      <c r="AH935" s="85">
        <v>48.067999999999998</v>
      </c>
      <c r="AI935" s="87">
        <v>9940</v>
      </c>
      <c r="AJ935" s="85">
        <v>51.418999999999997</v>
      </c>
    </row>
    <row r="936" spans="1:36" ht="14.25" customHeight="1">
      <c r="A936" s="88">
        <v>9970</v>
      </c>
      <c r="B936" s="84">
        <v>107.97</v>
      </c>
      <c r="C936" s="88">
        <v>9980</v>
      </c>
      <c r="D936" s="85">
        <v>106.792</v>
      </c>
      <c r="E936" s="86">
        <v>9970</v>
      </c>
      <c r="F936" s="85">
        <v>295.21600000000001</v>
      </c>
      <c r="G936" s="87">
        <v>9970</v>
      </c>
      <c r="H936" s="85">
        <v>295.18099999999998</v>
      </c>
      <c r="I936" s="87">
        <v>9970</v>
      </c>
      <c r="J936" s="85">
        <v>285.62200000000001</v>
      </c>
      <c r="K936" s="87">
        <v>9970</v>
      </c>
      <c r="L936" s="85">
        <v>284.625</v>
      </c>
      <c r="M936" s="87">
        <v>9970</v>
      </c>
      <c r="N936" s="85">
        <v>285.42399999999998</v>
      </c>
      <c r="O936" s="87">
        <v>9950</v>
      </c>
      <c r="P936" s="85">
        <v>286.45100000000002</v>
      </c>
      <c r="Q936" s="87">
        <v>9970</v>
      </c>
      <c r="R936" s="85">
        <v>286.14400000000001</v>
      </c>
      <c r="S936" s="87">
        <v>9970</v>
      </c>
      <c r="T936" s="85">
        <v>286.78100000000001</v>
      </c>
      <c r="U936" s="87">
        <v>9960</v>
      </c>
      <c r="V936" s="85">
        <v>286.714</v>
      </c>
      <c r="W936" s="87">
        <v>9970</v>
      </c>
      <c r="X936" s="85">
        <v>286.01400000000001</v>
      </c>
      <c r="Y936" s="87">
        <v>9970</v>
      </c>
      <c r="Z936" s="85">
        <v>284.43599999999998</v>
      </c>
      <c r="AA936" s="87">
        <v>9970</v>
      </c>
      <c r="AB936" s="85">
        <v>284.887</v>
      </c>
      <c r="AC936" s="87">
        <v>9960</v>
      </c>
      <c r="AD936" s="85">
        <v>220.828</v>
      </c>
      <c r="AE936" s="87">
        <v>9970</v>
      </c>
      <c r="AF936" s="85">
        <v>220.50399999999999</v>
      </c>
      <c r="AG936" s="87">
        <v>9950</v>
      </c>
      <c r="AH936" s="85">
        <v>47.808</v>
      </c>
      <c r="AI936" s="87">
        <v>9950</v>
      </c>
      <c r="AJ936" s="85">
        <v>51.143999999999998</v>
      </c>
    </row>
    <row r="937" spans="1:36" ht="14.25" customHeight="1">
      <c r="A937" s="88">
        <v>9980</v>
      </c>
      <c r="B937" s="84">
        <v>107.372</v>
      </c>
      <c r="C937" s="88">
        <v>9990</v>
      </c>
      <c r="D937" s="85">
        <v>106.199</v>
      </c>
      <c r="E937" s="86">
        <v>9980</v>
      </c>
      <c r="F937" s="85">
        <v>293.79899999999998</v>
      </c>
      <c r="G937" s="87">
        <v>9980</v>
      </c>
      <c r="H937" s="85">
        <v>293.76499999999999</v>
      </c>
      <c r="I937" s="87">
        <v>9980</v>
      </c>
      <c r="J937" s="85">
        <v>284.41000000000003</v>
      </c>
      <c r="K937" s="87">
        <v>9980</v>
      </c>
      <c r="L937" s="85">
        <v>283.41199999999998</v>
      </c>
      <c r="M937" s="87">
        <v>9980</v>
      </c>
      <c r="N937" s="85">
        <v>284.21300000000002</v>
      </c>
      <c r="O937" s="87">
        <v>9960</v>
      </c>
      <c r="P937" s="85">
        <v>285.23899999999998</v>
      </c>
      <c r="Q937" s="87">
        <v>9980</v>
      </c>
      <c r="R937" s="85">
        <v>284.93200000000002</v>
      </c>
      <c r="S937" s="87">
        <v>9980</v>
      </c>
      <c r="T937" s="85">
        <v>285.56900000000002</v>
      </c>
      <c r="U937" s="87">
        <v>9970</v>
      </c>
      <c r="V937" s="85">
        <v>285.50299999999999</v>
      </c>
      <c r="W937" s="87">
        <v>9980</v>
      </c>
      <c r="X937" s="85">
        <v>284.803</v>
      </c>
      <c r="Y937" s="87">
        <v>9980</v>
      </c>
      <c r="Z937" s="85">
        <v>283.226</v>
      </c>
      <c r="AA937" s="87">
        <v>9980</v>
      </c>
      <c r="AB937" s="85">
        <v>283.67700000000002</v>
      </c>
      <c r="AC937" s="87">
        <v>9970</v>
      </c>
      <c r="AD937" s="85">
        <v>219.77500000000001</v>
      </c>
      <c r="AE937" s="87">
        <v>9980</v>
      </c>
      <c r="AF937" s="85">
        <v>219.42400000000001</v>
      </c>
      <c r="AG937" s="87">
        <v>9960</v>
      </c>
      <c r="AH937" s="85">
        <v>47.548999999999999</v>
      </c>
      <c r="AI937" s="87">
        <v>9960</v>
      </c>
      <c r="AJ937" s="85">
        <v>50.871000000000002</v>
      </c>
    </row>
    <row r="938" spans="1:36" ht="14.25" customHeight="1">
      <c r="A938" s="88">
        <v>9990</v>
      </c>
      <c r="B938" s="84">
        <v>106.77500000000001</v>
      </c>
      <c r="C938" s="88">
        <v>10000</v>
      </c>
      <c r="D938" s="85">
        <v>105.608</v>
      </c>
      <c r="E938" s="86">
        <v>9990</v>
      </c>
      <c r="F938" s="85">
        <v>292.38299999999998</v>
      </c>
      <c r="G938" s="87">
        <v>9990</v>
      </c>
      <c r="H938" s="85">
        <v>292.35000000000002</v>
      </c>
      <c r="I938" s="87">
        <v>9990</v>
      </c>
      <c r="J938" s="85">
        <v>283.19900000000001</v>
      </c>
      <c r="K938" s="87">
        <v>9990</v>
      </c>
      <c r="L938" s="85">
        <v>282.19799999999998</v>
      </c>
      <c r="M938" s="87">
        <v>9990</v>
      </c>
      <c r="N938" s="85">
        <v>283.00099999999998</v>
      </c>
      <c r="O938" s="87">
        <v>9970</v>
      </c>
      <c r="P938" s="85">
        <v>284.02699999999999</v>
      </c>
      <c r="Q938" s="87">
        <v>9990</v>
      </c>
      <c r="R938" s="85">
        <v>283.721</v>
      </c>
      <c r="S938" s="87">
        <v>9990</v>
      </c>
      <c r="T938" s="85">
        <v>284.35700000000003</v>
      </c>
      <c r="U938" s="87">
        <v>9980</v>
      </c>
      <c r="V938" s="85">
        <v>284.29300000000001</v>
      </c>
      <c r="W938" s="87">
        <v>9990</v>
      </c>
      <c r="X938" s="85">
        <v>283.59199999999998</v>
      </c>
      <c r="Y938" s="87">
        <v>9990</v>
      </c>
      <c r="Z938" s="85">
        <v>282.01499999999999</v>
      </c>
      <c r="AA938" s="87">
        <v>9990</v>
      </c>
      <c r="AB938" s="85">
        <v>282.46699999999998</v>
      </c>
      <c r="AC938" s="87">
        <v>9980</v>
      </c>
      <c r="AD938" s="85">
        <v>218.72300000000001</v>
      </c>
      <c r="AE938" s="87">
        <v>9990</v>
      </c>
      <c r="AF938" s="85">
        <v>218.345</v>
      </c>
      <c r="AG938" s="87">
        <v>9970</v>
      </c>
      <c r="AH938" s="85">
        <v>47.29</v>
      </c>
      <c r="AI938" s="87">
        <v>9970</v>
      </c>
      <c r="AJ938" s="85">
        <v>50.597999999999999</v>
      </c>
    </row>
    <row r="939" spans="1:36" ht="14.25" customHeight="1">
      <c r="A939" s="88">
        <v>10000</v>
      </c>
      <c r="B939" s="84">
        <v>106.18</v>
      </c>
      <c r="C939" s="88">
        <v>10010</v>
      </c>
      <c r="D939" s="85">
        <v>105.017</v>
      </c>
      <c r="E939" s="86">
        <v>10000</v>
      </c>
      <c r="F939" s="85">
        <v>290.96699999999998</v>
      </c>
      <c r="G939" s="87">
        <v>10000</v>
      </c>
      <c r="H939" s="85">
        <v>290.93599999999998</v>
      </c>
      <c r="I939" s="87">
        <v>10000</v>
      </c>
      <c r="J939" s="85">
        <v>281.988</v>
      </c>
      <c r="K939" s="87">
        <v>10000</v>
      </c>
      <c r="L939" s="85">
        <v>280.98500000000001</v>
      </c>
      <c r="M939" s="87">
        <v>10000</v>
      </c>
      <c r="N939" s="85">
        <v>281.79000000000002</v>
      </c>
      <c r="O939" s="87">
        <v>9980</v>
      </c>
      <c r="P939" s="85">
        <v>282.815</v>
      </c>
      <c r="Q939" s="87">
        <v>10000</v>
      </c>
      <c r="R939" s="85">
        <v>282.50900000000001</v>
      </c>
      <c r="S939" s="87">
        <v>10000</v>
      </c>
      <c r="T939" s="85">
        <v>283.14499999999998</v>
      </c>
      <c r="U939" s="87">
        <v>9990</v>
      </c>
      <c r="V939" s="85">
        <v>283.08199999999999</v>
      </c>
      <c r="W939" s="87">
        <v>10000</v>
      </c>
      <c r="X939" s="85">
        <v>282.38099999999997</v>
      </c>
      <c r="Y939" s="87">
        <v>10000</v>
      </c>
      <c r="Z939" s="85">
        <v>280.80399999999997</v>
      </c>
      <c r="AA939" s="87">
        <v>10000</v>
      </c>
      <c r="AB939" s="85">
        <v>281.25700000000001</v>
      </c>
      <c r="AC939" s="87">
        <v>9990</v>
      </c>
      <c r="AD939" s="85">
        <v>217.67</v>
      </c>
      <c r="AE939" s="87">
        <v>10000</v>
      </c>
      <c r="AF939" s="85">
        <v>217.267</v>
      </c>
      <c r="AG939" s="87">
        <v>9980</v>
      </c>
      <c r="AH939" s="85">
        <v>47.031999999999996</v>
      </c>
      <c r="AI939" s="87">
        <v>9980</v>
      </c>
      <c r="AJ939" s="85">
        <v>50.325000000000003</v>
      </c>
    </row>
    <row r="940" spans="1:36" ht="14.25" customHeight="1">
      <c r="A940" s="88">
        <v>10010</v>
      </c>
      <c r="B940" s="84">
        <v>105.586</v>
      </c>
      <c r="C940" s="88">
        <v>10020</v>
      </c>
      <c r="D940" s="85">
        <v>104.428</v>
      </c>
      <c r="E940" s="86">
        <v>10010</v>
      </c>
      <c r="F940" s="85">
        <v>289.553</v>
      </c>
      <c r="G940" s="87">
        <v>10010</v>
      </c>
      <c r="H940" s="85">
        <v>289.52300000000002</v>
      </c>
      <c r="I940" s="87">
        <v>10010</v>
      </c>
      <c r="J940" s="85">
        <v>280.77600000000001</v>
      </c>
      <c r="K940" s="87">
        <v>10010</v>
      </c>
      <c r="L940" s="85">
        <v>279.77199999999999</v>
      </c>
      <c r="M940" s="87">
        <v>10010</v>
      </c>
      <c r="N940" s="85">
        <v>280.57799999999997</v>
      </c>
      <c r="O940" s="87">
        <v>9990</v>
      </c>
      <c r="P940" s="85">
        <v>281.60300000000001</v>
      </c>
      <c r="Q940" s="87">
        <v>10010</v>
      </c>
      <c r="R940" s="85">
        <v>281.298</v>
      </c>
      <c r="S940" s="87">
        <v>10010</v>
      </c>
      <c r="T940" s="85">
        <v>281.93299999999999</v>
      </c>
      <c r="U940" s="87">
        <v>10000</v>
      </c>
      <c r="V940" s="85">
        <v>281.87200000000001</v>
      </c>
      <c r="W940" s="87">
        <v>10010</v>
      </c>
      <c r="X940" s="85">
        <v>281.17</v>
      </c>
      <c r="Y940" s="87">
        <v>10010</v>
      </c>
      <c r="Z940" s="85">
        <v>279.59399999999999</v>
      </c>
      <c r="AA940" s="87">
        <v>10010</v>
      </c>
      <c r="AB940" s="85">
        <v>280.04700000000003</v>
      </c>
      <c r="AC940" s="87">
        <v>10000</v>
      </c>
      <c r="AD940" s="85">
        <v>216.61699999999999</v>
      </c>
      <c r="AE940" s="87">
        <v>10010</v>
      </c>
      <c r="AF940" s="85">
        <v>216.19</v>
      </c>
      <c r="AG940" s="87">
        <v>9990</v>
      </c>
      <c r="AH940" s="85">
        <v>46.774000000000001</v>
      </c>
      <c r="AI940" s="87">
        <v>9990</v>
      </c>
      <c r="AJ940" s="85">
        <v>50.052999999999997</v>
      </c>
    </row>
    <row r="941" spans="1:36" ht="14.25" customHeight="1">
      <c r="A941" s="88">
        <v>10020</v>
      </c>
      <c r="B941" s="84">
        <v>104.99299999999999</v>
      </c>
      <c r="C941" s="88">
        <v>10030</v>
      </c>
      <c r="D941" s="85">
        <v>103.84099999999999</v>
      </c>
      <c r="E941" s="86">
        <v>10020</v>
      </c>
      <c r="F941" s="85">
        <v>288.13900000000001</v>
      </c>
      <c r="G941" s="87">
        <v>10020</v>
      </c>
      <c r="H941" s="85">
        <v>288.11099999999999</v>
      </c>
      <c r="I941" s="87">
        <v>10020</v>
      </c>
      <c r="J941" s="85">
        <v>279.565</v>
      </c>
      <c r="K941" s="87">
        <v>10020</v>
      </c>
      <c r="L941" s="85">
        <v>278.55799999999999</v>
      </c>
      <c r="M941" s="87">
        <v>10020</v>
      </c>
      <c r="N941" s="85">
        <v>279.36700000000002</v>
      </c>
      <c r="O941" s="87">
        <v>10000</v>
      </c>
      <c r="P941" s="85">
        <v>280.39100000000002</v>
      </c>
      <c r="Q941" s="87">
        <v>10020</v>
      </c>
      <c r="R941" s="85">
        <v>280.08600000000001</v>
      </c>
      <c r="S941" s="87">
        <v>10020</v>
      </c>
      <c r="T941" s="85">
        <v>280.721</v>
      </c>
      <c r="U941" s="87">
        <v>10010</v>
      </c>
      <c r="V941" s="85">
        <v>280.661</v>
      </c>
      <c r="W941" s="87">
        <v>10020</v>
      </c>
      <c r="X941" s="85">
        <v>279.959</v>
      </c>
      <c r="Y941" s="87">
        <v>10020</v>
      </c>
      <c r="Z941" s="85">
        <v>278.38299999999998</v>
      </c>
      <c r="AA941" s="87">
        <v>10020</v>
      </c>
      <c r="AB941" s="85">
        <v>278.83699999999999</v>
      </c>
      <c r="AC941" s="87">
        <v>10010</v>
      </c>
      <c r="AD941" s="85">
        <v>215.56399999999999</v>
      </c>
      <c r="AE941" s="87">
        <v>10020</v>
      </c>
      <c r="AF941" s="85">
        <v>215.114</v>
      </c>
      <c r="AG941" s="87">
        <v>10000</v>
      </c>
      <c r="AH941" s="85">
        <v>46.515999999999998</v>
      </c>
      <c r="AI941" s="87">
        <v>10000</v>
      </c>
      <c r="AJ941" s="85">
        <v>49.780999999999999</v>
      </c>
    </row>
    <row r="942" spans="1:36" ht="14.25" customHeight="1">
      <c r="A942" s="88">
        <v>10030</v>
      </c>
      <c r="B942" s="84">
        <v>104.402</v>
      </c>
      <c r="C942" s="88">
        <v>10040</v>
      </c>
      <c r="D942" s="85">
        <v>103.254</v>
      </c>
      <c r="E942" s="86">
        <v>10030</v>
      </c>
      <c r="F942" s="85">
        <v>286.726</v>
      </c>
      <c r="G942" s="87">
        <v>10030</v>
      </c>
      <c r="H942" s="85">
        <v>286.7</v>
      </c>
      <c r="I942" s="87">
        <v>10030</v>
      </c>
      <c r="J942" s="85">
        <v>278.35399999999998</v>
      </c>
      <c r="K942" s="87">
        <v>10030</v>
      </c>
      <c r="L942" s="85">
        <v>277.34500000000003</v>
      </c>
      <c r="M942" s="87">
        <v>10030</v>
      </c>
      <c r="N942" s="85">
        <v>278.15499999999997</v>
      </c>
      <c r="O942" s="87">
        <v>10010</v>
      </c>
      <c r="P942" s="85">
        <v>279.18</v>
      </c>
      <c r="Q942" s="87">
        <v>10030</v>
      </c>
      <c r="R942" s="85">
        <v>278.87400000000002</v>
      </c>
      <c r="S942" s="87">
        <v>10030</v>
      </c>
      <c r="T942" s="85">
        <v>279.50900000000001</v>
      </c>
      <c r="U942" s="87">
        <v>10020</v>
      </c>
      <c r="V942" s="85">
        <v>279.45100000000002</v>
      </c>
      <c r="W942" s="87">
        <v>10030</v>
      </c>
      <c r="X942" s="85">
        <v>278.74700000000001</v>
      </c>
      <c r="Y942" s="87">
        <v>10030</v>
      </c>
      <c r="Z942" s="85">
        <v>277.17200000000003</v>
      </c>
      <c r="AA942" s="87">
        <v>10030</v>
      </c>
      <c r="AB942" s="85">
        <v>277.62700000000001</v>
      </c>
      <c r="AC942" s="87">
        <v>10020</v>
      </c>
      <c r="AD942" s="85">
        <v>214.512</v>
      </c>
      <c r="AE942" s="87">
        <v>10030</v>
      </c>
      <c r="AF942" s="85">
        <v>214.03899999999999</v>
      </c>
      <c r="AG942" s="87">
        <v>10010</v>
      </c>
      <c r="AH942" s="85">
        <v>46.259</v>
      </c>
      <c r="AI942" s="87">
        <v>10010</v>
      </c>
      <c r="AJ942" s="85">
        <v>49.51</v>
      </c>
    </row>
    <row r="943" spans="1:36" ht="14.25" customHeight="1">
      <c r="A943" s="88">
        <v>10040</v>
      </c>
      <c r="B943" s="84">
        <v>103.81100000000001</v>
      </c>
      <c r="C943" s="88">
        <v>10050</v>
      </c>
      <c r="D943" s="85">
        <v>102.669</v>
      </c>
      <c r="E943" s="86">
        <v>10040</v>
      </c>
      <c r="F943" s="85">
        <v>285.315</v>
      </c>
      <c r="G943" s="87">
        <v>10040</v>
      </c>
      <c r="H943" s="85">
        <v>285.28899999999999</v>
      </c>
      <c r="I943" s="87">
        <v>10040</v>
      </c>
      <c r="J943" s="85">
        <v>277.14299999999997</v>
      </c>
      <c r="K943" s="87">
        <v>10040</v>
      </c>
      <c r="L943" s="85">
        <v>276.13200000000001</v>
      </c>
      <c r="M943" s="87">
        <v>10040</v>
      </c>
      <c r="N943" s="85">
        <v>276.94400000000002</v>
      </c>
      <c r="O943" s="87">
        <v>10020</v>
      </c>
      <c r="P943" s="85">
        <v>277.96800000000002</v>
      </c>
      <c r="Q943" s="87">
        <v>10040</v>
      </c>
      <c r="R943" s="85">
        <v>277.66300000000001</v>
      </c>
      <c r="S943" s="87">
        <v>10040</v>
      </c>
      <c r="T943" s="85">
        <v>278.29700000000003</v>
      </c>
      <c r="U943" s="87">
        <v>10030</v>
      </c>
      <c r="V943" s="85">
        <v>278.24</v>
      </c>
      <c r="W943" s="87">
        <v>10040</v>
      </c>
      <c r="X943" s="85">
        <v>277.536</v>
      </c>
      <c r="Y943" s="87">
        <v>10040</v>
      </c>
      <c r="Z943" s="85">
        <v>275.96199999999999</v>
      </c>
      <c r="AA943" s="87">
        <v>10040</v>
      </c>
      <c r="AB943" s="85">
        <v>276.41699999999997</v>
      </c>
      <c r="AC943" s="87">
        <v>10030</v>
      </c>
      <c r="AD943" s="85">
        <v>213.459</v>
      </c>
      <c r="AE943" s="87">
        <v>10040</v>
      </c>
      <c r="AF943" s="85">
        <v>212.965</v>
      </c>
      <c r="AG943" s="87">
        <v>10020</v>
      </c>
      <c r="AH943" s="85">
        <v>46.003</v>
      </c>
      <c r="AI943" s="87">
        <v>10020</v>
      </c>
      <c r="AJ943" s="85">
        <v>49.24</v>
      </c>
    </row>
    <row r="944" spans="1:36" ht="14.25" customHeight="1">
      <c r="A944" s="88">
        <v>10050</v>
      </c>
      <c r="B944" s="84">
        <v>103.22199999999999</v>
      </c>
      <c r="C944" s="88">
        <v>10060</v>
      </c>
      <c r="D944" s="85">
        <v>102.08499999999999</v>
      </c>
      <c r="E944" s="86">
        <v>10050</v>
      </c>
      <c r="F944" s="85">
        <v>283.904</v>
      </c>
      <c r="G944" s="87">
        <v>10050</v>
      </c>
      <c r="H944" s="85">
        <v>283.88</v>
      </c>
      <c r="I944" s="87">
        <v>10050</v>
      </c>
      <c r="J944" s="85">
        <v>275.93099999999998</v>
      </c>
      <c r="K944" s="87">
        <v>10050</v>
      </c>
      <c r="L944" s="85">
        <v>274.91800000000001</v>
      </c>
      <c r="M944" s="87">
        <v>10050</v>
      </c>
      <c r="N944" s="85">
        <v>275.73200000000003</v>
      </c>
      <c r="O944" s="87">
        <v>10030</v>
      </c>
      <c r="P944" s="85">
        <v>276.75599999999997</v>
      </c>
      <c r="Q944" s="87">
        <v>10050</v>
      </c>
      <c r="R944" s="85">
        <v>276.45100000000002</v>
      </c>
      <c r="S944" s="87">
        <v>10050</v>
      </c>
      <c r="T944" s="85">
        <v>277.08499999999998</v>
      </c>
      <c r="U944" s="87">
        <v>10040</v>
      </c>
      <c r="V944" s="85">
        <v>277.02999999999997</v>
      </c>
      <c r="W944" s="87">
        <v>10050</v>
      </c>
      <c r="X944" s="85">
        <v>276.32499999999999</v>
      </c>
      <c r="Y944" s="87">
        <v>10050</v>
      </c>
      <c r="Z944" s="85">
        <v>274.75099999999998</v>
      </c>
      <c r="AA944" s="87">
        <v>10050</v>
      </c>
      <c r="AB944" s="85">
        <v>275.20699999999999</v>
      </c>
      <c r="AC944" s="87">
        <v>10040</v>
      </c>
      <c r="AD944" s="85">
        <v>212.40600000000001</v>
      </c>
      <c r="AE944" s="87">
        <v>10050</v>
      </c>
      <c r="AF944" s="85">
        <v>211.892</v>
      </c>
      <c r="AG944" s="87">
        <v>10030</v>
      </c>
      <c r="AH944" s="85">
        <v>45.747</v>
      </c>
      <c r="AI944" s="87">
        <v>10030</v>
      </c>
      <c r="AJ944" s="85">
        <v>48.969000000000001</v>
      </c>
    </row>
    <row r="945" spans="1:36" ht="14.25" customHeight="1">
      <c r="A945" s="88">
        <v>10060</v>
      </c>
      <c r="B945" s="84">
        <v>102.63500000000001</v>
      </c>
      <c r="C945" s="88">
        <v>10070</v>
      </c>
      <c r="D945" s="85">
        <v>101.503</v>
      </c>
      <c r="E945" s="86">
        <v>10060</v>
      </c>
      <c r="F945" s="85">
        <v>282.495</v>
      </c>
      <c r="G945" s="87">
        <v>10060</v>
      </c>
      <c r="H945" s="85">
        <v>282.47199999999998</v>
      </c>
      <c r="I945" s="87">
        <v>10060</v>
      </c>
      <c r="J945" s="85">
        <v>274.72000000000003</v>
      </c>
      <c r="K945" s="87">
        <v>10060</v>
      </c>
      <c r="L945" s="85">
        <v>273.70499999999998</v>
      </c>
      <c r="M945" s="87">
        <v>10060</v>
      </c>
      <c r="N945" s="85">
        <v>274.52</v>
      </c>
      <c r="O945" s="87">
        <v>10040</v>
      </c>
      <c r="P945" s="85">
        <v>275.54399999999998</v>
      </c>
      <c r="Q945" s="87">
        <v>10060</v>
      </c>
      <c r="R945" s="85">
        <v>275.24</v>
      </c>
      <c r="S945" s="87">
        <v>10060</v>
      </c>
      <c r="T945" s="85">
        <v>275.87299999999999</v>
      </c>
      <c r="U945" s="87">
        <v>10050</v>
      </c>
      <c r="V945" s="85">
        <v>275.82</v>
      </c>
      <c r="W945" s="87">
        <v>10060</v>
      </c>
      <c r="X945" s="85">
        <v>275.11399999999998</v>
      </c>
      <c r="Y945" s="87">
        <v>10060</v>
      </c>
      <c r="Z945" s="85">
        <v>273.54000000000002</v>
      </c>
      <c r="AA945" s="87">
        <v>10060</v>
      </c>
      <c r="AB945" s="85">
        <v>273.99700000000001</v>
      </c>
      <c r="AC945" s="87">
        <v>10050</v>
      </c>
      <c r="AD945" s="85">
        <v>211.35400000000001</v>
      </c>
      <c r="AE945" s="87">
        <v>10060</v>
      </c>
      <c r="AF945" s="85">
        <v>210.82</v>
      </c>
      <c r="AG945" s="87">
        <v>10040</v>
      </c>
      <c r="AH945" s="85">
        <v>45.491999999999997</v>
      </c>
      <c r="AI945" s="87">
        <v>10040</v>
      </c>
      <c r="AJ945" s="85">
        <v>48.7</v>
      </c>
    </row>
    <row r="946" spans="1:36" ht="14.25" customHeight="1">
      <c r="A946" s="88">
        <v>10070</v>
      </c>
      <c r="B946" s="84">
        <v>102.048</v>
      </c>
      <c r="C946" s="88">
        <v>10080</v>
      </c>
      <c r="D946" s="85">
        <v>100.922</v>
      </c>
      <c r="E946" s="86">
        <v>10070</v>
      </c>
      <c r="F946" s="85">
        <v>281.08600000000001</v>
      </c>
      <c r="G946" s="87">
        <v>10070</v>
      </c>
      <c r="H946" s="85">
        <v>281.065</v>
      </c>
      <c r="I946" s="87">
        <v>10070</v>
      </c>
      <c r="J946" s="85">
        <v>273.50900000000001</v>
      </c>
      <c r="K946" s="87">
        <v>10070</v>
      </c>
      <c r="L946" s="85">
        <v>272.49200000000002</v>
      </c>
      <c r="M946" s="87">
        <v>10070</v>
      </c>
      <c r="N946" s="85">
        <v>273.30900000000003</v>
      </c>
      <c r="O946" s="87">
        <v>10050</v>
      </c>
      <c r="P946" s="85">
        <v>274.33199999999999</v>
      </c>
      <c r="Q946" s="87">
        <v>10070</v>
      </c>
      <c r="R946" s="85">
        <v>274.02800000000002</v>
      </c>
      <c r="S946" s="87">
        <v>10070</v>
      </c>
      <c r="T946" s="85">
        <v>274.661</v>
      </c>
      <c r="U946" s="87">
        <v>10060</v>
      </c>
      <c r="V946" s="85">
        <v>274.60899999999998</v>
      </c>
      <c r="W946" s="87">
        <v>10070</v>
      </c>
      <c r="X946" s="85">
        <v>273.90300000000002</v>
      </c>
      <c r="Y946" s="87">
        <v>10070</v>
      </c>
      <c r="Z946" s="85">
        <v>272.32900000000001</v>
      </c>
      <c r="AA946" s="87">
        <v>10070</v>
      </c>
      <c r="AB946" s="85">
        <v>272.78699999999998</v>
      </c>
      <c r="AC946" s="87">
        <v>10060</v>
      </c>
      <c r="AD946" s="85">
        <v>210.30099999999999</v>
      </c>
      <c r="AE946" s="87">
        <v>10070</v>
      </c>
      <c r="AF946" s="85">
        <v>209.75</v>
      </c>
      <c r="AG946" s="87">
        <v>10050</v>
      </c>
      <c r="AH946" s="85">
        <v>45.237000000000002</v>
      </c>
      <c r="AI946" s="87">
        <v>10050</v>
      </c>
      <c r="AJ946" s="85">
        <v>48.430999999999997</v>
      </c>
    </row>
    <row r="947" spans="1:36" ht="14.25" customHeight="1">
      <c r="A947" s="88">
        <v>10080</v>
      </c>
      <c r="B947" s="84">
        <v>101.46299999999999</v>
      </c>
      <c r="C947" s="88">
        <v>10090</v>
      </c>
      <c r="D947" s="85">
        <v>100.342</v>
      </c>
      <c r="E947" s="86">
        <v>10080</v>
      </c>
      <c r="F947" s="85">
        <v>279.678</v>
      </c>
      <c r="G947" s="87">
        <v>10080</v>
      </c>
      <c r="H947" s="85">
        <v>279.65899999999999</v>
      </c>
      <c r="I947" s="87">
        <v>10080</v>
      </c>
      <c r="J947" s="85">
        <v>272.298</v>
      </c>
      <c r="K947" s="87">
        <v>10080</v>
      </c>
      <c r="L947" s="85">
        <v>271.27800000000002</v>
      </c>
      <c r="M947" s="87">
        <v>10080</v>
      </c>
      <c r="N947" s="85">
        <v>272.09699999999998</v>
      </c>
      <c r="O947" s="87">
        <v>10060</v>
      </c>
      <c r="P947" s="85">
        <v>273.12099999999998</v>
      </c>
      <c r="Q947" s="87">
        <v>10080</v>
      </c>
      <c r="R947" s="85">
        <v>272.81700000000001</v>
      </c>
      <c r="S947" s="87">
        <v>10080</v>
      </c>
      <c r="T947" s="85">
        <v>273.44900000000001</v>
      </c>
      <c r="U947" s="87">
        <v>10070</v>
      </c>
      <c r="V947" s="85">
        <v>273.399</v>
      </c>
      <c r="W947" s="87">
        <v>10080</v>
      </c>
      <c r="X947" s="85">
        <v>272.69200000000001</v>
      </c>
      <c r="Y947" s="87">
        <v>10080</v>
      </c>
      <c r="Z947" s="85">
        <v>271.11900000000003</v>
      </c>
      <c r="AA947" s="87">
        <v>10080</v>
      </c>
      <c r="AB947" s="85">
        <v>271.577</v>
      </c>
      <c r="AC947" s="87">
        <v>10070</v>
      </c>
      <c r="AD947" s="85">
        <v>209.24799999999999</v>
      </c>
      <c r="AE947" s="87">
        <v>10080</v>
      </c>
      <c r="AF947" s="85">
        <v>208.68</v>
      </c>
      <c r="AG947" s="87">
        <v>10060</v>
      </c>
      <c r="AH947" s="85">
        <v>44.982999999999997</v>
      </c>
      <c r="AI947" s="87">
        <v>10060</v>
      </c>
      <c r="AJ947" s="85">
        <v>48.161999999999999</v>
      </c>
    </row>
    <row r="948" spans="1:36" ht="14.25" customHeight="1">
      <c r="A948" s="88">
        <v>10090</v>
      </c>
      <c r="B948" s="84">
        <v>100.88</v>
      </c>
      <c r="C948" s="88">
        <v>10100</v>
      </c>
      <c r="D948" s="85">
        <v>99.763000000000005</v>
      </c>
      <c r="E948" s="86">
        <v>10090</v>
      </c>
      <c r="F948" s="85">
        <v>278.27199999999999</v>
      </c>
      <c r="G948" s="87">
        <v>10090</v>
      </c>
      <c r="H948" s="85">
        <v>278.25400000000002</v>
      </c>
      <c r="I948" s="87">
        <v>10090</v>
      </c>
      <c r="J948" s="85">
        <v>271.08600000000001</v>
      </c>
      <c r="K948" s="87">
        <v>10090</v>
      </c>
      <c r="L948" s="85">
        <v>270.065</v>
      </c>
      <c r="M948" s="87">
        <v>10090</v>
      </c>
      <c r="N948" s="85">
        <v>270.88600000000002</v>
      </c>
      <c r="O948" s="87">
        <v>10070</v>
      </c>
      <c r="P948" s="85">
        <v>271.90899999999999</v>
      </c>
      <c r="Q948" s="87">
        <v>10090</v>
      </c>
      <c r="R948" s="85">
        <v>271.60500000000002</v>
      </c>
      <c r="S948" s="87">
        <v>10090</v>
      </c>
      <c r="T948" s="85">
        <v>272.23700000000002</v>
      </c>
      <c r="U948" s="87">
        <v>10080</v>
      </c>
      <c r="V948" s="85">
        <v>272.18799999999999</v>
      </c>
      <c r="W948" s="87">
        <v>10090</v>
      </c>
      <c r="X948" s="85">
        <v>271.48099999999999</v>
      </c>
      <c r="Y948" s="87">
        <v>10090</v>
      </c>
      <c r="Z948" s="85">
        <v>269.90800000000002</v>
      </c>
      <c r="AA948" s="87">
        <v>10090</v>
      </c>
      <c r="AB948" s="85">
        <v>270.36700000000002</v>
      </c>
      <c r="AC948" s="87">
        <v>10080</v>
      </c>
      <c r="AD948" s="85">
        <v>208.196</v>
      </c>
      <c r="AE948" s="87">
        <v>10090</v>
      </c>
      <c r="AF948" s="85">
        <v>207.61099999999999</v>
      </c>
      <c r="AG948" s="87">
        <v>10070</v>
      </c>
      <c r="AH948" s="85">
        <v>44.728999999999999</v>
      </c>
      <c r="AI948" s="87">
        <v>10070</v>
      </c>
      <c r="AJ948" s="85">
        <v>47.895000000000003</v>
      </c>
    </row>
    <row r="949" spans="1:36" ht="14.25" customHeight="1">
      <c r="A949" s="88">
        <v>10100</v>
      </c>
      <c r="B949" s="84">
        <v>100.297</v>
      </c>
      <c r="C949" s="88">
        <v>10110</v>
      </c>
      <c r="D949" s="85">
        <v>99.185000000000002</v>
      </c>
      <c r="E949" s="86">
        <v>10100</v>
      </c>
      <c r="F949" s="85">
        <v>276.86599999999999</v>
      </c>
      <c r="G949" s="87">
        <v>10100</v>
      </c>
      <c r="H949" s="85">
        <v>276.84899999999999</v>
      </c>
      <c r="I949" s="87">
        <v>10100</v>
      </c>
      <c r="J949" s="85">
        <v>269.875</v>
      </c>
      <c r="K949" s="87">
        <v>10100</v>
      </c>
      <c r="L949" s="85">
        <v>268.85199999999998</v>
      </c>
      <c r="M949" s="87">
        <v>10100</v>
      </c>
      <c r="N949" s="85">
        <v>269.67399999999998</v>
      </c>
      <c r="O949" s="87">
        <v>10080</v>
      </c>
      <c r="P949" s="85">
        <v>270.697</v>
      </c>
      <c r="Q949" s="87">
        <v>10100</v>
      </c>
      <c r="R949" s="85">
        <v>270.39400000000001</v>
      </c>
      <c r="S949" s="87">
        <v>10100</v>
      </c>
      <c r="T949" s="85">
        <v>271.02499999999998</v>
      </c>
      <c r="U949" s="87">
        <v>10090</v>
      </c>
      <c r="V949" s="85">
        <v>270.97800000000001</v>
      </c>
      <c r="W949" s="87">
        <v>10100</v>
      </c>
      <c r="X949" s="85">
        <v>270.27</v>
      </c>
      <c r="Y949" s="87">
        <v>10100</v>
      </c>
      <c r="Z949" s="85">
        <v>268.69799999999998</v>
      </c>
      <c r="AA949" s="87">
        <v>10100</v>
      </c>
      <c r="AB949" s="85">
        <v>269.15699999999998</v>
      </c>
      <c r="AC949" s="87">
        <v>10090</v>
      </c>
      <c r="AD949" s="85">
        <v>207.143</v>
      </c>
      <c r="AE949" s="87">
        <v>10100</v>
      </c>
      <c r="AF949" s="85">
        <v>206.54300000000001</v>
      </c>
      <c r="AG949" s="87">
        <v>10080</v>
      </c>
      <c r="AH949" s="85">
        <v>44.475999999999999</v>
      </c>
      <c r="AI949" s="87">
        <v>10080</v>
      </c>
      <c r="AJ949" s="85">
        <v>47.627000000000002</v>
      </c>
    </row>
    <row r="950" spans="1:36" ht="14.25" customHeight="1">
      <c r="A950" s="88">
        <v>10110</v>
      </c>
      <c r="B950" s="84">
        <v>99.715999999999994</v>
      </c>
      <c r="C950" s="88">
        <v>10120</v>
      </c>
      <c r="D950" s="85">
        <v>98.608999999999995</v>
      </c>
      <c r="E950" s="86">
        <v>10110</v>
      </c>
      <c r="F950" s="85">
        <v>275.46199999999999</v>
      </c>
      <c r="G950" s="87">
        <v>10110</v>
      </c>
      <c r="H950" s="85">
        <v>275.44600000000003</v>
      </c>
      <c r="I950" s="87">
        <v>10110</v>
      </c>
      <c r="J950" s="85">
        <v>268.66399999999999</v>
      </c>
      <c r="K950" s="87">
        <v>10110</v>
      </c>
      <c r="L950" s="85">
        <v>267.63799999999998</v>
      </c>
      <c r="M950" s="87">
        <v>10110</v>
      </c>
      <c r="N950" s="85">
        <v>268.46300000000002</v>
      </c>
      <c r="O950" s="87">
        <v>10090</v>
      </c>
      <c r="P950" s="85">
        <v>269.48500000000001</v>
      </c>
      <c r="Q950" s="87">
        <v>10110</v>
      </c>
      <c r="R950" s="85">
        <v>269.18200000000002</v>
      </c>
      <c r="S950" s="87">
        <v>10110</v>
      </c>
      <c r="T950" s="85">
        <v>269.81299999999999</v>
      </c>
      <c r="U950" s="87">
        <v>10100</v>
      </c>
      <c r="V950" s="85">
        <v>269.767</v>
      </c>
      <c r="W950" s="87">
        <v>10110</v>
      </c>
      <c r="X950" s="85">
        <v>269.05799999999999</v>
      </c>
      <c r="Y950" s="87">
        <v>10110</v>
      </c>
      <c r="Z950" s="85">
        <v>267.48700000000002</v>
      </c>
      <c r="AA950" s="87">
        <v>10110</v>
      </c>
      <c r="AB950" s="85">
        <v>267.947</v>
      </c>
      <c r="AC950" s="87">
        <v>10100</v>
      </c>
      <c r="AD950" s="85">
        <v>206.09</v>
      </c>
      <c r="AE950" s="87">
        <v>10110</v>
      </c>
      <c r="AF950" s="85">
        <v>205.476</v>
      </c>
      <c r="AG950" s="87">
        <v>10090</v>
      </c>
      <c r="AH950" s="85">
        <v>44.222999999999999</v>
      </c>
      <c r="AI950" s="87">
        <v>10090</v>
      </c>
      <c r="AJ950" s="85">
        <v>47.36</v>
      </c>
    </row>
    <row r="951" spans="1:36" ht="14.25" customHeight="1">
      <c r="A951" s="88">
        <v>10120</v>
      </c>
      <c r="B951" s="84">
        <v>99.135999999999996</v>
      </c>
      <c r="C951" s="88">
        <v>10130</v>
      </c>
      <c r="D951" s="85">
        <v>98.034000000000006</v>
      </c>
      <c r="E951" s="86">
        <v>10120</v>
      </c>
      <c r="F951" s="85">
        <v>274.05799999999999</v>
      </c>
      <c r="G951" s="87">
        <v>10120</v>
      </c>
      <c r="H951" s="85">
        <v>274.04399999999998</v>
      </c>
      <c r="I951" s="87">
        <v>10120</v>
      </c>
      <c r="J951" s="85">
        <v>267.45299999999997</v>
      </c>
      <c r="K951" s="87">
        <v>10120</v>
      </c>
      <c r="L951" s="85">
        <v>266.42500000000001</v>
      </c>
      <c r="M951" s="87">
        <v>10120</v>
      </c>
      <c r="N951" s="85">
        <v>267.25099999999998</v>
      </c>
      <c r="O951" s="87">
        <v>10100</v>
      </c>
      <c r="P951" s="85">
        <v>268.274</v>
      </c>
      <c r="Q951" s="87">
        <v>10120</v>
      </c>
      <c r="R951" s="85">
        <v>267.971</v>
      </c>
      <c r="S951" s="87">
        <v>10120</v>
      </c>
      <c r="T951" s="85">
        <v>268.601</v>
      </c>
      <c r="U951" s="87">
        <v>10110</v>
      </c>
      <c r="V951" s="85">
        <v>268.55700000000002</v>
      </c>
      <c r="W951" s="87">
        <v>10120</v>
      </c>
      <c r="X951" s="85">
        <v>267.84699999999998</v>
      </c>
      <c r="Y951" s="87">
        <v>10120</v>
      </c>
      <c r="Z951" s="85">
        <v>266.27600000000001</v>
      </c>
      <c r="AA951" s="87">
        <v>10120</v>
      </c>
      <c r="AB951" s="85">
        <v>266.73700000000002</v>
      </c>
      <c r="AC951" s="87">
        <v>10110</v>
      </c>
      <c r="AD951" s="85">
        <v>205.03800000000001</v>
      </c>
      <c r="AE951" s="87">
        <v>10120</v>
      </c>
      <c r="AF951" s="85">
        <v>204.41</v>
      </c>
      <c r="AG951" s="87">
        <v>10100</v>
      </c>
      <c r="AH951" s="85">
        <v>43.970999999999997</v>
      </c>
      <c r="AI951" s="87">
        <v>10100</v>
      </c>
      <c r="AJ951" s="85">
        <v>47.094000000000001</v>
      </c>
    </row>
    <row r="952" spans="1:36" ht="14.25" customHeight="1">
      <c r="A952" s="88">
        <v>10130</v>
      </c>
      <c r="B952" s="84">
        <v>98.557000000000002</v>
      </c>
      <c r="C952" s="88">
        <v>10140</v>
      </c>
      <c r="D952" s="85">
        <v>97.460999999999999</v>
      </c>
      <c r="E952" s="86">
        <v>10130</v>
      </c>
      <c r="F952" s="85">
        <v>272.65600000000001</v>
      </c>
      <c r="G952" s="87">
        <v>10130</v>
      </c>
      <c r="H952" s="85">
        <v>272.64299999999997</v>
      </c>
      <c r="I952" s="87">
        <v>10130</v>
      </c>
      <c r="J952" s="85">
        <v>266.24099999999999</v>
      </c>
      <c r="K952" s="87">
        <v>10130</v>
      </c>
      <c r="L952" s="85">
        <v>265.21199999999999</v>
      </c>
      <c r="M952" s="87">
        <v>10130</v>
      </c>
      <c r="N952" s="85">
        <v>266.04000000000002</v>
      </c>
      <c r="O952" s="87">
        <v>10110</v>
      </c>
      <c r="P952" s="85">
        <v>267.06200000000001</v>
      </c>
      <c r="Q952" s="87">
        <v>10130</v>
      </c>
      <c r="R952" s="85">
        <v>266.75900000000001</v>
      </c>
      <c r="S952" s="87">
        <v>10130</v>
      </c>
      <c r="T952" s="85">
        <v>267.38900000000001</v>
      </c>
      <c r="U952" s="87">
        <v>10120</v>
      </c>
      <c r="V952" s="85">
        <v>267.346</v>
      </c>
      <c r="W952" s="87">
        <v>10130</v>
      </c>
      <c r="X952" s="85">
        <v>266.63600000000002</v>
      </c>
      <c r="Y952" s="87">
        <v>10130</v>
      </c>
      <c r="Z952" s="85">
        <v>265.065</v>
      </c>
      <c r="AA952" s="87">
        <v>10130</v>
      </c>
      <c r="AB952" s="85">
        <v>265.52600000000001</v>
      </c>
      <c r="AC952" s="87">
        <v>10120</v>
      </c>
      <c r="AD952" s="85">
        <v>203.98500000000001</v>
      </c>
      <c r="AE952" s="87">
        <v>10130</v>
      </c>
      <c r="AF952" s="85">
        <v>203.345</v>
      </c>
      <c r="AG952" s="87">
        <v>10110</v>
      </c>
      <c r="AH952" s="85">
        <v>43.719000000000001</v>
      </c>
      <c r="AI952" s="87">
        <v>10110</v>
      </c>
      <c r="AJ952" s="85">
        <v>46.828000000000003</v>
      </c>
    </row>
    <row r="953" spans="1:36" ht="14.25" customHeight="1">
      <c r="A953" s="88">
        <v>10140</v>
      </c>
      <c r="B953" s="84">
        <v>97.98</v>
      </c>
      <c r="C953" s="88">
        <v>10150</v>
      </c>
      <c r="D953" s="85">
        <v>96.888000000000005</v>
      </c>
      <c r="E953" s="86">
        <v>10140</v>
      </c>
      <c r="F953" s="85">
        <v>271.25400000000002</v>
      </c>
      <c r="G953" s="87">
        <v>10140</v>
      </c>
      <c r="H953" s="85">
        <v>271.24299999999999</v>
      </c>
      <c r="I953" s="87">
        <v>10140</v>
      </c>
      <c r="J953" s="85">
        <v>265.02999999999997</v>
      </c>
      <c r="K953" s="87">
        <v>10140</v>
      </c>
      <c r="L953" s="85">
        <v>263.99799999999999</v>
      </c>
      <c r="M953" s="87">
        <v>10140</v>
      </c>
      <c r="N953" s="85">
        <v>264.82799999999997</v>
      </c>
      <c r="O953" s="87">
        <v>10120</v>
      </c>
      <c r="P953" s="85">
        <v>265.85000000000002</v>
      </c>
      <c r="Q953" s="87">
        <v>10140</v>
      </c>
      <c r="R953" s="85">
        <v>265.548</v>
      </c>
      <c r="S953" s="87">
        <v>10140</v>
      </c>
      <c r="T953" s="85">
        <v>266.17700000000002</v>
      </c>
      <c r="U953" s="87">
        <v>10130</v>
      </c>
      <c r="V953" s="85">
        <v>266.13600000000002</v>
      </c>
      <c r="W953" s="87">
        <v>10140</v>
      </c>
      <c r="X953" s="85">
        <v>265.42500000000001</v>
      </c>
      <c r="Y953" s="87">
        <v>10140</v>
      </c>
      <c r="Z953" s="85">
        <v>263.85500000000002</v>
      </c>
      <c r="AA953" s="87">
        <v>10140</v>
      </c>
      <c r="AB953" s="85">
        <v>264.31599999999997</v>
      </c>
      <c r="AC953" s="87">
        <v>10130</v>
      </c>
      <c r="AD953" s="85">
        <v>202.93199999999999</v>
      </c>
      <c r="AE953" s="87">
        <v>10140</v>
      </c>
      <c r="AF953" s="85">
        <v>202.28200000000001</v>
      </c>
      <c r="AG953" s="87">
        <v>10120</v>
      </c>
      <c r="AH953" s="85">
        <v>43.468000000000004</v>
      </c>
      <c r="AI953" s="87">
        <v>10120</v>
      </c>
      <c r="AJ953" s="85">
        <v>46.563000000000002</v>
      </c>
    </row>
    <row r="954" spans="1:36" ht="14.25" customHeight="1">
      <c r="A954" s="88">
        <v>10150</v>
      </c>
      <c r="B954" s="84">
        <v>97.403999999999996</v>
      </c>
      <c r="C954" s="88">
        <v>10160</v>
      </c>
      <c r="D954" s="85">
        <v>96.316999999999993</v>
      </c>
      <c r="E954" s="86">
        <v>10150</v>
      </c>
      <c r="F954" s="85">
        <v>269.85399999999998</v>
      </c>
      <c r="G954" s="87">
        <v>10150</v>
      </c>
      <c r="H954" s="85">
        <v>269.84399999999999</v>
      </c>
      <c r="I954" s="87">
        <v>10150</v>
      </c>
      <c r="J954" s="85">
        <v>263.81900000000002</v>
      </c>
      <c r="K954" s="87">
        <v>10150</v>
      </c>
      <c r="L954" s="85">
        <v>262.78500000000003</v>
      </c>
      <c r="M954" s="87">
        <v>10150</v>
      </c>
      <c r="N954" s="85">
        <v>263.61700000000002</v>
      </c>
      <c r="O954" s="87">
        <v>10130</v>
      </c>
      <c r="P954" s="85">
        <v>264.63799999999998</v>
      </c>
      <c r="Q954" s="87">
        <v>10150</v>
      </c>
      <c r="R954" s="85">
        <v>264.33600000000001</v>
      </c>
      <c r="S954" s="87">
        <v>10150</v>
      </c>
      <c r="T954" s="85">
        <v>264.96499999999997</v>
      </c>
      <c r="U954" s="87">
        <v>10140</v>
      </c>
      <c r="V954" s="85">
        <v>264.92500000000001</v>
      </c>
      <c r="W954" s="87">
        <v>10150</v>
      </c>
      <c r="X954" s="85">
        <v>264.214</v>
      </c>
      <c r="Y954" s="87">
        <v>10150</v>
      </c>
      <c r="Z954" s="85">
        <v>262.64400000000001</v>
      </c>
      <c r="AA954" s="87">
        <v>10150</v>
      </c>
      <c r="AB954" s="85">
        <v>263.10599999999999</v>
      </c>
      <c r="AC954" s="87">
        <v>10140</v>
      </c>
      <c r="AD954" s="85">
        <v>201.88</v>
      </c>
      <c r="AE954" s="87">
        <v>10150</v>
      </c>
      <c r="AF954" s="85">
        <v>201.21899999999999</v>
      </c>
      <c r="AG954" s="87">
        <v>10130</v>
      </c>
      <c r="AH954" s="85">
        <v>43.218000000000004</v>
      </c>
      <c r="AI954" s="87">
        <v>10130</v>
      </c>
      <c r="AJ954" s="85">
        <v>46.298000000000002</v>
      </c>
    </row>
    <row r="955" spans="1:36" ht="14.25" customHeight="1">
      <c r="A955" s="88">
        <v>10160</v>
      </c>
      <c r="B955" s="84">
        <v>96.828999999999994</v>
      </c>
      <c r="C955" s="88">
        <v>10170</v>
      </c>
      <c r="D955" s="85">
        <v>95.747</v>
      </c>
      <c r="E955" s="86">
        <v>10160</v>
      </c>
      <c r="F955" s="85">
        <v>268.45499999999998</v>
      </c>
      <c r="G955" s="87">
        <v>10160</v>
      </c>
      <c r="H955" s="85">
        <v>268.44600000000003</v>
      </c>
      <c r="I955" s="87">
        <v>10160</v>
      </c>
      <c r="J955" s="85">
        <v>262.608</v>
      </c>
      <c r="K955" s="87">
        <v>10160</v>
      </c>
      <c r="L955" s="85">
        <v>261.572</v>
      </c>
      <c r="M955" s="87">
        <v>10160</v>
      </c>
      <c r="N955" s="85">
        <v>262.40499999999997</v>
      </c>
      <c r="O955" s="87">
        <v>10140</v>
      </c>
      <c r="P955" s="85">
        <v>263.42599999999999</v>
      </c>
      <c r="Q955" s="87">
        <v>10160</v>
      </c>
      <c r="R955" s="85">
        <v>263.12400000000002</v>
      </c>
      <c r="S955" s="87">
        <v>10160</v>
      </c>
      <c r="T955" s="85">
        <v>263.75299999999999</v>
      </c>
      <c r="U955" s="87">
        <v>10150</v>
      </c>
      <c r="V955" s="85">
        <v>263.71499999999997</v>
      </c>
      <c r="W955" s="87">
        <v>10160</v>
      </c>
      <c r="X955" s="85">
        <v>263.00299999999999</v>
      </c>
      <c r="Y955" s="87">
        <v>10160</v>
      </c>
      <c r="Z955" s="85">
        <v>261.43299999999999</v>
      </c>
      <c r="AA955" s="87">
        <v>10160</v>
      </c>
      <c r="AB955" s="85">
        <v>261.89600000000002</v>
      </c>
      <c r="AC955" s="87">
        <v>10150</v>
      </c>
      <c r="AD955" s="85">
        <v>200.827</v>
      </c>
      <c r="AE955" s="87">
        <v>10160</v>
      </c>
      <c r="AF955" s="85">
        <v>200.15700000000001</v>
      </c>
      <c r="AG955" s="87">
        <v>10140</v>
      </c>
      <c r="AH955" s="85">
        <v>42.968000000000004</v>
      </c>
      <c r="AI955" s="87">
        <v>10140</v>
      </c>
      <c r="AJ955" s="85">
        <v>46.033999999999999</v>
      </c>
    </row>
    <row r="956" spans="1:36" ht="14.25" customHeight="1">
      <c r="A956" s="88">
        <v>10170</v>
      </c>
      <c r="B956" s="84">
        <v>96.256</v>
      </c>
      <c r="C956" s="88">
        <v>10180</v>
      </c>
      <c r="D956" s="85">
        <v>95.179000000000002</v>
      </c>
      <c r="E956" s="86">
        <v>10170</v>
      </c>
      <c r="F956" s="85">
        <v>267.05599999999998</v>
      </c>
      <c r="G956" s="87">
        <v>10170</v>
      </c>
      <c r="H956" s="85">
        <v>267.04899999999998</v>
      </c>
      <c r="I956" s="87">
        <v>10170</v>
      </c>
      <c r="J956" s="85">
        <v>261.39699999999999</v>
      </c>
      <c r="K956" s="87">
        <v>10170</v>
      </c>
      <c r="L956" s="85">
        <v>260.358</v>
      </c>
      <c r="M956" s="87">
        <v>10170</v>
      </c>
      <c r="N956" s="85">
        <v>261.19400000000002</v>
      </c>
      <c r="O956" s="87">
        <v>10150</v>
      </c>
      <c r="P956" s="85">
        <v>262.21499999999997</v>
      </c>
      <c r="Q956" s="87">
        <v>10170</v>
      </c>
      <c r="R956" s="85">
        <v>261.91300000000001</v>
      </c>
      <c r="S956" s="87">
        <v>10170</v>
      </c>
      <c r="T956" s="85">
        <v>262.54199999999997</v>
      </c>
      <c r="U956" s="87">
        <v>10160</v>
      </c>
      <c r="V956" s="85">
        <v>262.505</v>
      </c>
      <c r="W956" s="87">
        <v>10170</v>
      </c>
      <c r="X956" s="85">
        <v>261.79199999999997</v>
      </c>
      <c r="Y956" s="87">
        <v>10170</v>
      </c>
      <c r="Z956" s="85">
        <v>260.22300000000001</v>
      </c>
      <c r="AA956" s="87">
        <v>10170</v>
      </c>
      <c r="AB956" s="85">
        <v>260.68599999999998</v>
      </c>
      <c r="AC956" s="87">
        <v>10160</v>
      </c>
      <c r="AD956" s="85">
        <v>199.774</v>
      </c>
      <c r="AE956" s="87">
        <v>10170</v>
      </c>
      <c r="AF956" s="85">
        <v>199.09700000000001</v>
      </c>
      <c r="AG956" s="87">
        <v>10150</v>
      </c>
      <c r="AH956" s="85">
        <v>42.718000000000004</v>
      </c>
      <c r="AI956" s="87">
        <v>10150</v>
      </c>
      <c r="AJ956" s="85">
        <v>45.77</v>
      </c>
    </row>
    <row r="957" spans="1:36" ht="14.25" customHeight="1">
      <c r="A957" s="88">
        <v>10180</v>
      </c>
      <c r="B957" s="84">
        <v>95.683000000000007</v>
      </c>
      <c r="C957" s="88">
        <v>10190</v>
      </c>
      <c r="D957" s="85">
        <v>94.611000000000004</v>
      </c>
      <c r="E957" s="86">
        <v>10180</v>
      </c>
      <c r="F957" s="85">
        <v>265.65899999999999</v>
      </c>
      <c r="G957" s="87">
        <v>10180</v>
      </c>
      <c r="H957" s="85">
        <v>265.654</v>
      </c>
      <c r="I957" s="87">
        <v>10180</v>
      </c>
      <c r="J957" s="85">
        <v>260.185</v>
      </c>
      <c r="K957" s="87">
        <v>10180</v>
      </c>
      <c r="L957" s="85">
        <v>259.14499999999998</v>
      </c>
      <c r="M957" s="87">
        <v>10180</v>
      </c>
      <c r="N957" s="85">
        <v>259.98200000000003</v>
      </c>
      <c r="O957" s="87">
        <v>10160</v>
      </c>
      <c r="P957" s="85">
        <v>261.00299999999999</v>
      </c>
      <c r="Q957" s="87">
        <v>10180</v>
      </c>
      <c r="R957" s="85">
        <v>260.70100000000002</v>
      </c>
      <c r="S957" s="87">
        <v>10180</v>
      </c>
      <c r="T957" s="85">
        <v>261.33</v>
      </c>
      <c r="U957" s="87">
        <v>10170</v>
      </c>
      <c r="V957" s="85">
        <v>261.29399999999998</v>
      </c>
      <c r="W957" s="87">
        <v>10180</v>
      </c>
      <c r="X957" s="85">
        <v>260.58</v>
      </c>
      <c r="Y957" s="87">
        <v>10180</v>
      </c>
      <c r="Z957" s="85">
        <v>259.012</v>
      </c>
      <c r="AA957" s="87">
        <v>10180</v>
      </c>
      <c r="AB957" s="85">
        <v>259.476</v>
      </c>
      <c r="AC957" s="87">
        <v>10170</v>
      </c>
      <c r="AD957" s="85">
        <v>198.72200000000001</v>
      </c>
      <c r="AE957" s="87">
        <v>10180</v>
      </c>
      <c r="AF957" s="85">
        <v>198.03700000000001</v>
      </c>
      <c r="AG957" s="87">
        <v>10160</v>
      </c>
      <c r="AH957" s="85">
        <v>42.469000000000001</v>
      </c>
      <c r="AI957" s="87">
        <v>10160</v>
      </c>
      <c r="AJ957" s="85">
        <v>45.506999999999998</v>
      </c>
    </row>
    <row r="958" spans="1:36" ht="14.25" customHeight="1">
      <c r="A958" s="88">
        <v>10190</v>
      </c>
      <c r="B958" s="84">
        <v>95.111999999999995</v>
      </c>
      <c r="C958" s="88">
        <v>10200</v>
      </c>
      <c r="D958" s="85">
        <v>94.045000000000002</v>
      </c>
      <c r="E958" s="86">
        <v>10190</v>
      </c>
      <c r="F958" s="85">
        <v>264.26299999999998</v>
      </c>
      <c r="G958" s="87">
        <v>10190</v>
      </c>
      <c r="H958" s="85">
        <v>264.25900000000001</v>
      </c>
      <c r="I958" s="87">
        <v>10190</v>
      </c>
      <c r="J958" s="85">
        <v>258.97399999999999</v>
      </c>
      <c r="K958" s="87">
        <v>10190</v>
      </c>
      <c r="L958" s="85">
        <v>257.93200000000002</v>
      </c>
      <c r="M958" s="87">
        <v>10190</v>
      </c>
      <c r="N958" s="85">
        <v>258.77</v>
      </c>
      <c r="O958" s="87">
        <v>10170</v>
      </c>
      <c r="P958" s="85">
        <v>259.791</v>
      </c>
      <c r="Q958" s="87">
        <v>10190</v>
      </c>
      <c r="R958" s="85">
        <v>259.49</v>
      </c>
      <c r="S958" s="87">
        <v>10190</v>
      </c>
      <c r="T958" s="85">
        <v>260.11799999999999</v>
      </c>
      <c r="U958" s="87">
        <v>10180</v>
      </c>
      <c r="V958" s="85">
        <v>260.084</v>
      </c>
      <c r="W958" s="87">
        <v>10190</v>
      </c>
      <c r="X958" s="85">
        <v>259.36900000000003</v>
      </c>
      <c r="Y958" s="87">
        <v>10190</v>
      </c>
      <c r="Z958" s="85">
        <v>257.80099999999999</v>
      </c>
      <c r="AA958" s="87">
        <v>10190</v>
      </c>
      <c r="AB958" s="85">
        <v>258.26600000000002</v>
      </c>
      <c r="AC958" s="87">
        <v>10180</v>
      </c>
      <c r="AD958" s="85">
        <v>197.66900000000001</v>
      </c>
      <c r="AE958" s="87">
        <v>10190</v>
      </c>
      <c r="AF958" s="85">
        <v>196.97900000000001</v>
      </c>
      <c r="AG958" s="87">
        <v>10170</v>
      </c>
      <c r="AH958" s="85">
        <v>42.220999999999997</v>
      </c>
      <c r="AI958" s="87">
        <v>10170</v>
      </c>
      <c r="AJ958" s="85">
        <v>45.244999999999997</v>
      </c>
    </row>
    <row r="959" spans="1:36" ht="14.25" customHeight="1">
      <c r="A959" s="88">
        <v>10200</v>
      </c>
      <c r="B959" s="84">
        <v>94.543000000000006</v>
      </c>
      <c r="C959" s="88">
        <v>10210</v>
      </c>
      <c r="D959" s="85">
        <v>93.48</v>
      </c>
      <c r="E959" s="86">
        <v>10200</v>
      </c>
      <c r="F959" s="85">
        <v>262.86799999999999</v>
      </c>
      <c r="G959" s="87">
        <v>10200</v>
      </c>
      <c r="H959" s="85">
        <v>262.86599999999999</v>
      </c>
      <c r="I959" s="87">
        <v>10200</v>
      </c>
      <c r="J959" s="85">
        <v>257.76299999999998</v>
      </c>
      <c r="K959" s="87">
        <v>10200</v>
      </c>
      <c r="L959" s="85">
        <v>256.71899999999999</v>
      </c>
      <c r="M959" s="87">
        <v>10200</v>
      </c>
      <c r="N959" s="85">
        <v>257.55900000000003</v>
      </c>
      <c r="O959" s="87">
        <v>10180</v>
      </c>
      <c r="P959" s="85">
        <v>258.57900000000001</v>
      </c>
      <c r="Q959" s="87">
        <v>10200</v>
      </c>
      <c r="R959" s="85">
        <v>258.27800000000002</v>
      </c>
      <c r="S959" s="87">
        <v>10200</v>
      </c>
      <c r="T959" s="85">
        <v>258.90600000000001</v>
      </c>
      <c r="U959" s="87">
        <v>10190</v>
      </c>
      <c r="V959" s="85">
        <v>258.87299999999999</v>
      </c>
      <c r="W959" s="87">
        <v>10200</v>
      </c>
      <c r="X959" s="85">
        <v>258.15800000000002</v>
      </c>
      <c r="Y959" s="87">
        <v>10200</v>
      </c>
      <c r="Z959" s="85">
        <v>256.59100000000001</v>
      </c>
      <c r="AA959" s="87">
        <v>10200</v>
      </c>
      <c r="AB959" s="85">
        <v>257.05599999999998</v>
      </c>
      <c r="AC959" s="87">
        <v>10190</v>
      </c>
      <c r="AD959" s="85">
        <v>196.61600000000001</v>
      </c>
      <c r="AE959" s="87">
        <v>10200</v>
      </c>
      <c r="AF959" s="85">
        <v>195.92099999999999</v>
      </c>
      <c r="AG959" s="87">
        <v>10180</v>
      </c>
      <c r="AH959" s="85">
        <v>41.972999999999999</v>
      </c>
      <c r="AI959" s="87">
        <v>10180</v>
      </c>
      <c r="AJ959" s="85">
        <v>44.981999999999999</v>
      </c>
    </row>
    <row r="960" spans="1:36" ht="14.25" customHeight="1">
      <c r="A960" s="88">
        <v>10210</v>
      </c>
      <c r="B960" s="84">
        <v>93.974000000000004</v>
      </c>
      <c r="C960" s="88">
        <v>10220</v>
      </c>
      <c r="D960" s="85">
        <v>92.917000000000002</v>
      </c>
      <c r="E960" s="86">
        <v>10210</v>
      </c>
      <c r="F960" s="85">
        <v>261.47500000000002</v>
      </c>
      <c r="G960" s="87">
        <v>10210</v>
      </c>
      <c r="H960" s="85">
        <v>261.47399999999999</v>
      </c>
      <c r="I960" s="87">
        <v>10210</v>
      </c>
      <c r="J960" s="85">
        <v>256.55200000000002</v>
      </c>
      <c r="K960" s="87">
        <v>10210</v>
      </c>
      <c r="L960" s="85">
        <v>255.505</v>
      </c>
      <c r="M960" s="87">
        <v>10210</v>
      </c>
      <c r="N960" s="85">
        <v>256.34699999999998</v>
      </c>
      <c r="O960" s="87">
        <v>10190</v>
      </c>
      <c r="P960" s="85">
        <v>257.36700000000002</v>
      </c>
      <c r="Q960" s="87">
        <v>10210</v>
      </c>
      <c r="R960" s="85">
        <v>257.06700000000001</v>
      </c>
      <c r="S960" s="87">
        <v>10210</v>
      </c>
      <c r="T960" s="85">
        <v>257.69400000000002</v>
      </c>
      <c r="U960" s="87">
        <v>10200</v>
      </c>
      <c r="V960" s="85">
        <v>257.66300000000001</v>
      </c>
      <c r="W960" s="87">
        <v>10210</v>
      </c>
      <c r="X960" s="85">
        <v>256.947</v>
      </c>
      <c r="Y960" s="87">
        <v>10210</v>
      </c>
      <c r="Z960" s="85">
        <v>255.38</v>
      </c>
      <c r="AA960" s="87">
        <v>10210</v>
      </c>
      <c r="AB960" s="85">
        <v>255.846</v>
      </c>
      <c r="AC960" s="87">
        <v>10200</v>
      </c>
      <c r="AD960" s="85">
        <v>195.56399999999999</v>
      </c>
      <c r="AE960" s="87">
        <v>10210</v>
      </c>
      <c r="AF960" s="85">
        <v>194.86500000000001</v>
      </c>
      <c r="AG960" s="87">
        <v>10190</v>
      </c>
      <c r="AH960" s="85">
        <v>41.725000000000001</v>
      </c>
      <c r="AI960" s="87">
        <v>10190</v>
      </c>
      <c r="AJ960" s="85">
        <v>44.720999999999997</v>
      </c>
    </row>
    <row r="961" spans="1:36" ht="14.25" customHeight="1">
      <c r="A961" s="88">
        <v>10220</v>
      </c>
      <c r="B961" s="84">
        <v>93.406999999999996</v>
      </c>
      <c r="C961" s="88">
        <v>10230</v>
      </c>
      <c r="D961" s="85">
        <v>92.353999999999999</v>
      </c>
      <c r="E961" s="86">
        <v>10220</v>
      </c>
      <c r="F961" s="85">
        <v>260.08199999999999</v>
      </c>
      <c r="G961" s="87">
        <v>10220</v>
      </c>
      <c r="H961" s="85">
        <v>260.08300000000003</v>
      </c>
      <c r="I961" s="87">
        <v>10220</v>
      </c>
      <c r="J961" s="85">
        <v>255.34100000000001</v>
      </c>
      <c r="K961" s="87">
        <v>10220</v>
      </c>
      <c r="L961" s="85">
        <v>254.292</v>
      </c>
      <c r="M961" s="87">
        <v>10220</v>
      </c>
      <c r="N961" s="85">
        <v>255.136</v>
      </c>
      <c r="O961" s="87">
        <v>10200</v>
      </c>
      <c r="P961" s="85">
        <v>256.15600000000001</v>
      </c>
      <c r="Q961" s="87">
        <v>10220</v>
      </c>
      <c r="R961" s="85">
        <v>255.85499999999999</v>
      </c>
      <c r="S961" s="87">
        <v>10220</v>
      </c>
      <c r="T961" s="85">
        <v>256.48200000000003</v>
      </c>
      <c r="U961" s="87">
        <v>10210</v>
      </c>
      <c r="V961" s="85">
        <v>256.452</v>
      </c>
      <c r="W961" s="87">
        <v>10220</v>
      </c>
      <c r="X961" s="85">
        <v>255.73599999999999</v>
      </c>
      <c r="Y961" s="87">
        <v>10220</v>
      </c>
      <c r="Z961" s="85">
        <v>254.16900000000001</v>
      </c>
      <c r="AA961" s="87">
        <v>10220</v>
      </c>
      <c r="AB961" s="85">
        <v>254.636</v>
      </c>
      <c r="AC961" s="87">
        <v>10210</v>
      </c>
      <c r="AD961" s="85">
        <v>194.511</v>
      </c>
      <c r="AE961" s="87">
        <v>10220</v>
      </c>
      <c r="AF961" s="85">
        <v>193.809</v>
      </c>
      <c r="AG961" s="87">
        <v>10200</v>
      </c>
      <c r="AH961" s="85">
        <v>41.478999999999999</v>
      </c>
      <c r="AI961" s="87">
        <v>10200</v>
      </c>
      <c r="AJ961" s="85">
        <v>44.46</v>
      </c>
    </row>
    <row r="962" spans="1:36" ht="14.25" customHeight="1">
      <c r="A962" s="88">
        <v>10230</v>
      </c>
      <c r="B962" s="84">
        <v>92.840999999999994</v>
      </c>
      <c r="C962" s="88">
        <v>10240</v>
      </c>
      <c r="D962" s="85">
        <v>91.793000000000006</v>
      </c>
      <c r="E962" s="86">
        <v>10230</v>
      </c>
      <c r="F962" s="85">
        <v>258.69099999999997</v>
      </c>
      <c r="G962" s="87">
        <v>10230</v>
      </c>
      <c r="H962" s="85">
        <v>258.69299999999998</v>
      </c>
      <c r="I962" s="87">
        <v>10230</v>
      </c>
      <c r="J962" s="85">
        <v>254.12899999999999</v>
      </c>
      <c r="K962" s="87">
        <v>10230</v>
      </c>
      <c r="L962" s="85">
        <v>253.07900000000001</v>
      </c>
      <c r="M962" s="87">
        <v>10230</v>
      </c>
      <c r="N962" s="85">
        <v>253.92400000000001</v>
      </c>
      <c r="O962" s="87">
        <v>10210</v>
      </c>
      <c r="P962" s="85">
        <v>254.94399999999999</v>
      </c>
      <c r="Q962" s="87">
        <v>10230</v>
      </c>
      <c r="R962" s="85">
        <v>254.64400000000001</v>
      </c>
      <c r="S962" s="87">
        <v>10230</v>
      </c>
      <c r="T962" s="85">
        <v>255.27</v>
      </c>
      <c r="U962" s="87">
        <v>10220</v>
      </c>
      <c r="V962" s="85">
        <v>255.24199999999999</v>
      </c>
      <c r="W962" s="87">
        <v>10230</v>
      </c>
      <c r="X962" s="85">
        <v>254.52500000000001</v>
      </c>
      <c r="Y962" s="87">
        <v>10230</v>
      </c>
      <c r="Z962" s="85">
        <v>252.959</v>
      </c>
      <c r="AA962" s="87">
        <v>10230</v>
      </c>
      <c r="AB962" s="85">
        <v>253.42599999999999</v>
      </c>
      <c r="AC962" s="87">
        <v>10220</v>
      </c>
      <c r="AD962" s="85">
        <v>193.458</v>
      </c>
      <c r="AE962" s="87">
        <v>10230</v>
      </c>
      <c r="AF962" s="85">
        <v>192.755</v>
      </c>
      <c r="AG962" s="87">
        <v>10210</v>
      </c>
      <c r="AH962" s="85">
        <v>41.231999999999999</v>
      </c>
      <c r="AI962" s="87">
        <v>10210</v>
      </c>
      <c r="AJ962" s="85">
        <v>44.198999999999998</v>
      </c>
    </row>
    <row r="963" spans="1:36" ht="14.25" customHeight="1">
      <c r="A963" s="88">
        <v>10240</v>
      </c>
      <c r="B963" s="84">
        <v>92.275999999999996</v>
      </c>
      <c r="C963" s="88">
        <v>10250</v>
      </c>
      <c r="D963" s="85">
        <v>91.231999999999999</v>
      </c>
      <c r="E963" s="86">
        <v>10240</v>
      </c>
      <c r="F963" s="85">
        <v>257.3</v>
      </c>
      <c r="G963" s="87">
        <v>10240</v>
      </c>
      <c r="H963" s="85">
        <v>257.30399999999997</v>
      </c>
      <c r="I963" s="87">
        <v>10240</v>
      </c>
      <c r="J963" s="85">
        <v>252.91800000000001</v>
      </c>
      <c r="K963" s="87">
        <v>10240</v>
      </c>
      <c r="L963" s="85">
        <v>251.86500000000001</v>
      </c>
      <c r="M963" s="87">
        <v>10240</v>
      </c>
      <c r="N963" s="85">
        <v>252.71299999999999</v>
      </c>
      <c r="O963" s="87">
        <v>10220</v>
      </c>
      <c r="P963" s="85">
        <v>253.732</v>
      </c>
      <c r="Q963" s="87">
        <v>10240</v>
      </c>
      <c r="R963" s="85">
        <v>253.43199999999999</v>
      </c>
      <c r="S963" s="87">
        <v>10240</v>
      </c>
      <c r="T963" s="85">
        <v>254.05799999999999</v>
      </c>
      <c r="U963" s="87">
        <v>10230</v>
      </c>
      <c r="V963" s="85">
        <v>254.03100000000001</v>
      </c>
      <c r="W963" s="87">
        <v>10240</v>
      </c>
      <c r="X963" s="85">
        <v>253.31399999999999</v>
      </c>
      <c r="Y963" s="87">
        <v>10240</v>
      </c>
      <c r="Z963" s="85">
        <v>251.74799999999999</v>
      </c>
      <c r="AA963" s="87">
        <v>10240</v>
      </c>
      <c r="AB963" s="85">
        <v>252.21600000000001</v>
      </c>
      <c r="AC963" s="87">
        <v>10230</v>
      </c>
      <c r="AD963" s="85">
        <v>192.40600000000001</v>
      </c>
      <c r="AE963" s="87">
        <v>10240</v>
      </c>
      <c r="AF963" s="85">
        <v>191.702</v>
      </c>
      <c r="AG963" s="87">
        <v>10220</v>
      </c>
      <c r="AH963" s="85">
        <v>40.985999999999997</v>
      </c>
      <c r="AI963" s="87">
        <v>10220</v>
      </c>
      <c r="AJ963" s="85">
        <v>43.939</v>
      </c>
    </row>
    <row r="964" spans="1:36" ht="14.25" customHeight="1">
      <c r="A964" s="88">
        <v>10250</v>
      </c>
      <c r="B964" s="84">
        <v>91.712000000000003</v>
      </c>
      <c r="C964" s="88">
        <v>10260</v>
      </c>
      <c r="D964" s="85">
        <v>90.673000000000002</v>
      </c>
      <c r="E964" s="86">
        <v>10250</v>
      </c>
      <c r="F964" s="85">
        <v>255.911</v>
      </c>
      <c r="G964" s="87">
        <v>10250</v>
      </c>
      <c r="H964" s="85">
        <v>255.917</v>
      </c>
      <c r="I964" s="87">
        <v>10250</v>
      </c>
      <c r="J964" s="85">
        <v>251.70699999999999</v>
      </c>
      <c r="K964" s="87">
        <v>10250</v>
      </c>
      <c r="L964" s="85">
        <v>250.65199999999999</v>
      </c>
      <c r="M964" s="87">
        <v>10250</v>
      </c>
      <c r="N964" s="85">
        <v>251.501</v>
      </c>
      <c r="O964" s="87">
        <v>10230</v>
      </c>
      <c r="P964" s="85">
        <v>252.52</v>
      </c>
      <c r="Q964" s="87">
        <v>10250</v>
      </c>
      <c r="R964" s="85">
        <v>252.221</v>
      </c>
      <c r="S964" s="87">
        <v>10250</v>
      </c>
      <c r="T964" s="85">
        <v>252.846</v>
      </c>
      <c r="U964" s="87">
        <v>10240</v>
      </c>
      <c r="V964" s="85">
        <v>252.821</v>
      </c>
      <c r="W964" s="87">
        <v>10250</v>
      </c>
      <c r="X964" s="85">
        <v>252.102</v>
      </c>
      <c r="Y964" s="87">
        <v>10250</v>
      </c>
      <c r="Z964" s="85">
        <v>250.53800000000001</v>
      </c>
      <c r="AA964" s="87">
        <v>10250</v>
      </c>
      <c r="AB964" s="85">
        <v>251.006</v>
      </c>
      <c r="AC964" s="87">
        <v>10240</v>
      </c>
      <c r="AD964" s="85">
        <v>191.35300000000001</v>
      </c>
      <c r="AE964" s="87">
        <v>10250</v>
      </c>
      <c r="AF964" s="85">
        <v>190.65</v>
      </c>
      <c r="AG964" s="87">
        <v>10230</v>
      </c>
      <c r="AH964" s="85">
        <v>40.741</v>
      </c>
      <c r="AI964" s="87">
        <v>10230</v>
      </c>
      <c r="AJ964" s="85">
        <v>43.68</v>
      </c>
    </row>
    <row r="965" spans="1:36" ht="14.25" customHeight="1">
      <c r="A965" s="88">
        <v>10260</v>
      </c>
      <c r="B965" s="84">
        <v>91.15</v>
      </c>
      <c r="C965" s="88">
        <v>10270</v>
      </c>
      <c r="D965" s="85">
        <v>90.114999999999995</v>
      </c>
      <c r="E965" s="86">
        <v>10260</v>
      </c>
      <c r="F965" s="85">
        <v>254.524</v>
      </c>
      <c r="G965" s="87">
        <v>10260</v>
      </c>
      <c r="H965" s="85">
        <v>254.53100000000001</v>
      </c>
      <c r="I965" s="87">
        <v>10260</v>
      </c>
      <c r="J965" s="85">
        <v>250.49600000000001</v>
      </c>
      <c r="K965" s="87">
        <v>10260</v>
      </c>
      <c r="L965" s="85">
        <v>249.43899999999999</v>
      </c>
      <c r="M965" s="87">
        <v>10260</v>
      </c>
      <c r="N965" s="85">
        <v>250.29</v>
      </c>
      <c r="O965" s="87">
        <v>10240</v>
      </c>
      <c r="P965" s="85">
        <v>251.309</v>
      </c>
      <c r="Q965" s="87">
        <v>10260</v>
      </c>
      <c r="R965" s="85">
        <v>251.00899999999999</v>
      </c>
      <c r="S965" s="87">
        <v>10260</v>
      </c>
      <c r="T965" s="85">
        <v>251.63399999999999</v>
      </c>
      <c r="U965" s="87">
        <v>10250</v>
      </c>
      <c r="V965" s="85">
        <v>251.61</v>
      </c>
      <c r="W965" s="87">
        <v>10260</v>
      </c>
      <c r="X965" s="85">
        <v>250.89099999999999</v>
      </c>
      <c r="Y965" s="87">
        <v>10260</v>
      </c>
      <c r="Z965" s="85">
        <v>249.327</v>
      </c>
      <c r="AA965" s="87">
        <v>10260</v>
      </c>
      <c r="AB965" s="85">
        <v>249.79599999999999</v>
      </c>
      <c r="AC965" s="87">
        <v>10250</v>
      </c>
      <c r="AD965" s="85">
        <v>190.3</v>
      </c>
      <c r="AE965" s="87">
        <v>10260</v>
      </c>
      <c r="AF965" s="85">
        <v>189.59800000000001</v>
      </c>
      <c r="AG965" s="87">
        <v>10240</v>
      </c>
      <c r="AH965" s="85">
        <v>40.496000000000002</v>
      </c>
      <c r="AI965" s="87">
        <v>10240</v>
      </c>
      <c r="AJ965" s="85">
        <v>43.420999999999999</v>
      </c>
    </row>
    <row r="966" spans="1:36" ht="14.25" customHeight="1">
      <c r="A966" s="88">
        <v>10270</v>
      </c>
      <c r="B966" s="84">
        <v>90.587999999999994</v>
      </c>
      <c r="C966" s="88">
        <v>10280</v>
      </c>
      <c r="D966" s="85">
        <v>89.558999999999997</v>
      </c>
      <c r="E966" s="86">
        <v>10270</v>
      </c>
      <c r="F966" s="85">
        <v>253.137</v>
      </c>
      <c r="G966" s="87">
        <v>10270</v>
      </c>
      <c r="H966" s="85">
        <v>253.14599999999999</v>
      </c>
      <c r="I966" s="87">
        <v>10270</v>
      </c>
      <c r="J966" s="85">
        <v>249.285</v>
      </c>
      <c r="K966" s="87">
        <v>10270</v>
      </c>
      <c r="L966" s="85">
        <v>248.22499999999999</v>
      </c>
      <c r="M966" s="87">
        <v>10270</v>
      </c>
      <c r="N966" s="85">
        <v>249.078</v>
      </c>
      <c r="O966" s="87">
        <v>10250</v>
      </c>
      <c r="P966" s="85">
        <v>250.09700000000001</v>
      </c>
      <c r="Q966" s="87">
        <v>10270</v>
      </c>
      <c r="R966" s="85">
        <v>249.798</v>
      </c>
      <c r="S966" s="87">
        <v>10270</v>
      </c>
      <c r="T966" s="85">
        <v>250.422</v>
      </c>
      <c r="U966" s="87">
        <v>10260</v>
      </c>
      <c r="V966" s="85">
        <v>250.4</v>
      </c>
      <c r="W966" s="87">
        <v>10270</v>
      </c>
      <c r="X966" s="85">
        <v>249.68</v>
      </c>
      <c r="Y966" s="87">
        <v>10270</v>
      </c>
      <c r="Z966" s="85">
        <v>248.11600000000001</v>
      </c>
      <c r="AA966" s="87">
        <v>10270</v>
      </c>
      <c r="AB966" s="85">
        <v>248.58600000000001</v>
      </c>
      <c r="AC966" s="87">
        <v>10260</v>
      </c>
      <c r="AD966" s="85">
        <v>189.24799999999999</v>
      </c>
      <c r="AE966" s="87">
        <v>10270</v>
      </c>
      <c r="AF966" s="85">
        <v>188.54900000000001</v>
      </c>
      <c r="AG966" s="87">
        <v>10250</v>
      </c>
      <c r="AH966" s="85">
        <v>40.252000000000002</v>
      </c>
      <c r="AI966" s="87">
        <v>10250</v>
      </c>
      <c r="AJ966" s="85">
        <v>43.162999999999997</v>
      </c>
    </row>
    <row r="967" spans="1:36" ht="14.25" customHeight="1">
      <c r="A967" s="88">
        <v>10280</v>
      </c>
      <c r="B967" s="84">
        <v>90.028000000000006</v>
      </c>
      <c r="C967" s="88">
        <v>10290</v>
      </c>
      <c r="D967" s="85">
        <v>89.003</v>
      </c>
      <c r="E967" s="86">
        <v>10280</v>
      </c>
      <c r="F967" s="85">
        <v>251.75200000000001</v>
      </c>
      <c r="G967" s="87">
        <v>10280</v>
      </c>
      <c r="H967" s="85">
        <v>251.762</v>
      </c>
      <c r="I967" s="87">
        <v>10280</v>
      </c>
      <c r="J967" s="85">
        <v>248.07400000000001</v>
      </c>
      <c r="K967" s="87">
        <v>10280</v>
      </c>
      <c r="L967" s="85">
        <v>247.012</v>
      </c>
      <c r="M967" s="87">
        <v>10280</v>
      </c>
      <c r="N967" s="85">
        <v>247.86699999999999</v>
      </c>
      <c r="O967" s="87">
        <v>10260</v>
      </c>
      <c r="P967" s="85">
        <v>248.88499999999999</v>
      </c>
      <c r="Q967" s="87">
        <v>10280</v>
      </c>
      <c r="R967" s="85">
        <v>248.58600000000001</v>
      </c>
      <c r="S967" s="87">
        <v>10280</v>
      </c>
      <c r="T967" s="85">
        <v>249.21</v>
      </c>
      <c r="U967" s="87">
        <v>10270</v>
      </c>
      <c r="V967" s="85">
        <v>249.18899999999999</v>
      </c>
      <c r="W967" s="87">
        <v>10280</v>
      </c>
      <c r="X967" s="85">
        <v>248.46899999999999</v>
      </c>
      <c r="Y967" s="87">
        <v>10280</v>
      </c>
      <c r="Z967" s="85">
        <v>246.90600000000001</v>
      </c>
      <c r="AA967" s="87">
        <v>10280</v>
      </c>
      <c r="AB967" s="85">
        <v>247.376</v>
      </c>
      <c r="AC967" s="87">
        <v>10270</v>
      </c>
      <c r="AD967" s="85">
        <v>188.19499999999999</v>
      </c>
      <c r="AE967" s="87">
        <v>10280</v>
      </c>
      <c r="AF967" s="85">
        <v>187.5</v>
      </c>
      <c r="AG967" s="87">
        <v>10260</v>
      </c>
      <c r="AH967" s="85">
        <v>40.009</v>
      </c>
      <c r="AI967" s="87">
        <v>10260</v>
      </c>
      <c r="AJ967" s="85">
        <v>42.905000000000001</v>
      </c>
    </row>
    <row r="968" spans="1:36" ht="14.25" customHeight="1">
      <c r="A968" s="88">
        <v>10290</v>
      </c>
      <c r="B968" s="84">
        <v>89.468999999999994</v>
      </c>
      <c r="C968" s="88">
        <v>10300</v>
      </c>
      <c r="D968" s="85">
        <v>88.447999999999993</v>
      </c>
      <c r="E968" s="86">
        <v>10290</v>
      </c>
      <c r="F968" s="85">
        <v>250.36799999999999</v>
      </c>
      <c r="G968" s="87">
        <v>10290</v>
      </c>
      <c r="H968" s="85">
        <v>250.37899999999999</v>
      </c>
      <c r="I968" s="87">
        <v>10290</v>
      </c>
      <c r="J968" s="85">
        <v>246.86199999999999</v>
      </c>
      <c r="K968" s="87">
        <v>10290</v>
      </c>
      <c r="L968" s="85">
        <v>245.79900000000001</v>
      </c>
      <c r="M968" s="87">
        <v>10290</v>
      </c>
      <c r="N968" s="85">
        <v>246.655</v>
      </c>
      <c r="O968" s="87">
        <v>10270</v>
      </c>
      <c r="P968" s="85">
        <v>247.673</v>
      </c>
      <c r="Q968" s="87">
        <v>10290</v>
      </c>
      <c r="R968" s="85">
        <v>247.375</v>
      </c>
      <c r="S968" s="87">
        <v>10290</v>
      </c>
      <c r="T968" s="85">
        <v>247.99799999999999</v>
      </c>
      <c r="U968" s="87">
        <v>10280</v>
      </c>
      <c r="V968" s="85">
        <v>247.97900000000001</v>
      </c>
      <c r="W968" s="87">
        <v>10290</v>
      </c>
      <c r="X968" s="85">
        <v>247.25800000000001</v>
      </c>
      <c r="Y968" s="87">
        <v>10290</v>
      </c>
      <c r="Z968" s="85">
        <v>245.69499999999999</v>
      </c>
      <c r="AA968" s="87">
        <v>10290</v>
      </c>
      <c r="AB968" s="85">
        <v>246.166</v>
      </c>
      <c r="AC968" s="87">
        <v>10280</v>
      </c>
      <c r="AD968" s="85">
        <v>187.142</v>
      </c>
      <c r="AE968" s="87">
        <v>10290</v>
      </c>
      <c r="AF968" s="85">
        <v>186.452</v>
      </c>
      <c r="AG968" s="87">
        <v>10270</v>
      </c>
      <c r="AH968" s="85">
        <v>39.765000000000001</v>
      </c>
      <c r="AI968" s="87">
        <v>10270</v>
      </c>
      <c r="AJ968" s="85">
        <v>42.646999999999998</v>
      </c>
    </row>
    <row r="969" spans="1:36" ht="14.25" customHeight="1">
      <c r="A969" s="88">
        <v>10300</v>
      </c>
      <c r="B969" s="84">
        <v>88.911000000000001</v>
      </c>
      <c r="C969" s="88">
        <v>10310</v>
      </c>
      <c r="D969" s="85">
        <v>87.894999999999996</v>
      </c>
      <c r="E969" s="86">
        <v>10300</v>
      </c>
      <c r="F969" s="85">
        <v>248.98500000000001</v>
      </c>
      <c r="G969" s="87">
        <v>10300</v>
      </c>
      <c r="H969" s="85">
        <v>248.99799999999999</v>
      </c>
      <c r="I969" s="87">
        <v>10300</v>
      </c>
      <c r="J969" s="85">
        <v>245.65100000000001</v>
      </c>
      <c r="K969" s="87">
        <v>10300</v>
      </c>
      <c r="L969" s="85">
        <v>244.58500000000001</v>
      </c>
      <c r="M969" s="87">
        <v>10300</v>
      </c>
      <c r="N969" s="85">
        <v>245.44399999999999</v>
      </c>
      <c r="O969" s="87">
        <v>10280</v>
      </c>
      <c r="P969" s="85">
        <v>246.46199999999999</v>
      </c>
      <c r="Q969" s="87">
        <v>10300</v>
      </c>
      <c r="R969" s="85">
        <v>246.16300000000001</v>
      </c>
      <c r="S969" s="87">
        <v>10300</v>
      </c>
      <c r="T969" s="85">
        <v>246.786</v>
      </c>
      <c r="U969" s="87">
        <v>10290</v>
      </c>
      <c r="V969" s="85">
        <v>246.768</v>
      </c>
      <c r="W969" s="87">
        <v>10300</v>
      </c>
      <c r="X969" s="85">
        <v>246.047</v>
      </c>
      <c r="Y969" s="87">
        <v>10300</v>
      </c>
      <c r="Z969" s="85">
        <v>244.48400000000001</v>
      </c>
      <c r="AA969" s="87">
        <v>10300</v>
      </c>
      <c r="AB969" s="85">
        <v>244.95599999999999</v>
      </c>
      <c r="AC969" s="87">
        <v>10290</v>
      </c>
      <c r="AD969" s="85">
        <v>186.09</v>
      </c>
      <c r="AE969" s="87">
        <v>10300</v>
      </c>
      <c r="AF969" s="85">
        <v>185.405</v>
      </c>
      <c r="AG969" s="87">
        <v>10280</v>
      </c>
      <c r="AH969" s="85">
        <v>39.523000000000003</v>
      </c>
      <c r="AI969" s="87">
        <v>10280</v>
      </c>
      <c r="AJ969" s="85">
        <v>42.390999999999998</v>
      </c>
    </row>
    <row r="970" spans="1:36" ht="14.25" customHeight="1">
      <c r="A970" s="88">
        <v>10310</v>
      </c>
      <c r="B970" s="84">
        <v>88.353999999999999</v>
      </c>
      <c r="C970" s="88">
        <v>10320</v>
      </c>
      <c r="D970" s="85">
        <v>87.343000000000004</v>
      </c>
      <c r="E970" s="86">
        <v>10310</v>
      </c>
      <c r="F970" s="85">
        <v>247.60300000000001</v>
      </c>
      <c r="G970" s="87">
        <v>10310</v>
      </c>
      <c r="H970" s="85">
        <v>247.61799999999999</v>
      </c>
      <c r="I970" s="87">
        <v>10310</v>
      </c>
      <c r="J970" s="85">
        <v>244.44</v>
      </c>
      <c r="K970" s="87">
        <v>10310</v>
      </c>
      <c r="L970" s="85">
        <v>243.37200000000001</v>
      </c>
      <c r="M970" s="87">
        <v>10310</v>
      </c>
      <c r="N970" s="85">
        <v>244.232</v>
      </c>
      <c r="O970" s="87">
        <v>10290</v>
      </c>
      <c r="P970" s="85">
        <v>245.25</v>
      </c>
      <c r="Q970" s="87">
        <v>10310</v>
      </c>
      <c r="R970" s="85">
        <v>244.952</v>
      </c>
      <c r="S970" s="87">
        <v>10310</v>
      </c>
      <c r="T970" s="85">
        <v>245.57400000000001</v>
      </c>
      <c r="U970" s="87">
        <v>10300</v>
      </c>
      <c r="V970" s="85">
        <v>245.55799999999999</v>
      </c>
      <c r="W970" s="87">
        <v>10310</v>
      </c>
      <c r="X970" s="85">
        <v>244.83500000000001</v>
      </c>
      <c r="Y970" s="87">
        <v>10310</v>
      </c>
      <c r="Z970" s="85">
        <v>243.274</v>
      </c>
      <c r="AA970" s="87">
        <v>10310</v>
      </c>
      <c r="AB970" s="85">
        <v>243.74600000000001</v>
      </c>
      <c r="AC970" s="87">
        <v>10300</v>
      </c>
      <c r="AD970" s="85">
        <v>185.03700000000001</v>
      </c>
      <c r="AE970" s="87">
        <v>10310</v>
      </c>
      <c r="AF970" s="85">
        <v>184.36</v>
      </c>
      <c r="AG970" s="87">
        <v>10290</v>
      </c>
      <c r="AH970" s="85">
        <v>39.280999999999999</v>
      </c>
      <c r="AI970" s="87">
        <v>10290</v>
      </c>
      <c r="AJ970" s="85">
        <v>42.134</v>
      </c>
    </row>
    <row r="971" spans="1:36" ht="14.25" customHeight="1">
      <c r="A971" s="88">
        <v>10320</v>
      </c>
      <c r="B971" s="84">
        <v>87.799000000000007</v>
      </c>
      <c r="C971" s="88">
        <v>10330</v>
      </c>
      <c r="D971" s="85">
        <v>86.792000000000002</v>
      </c>
      <c r="E971" s="86">
        <v>10320</v>
      </c>
      <c r="F971" s="85">
        <v>246.22300000000001</v>
      </c>
      <c r="G971" s="87">
        <v>10320</v>
      </c>
      <c r="H971" s="85">
        <v>246.24</v>
      </c>
      <c r="I971" s="87">
        <v>10320</v>
      </c>
      <c r="J971" s="85">
        <v>243.22900000000001</v>
      </c>
      <c r="K971" s="87">
        <v>10320</v>
      </c>
      <c r="L971" s="85">
        <v>242.15899999999999</v>
      </c>
      <c r="M971" s="87">
        <v>10320</v>
      </c>
      <c r="N971" s="85">
        <v>243.02099999999999</v>
      </c>
      <c r="O971" s="87">
        <v>10300</v>
      </c>
      <c r="P971" s="85">
        <v>244.03800000000001</v>
      </c>
      <c r="Q971" s="87">
        <v>10320</v>
      </c>
      <c r="R971" s="85">
        <v>243.74</v>
      </c>
      <c r="S971" s="87">
        <v>10320</v>
      </c>
      <c r="T971" s="85">
        <v>244.36199999999999</v>
      </c>
      <c r="U971" s="87">
        <v>10310</v>
      </c>
      <c r="V971" s="85">
        <v>244.34700000000001</v>
      </c>
      <c r="W971" s="87">
        <v>10320</v>
      </c>
      <c r="X971" s="85">
        <v>243.624</v>
      </c>
      <c r="Y971" s="87">
        <v>10320</v>
      </c>
      <c r="Z971" s="85">
        <v>242.06299999999999</v>
      </c>
      <c r="AA971" s="87">
        <v>10320</v>
      </c>
      <c r="AB971" s="85">
        <v>242.536</v>
      </c>
      <c r="AC971" s="87">
        <v>10310</v>
      </c>
      <c r="AD971" s="85">
        <v>183.98400000000001</v>
      </c>
      <c r="AE971" s="87">
        <v>10320</v>
      </c>
      <c r="AF971" s="85">
        <v>183.315</v>
      </c>
      <c r="AG971" s="87">
        <v>10300</v>
      </c>
      <c r="AH971" s="85">
        <v>39.039000000000001</v>
      </c>
      <c r="AI971" s="87">
        <v>10300</v>
      </c>
      <c r="AJ971" s="85">
        <v>41.878999999999998</v>
      </c>
    </row>
    <row r="972" spans="1:36" ht="14.25" customHeight="1">
      <c r="A972" s="88">
        <v>10330</v>
      </c>
      <c r="B972" s="84">
        <v>87.244</v>
      </c>
      <c r="C972" s="88">
        <v>10340</v>
      </c>
      <c r="D972" s="85">
        <v>86.242000000000004</v>
      </c>
      <c r="E972" s="86">
        <v>10330</v>
      </c>
      <c r="F972" s="85">
        <v>244.84399999999999</v>
      </c>
      <c r="G972" s="87">
        <v>10330</v>
      </c>
      <c r="H972" s="85">
        <v>244.86199999999999</v>
      </c>
      <c r="I972" s="87">
        <v>10330</v>
      </c>
      <c r="J972" s="85">
        <v>242.018</v>
      </c>
      <c r="K972" s="87">
        <v>10330</v>
      </c>
      <c r="L972" s="85">
        <v>240.94499999999999</v>
      </c>
      <c r="M972" s="87">
        <v>10330</v>
      </c>
      <c r="N972" s="85">
        <v>241.809</v>
      </c>
      <c r="O972" s="87">
        <v>10310</v>
      </c>
      <c r="P972" s="85">
        <v>242.82599999999999</v>
      </c>
      <c r="Q972" s="87">
        <v>10330</v>
      </c>
      <c r="R972" s="85">
        <v>242.529</v>
      </c>
      <c r="S972" s="87">
        <v>10330</v>
      </c>
      <c r="T972" s="85">
        <v>243.15</v>
      </c>
      <c r="U972" s="87">
        <v>10320</v>
      </c>
      <c r="V972" s="85">
        <v>243.137</v>
      </c>
      <c r="W972" s="87">
        <v>10330</v>
      </c>
      <c r="X972" s="85">
        <v>242.41300000000001</v>
      </c>
      <c r="Y972" s="87">
        <v>10330</v>
      </c>
      <c r="Z972" s="85">
        <v>240.852</v>
      </c>
      <c r="AA972" s="87">
        <v>10330</v>
      </c>
      <c r="AB972" s="85">
        <v>241.32599999999999</v>
      </c>
      <c r="AC972" s="87">
        <v>10320</v>
      </c>
      <c r="AD972" s="85">
        <v>182.93199999999999</v>
      </c>
      <c r="AE972" s="87">
        <v>10330</v>
      </c>
      <c r="AF972" s="85">
        <v>182.27199999999999</v>
      </c>
      <c r="AG972" s="87">
        <v>10310</v>
      </c>
      <c r="AH972" s="85">
        <v>38.798000000000002</v>
      </c>
      <c r="AI972" s="87">
        <v>10310</v>
      </c>
      <c r="AJ972" s="85">
        <v>41.622999999999998</v>
      </c>
    </row>
    <row r="973" spans="1:36" ht="14.25" customHeight="1">
      <c r="A973" s="88">
        <v>10340</v>
      </c>
      <c r="B973" s="84">
        <v>86.691000000000003</v>
      </c>
      <c r="C973" s="88">
        <v>10350</v>
      </c>
      <c r="D973" s="85">
        <v>85.692999999999998</v>
      </c>
      <c r="E973" s="86">
        <v>10340</v>
      </c>
      <c r="F973" s="85">
        <v>243.46600000000001</v>
      </c>
      <c r="G973" s="87">
        <v>10340</v>
      </c>
      <c r="H973" s="85">
        <v>243.48599999999999</v>
      </c>
      <c r="I973" s="87">
        <v>10340</v>
      </c>
      <c r="J973" s="85">
        <v>240.80600000000001</v>
      </c>
      <c r="K973" s="87">
        <v>10340</v>
      </c>
      <c r="L973" s="85">
        <v>239.732</v>
      </c>
      <c r="M973" s="87">
        <v>10340</v>
      </c>
      <c r="N973" s="85">
        <v>240.59800000000001</v>
      </c>
      <c r="O973" s="87">
        <v>10320</v>
      </c>
      <c r="P973" s="85">
        <v>241.61500000000001</v>
      </c>
      <c r="Q973" s="87">
        <v>10340</v>
      </c>
      <c r="R973" s="85">
        <v>241.31700000000001</v>
      </c>
      <c r="S973" s="87">
        <v>10340</v>
      </c>
      <c r="T973" s="85">
        <v>241.93799999999999</v>
      </c>
      <c r="U973" s="87">
        <v>10330</v>
      </c>
      <c r="V973" s="85">
        <v>241.92599999999999</v>
      </c>
      <c r="W973" s="87">
        <v>10340</v>
      </c>
      <c r="X973" s="85">
        <v>241.202</v>
      </c>
      <c r="Y973" s="87">
        <v>10340</v>
      </c>
      <c r="Z973" s="85">
        <v>239.642</v>
      </c>
      <c r="AA973" s="87">
        <v>10340</v>
      </c>
      <c r="AB973" s="85">
        <v>240.11500000000001</v>
      </c>
      <c r="AC973" s="87">
        <v>10330</v>
      </c>
      <c r="AD973" s="85">
        <v>181.87899999999999</v>
      </c>
      <c r="AE973" s="87">
        <v>10340</v>
      </c>
      <c r="AF973" s="85">
        <v>181.22900000000001</v>
      </c>
      <c r="AG973" s="87">
        <v>10320</v>
      </c>
      <c r="AH973" s="85">
        <v>38.558</v>
      </c>
      <c r="AI973" s="87">
        <v>10320</v>
      </c>
      <c r="AJ973" s="85">
        <v>41.369</v>
      </c>
    </row>
    <row r="974" spans="1:36" ht="14.25" customHeight="1">
      <c r="A974" s="88">
        <v>10350</v>
      </c>
      <c r="B974" s="84">
        <v>86.138999999999996</v>
      </c>
      <c r="C974" s="88">
        <v>10360</v>
      </c>
      <c r="D974" s="85">
        <v>85.146000000000001</v>
      </c>
      <c r="E974" s="86">
        <v>10350</v>
      </c>
      <c r="F974" s="85">
        <v>242.09</v>
      </c>
      <c r="G974" s="87">
        <v>10350</v>
      </c>
      <c r="H974" s="85">
        <v>242.11099999999999</v>
      </c>
      <c r="I974" s="87">
        <v>10350</v>
      </c>
      <c r="J974" s="85">
        <v>239.595</v>
      </c>
      <c r="K974" s="87">
        <v>10350</v>
      </c>
      <c r="L974" s="85">
        <v>238.51900000000001</v>
      </c>
      <c r="M974" s="87">
        <v>10350</v>
      </c>
      <c r="N974" s="85">
        <v>239.386</v>
      </c>
      <c r="O974" s="87">
        <v>10330</v>
      </c>
      <c r="P974" s="85">
        <v>240.40299999999999</v>
      </c>
      <c r="Q974" s="87">
        <v>10350</v>
      </c>
      <c r="R974" s="85">
        <v>240.10599999999999</v>
      </c>
      <c r="S974" s="87">
        <v>10350</v>
      </c>
      <c r="T974" s="85">
        <v>240.726</v>
      </c>
      <c r="U974" s="87">
        <v>10340</v>
      </c>
      <c r="V974" s="85">
        <v>240.71600000000001</v>
      </c>
      <c r="W974" s="87">
        <v>10350</v>
      </c>
      <c r="X974" s="85">
        <v>239.99100000000001</v>
      </c>
      <c r="Y974" s="87">
        <v>10350</v>
      </c>
      <c r="Z974" s="85">
        <v>238.43100000000001</v>
      </c>
      <c r="AA974" s="87">
        <v>10350</v>
      </c>
      <c r="AB974" s="85">
        <v>238.905</v>
      </c>
      <c r="AC974" s="87">
        <v>10340</v>
      </c>
      <c r="AD974" s="85">
        <v>180.82599999999999</v>
      </c>
      <c r="AE974" s="87">
        <v>10350</v>
      </c>
      <c r="AF974" s="85">
        <v>180.18799999999999</v>
      </c>
      <c r="AG974" s="87">
        <v>10330</v>
      </c>
      <c r="AH974" s="85">
        <v>38.317999999999998</v>
      </c>
      <c r="AI974" s="87">
        <v>10330</v>
      </c>
      <c r="AJ974" s="85">
        <v>41.115000000000002</v>
      </c>
    </row>
    <row r="975" spans="1:36" ht="14.25" customHeight="1">
      <c r="A975" s="88">
        <v>10360</v>
      </c>
      <c r="B975" s="84">
        <v>85.587999999999994</v>
      </c>
      <c r="C975" s="88">
        <v>10370</v>
      </c>
      <c r="D975" s="85">
        <v>84.599000000000004</v>
      </c>
      <c r="E975" s="86">
        <v>10360</v>
      </c>
      <c r="F975" s="85">
        <v>240.715</v>
      </c>
      <c r="G975" s="87">
        <v>10360</v>
      </c>
      <c r="H975" s="85">
        <v>240.738</v>
      </c>
      <c r="I975" s="87">
        <v>10360</v>
      </c>
      <c r="J975" s="85">
        <v>238.38399999999999</v>
      </c>
      <c r="K975" s="87">
        <v>10360</v>
      </c>
      <c r="L975" s="85">
        <v>237.30500000000001</v>
      </c>
      <c r="M975" s="87">
        <v>10360</v>
      </c>
      <c r="N975" s="85">
        <v>238.17500000000001</v>
      </c>
      <c r="O975" s="87">
        <v>10340</v>
      </c>
      <c r="P975" s="85">
        <v>239.191</v>
      </c>
      <c r="Q975" s="87">
        <v>10360</v>
      </c>
      <c r="R975" s="85">
        <v>238.89500000000001</v>
      </c>
      <c r="S975" s="87">
        <v>10360</v>
      </c>
      <c r="T975" s="85">
        <v>239.51400000000001</v>
      </c>
      <c r="U975" s="87">
        <v>10350</v>
      </c>
      <c r="V975" s="85">
        <v>239.505</v>
      </c>
      <c r="W975" s="87">
        <v>10360</v>
      </c>
      <c r="X975" s="85">
        <v>238.78</v>
      </c>
      <c r="Y975" s="87">
        <v>10360</v>
      </c>
      <c r="Z975" s="85">
        <v>237.22</v>
      </c>
      <c r="AA975" s="87">
        <v>10360</v>
      </c>
      <c r="AB975" s="85">
        <v>237.69499999999999</v>
      </c>
      <c r="AC975" s="87">
        <v>10350</v>
      </c>
      <c r="AD975" s="85">
        <v>179.774</v>
      </c>
      <c r="AE975" s="87">
        <v>10360</v>
      </c>
      <c r="AF975" s="85">
        <v>179.148</v>
      </c>
      <c r="AG975" s="87">
        <v>10340</v>
      </c>
      <c r="AH975" s="85">
        <v>38.078000000000003</v>
      </c>
      <c r="AI975" s="87">
        <v>10340</v>
      </c>
      <c r="AJ975" s="85">
        <v>40.860999999999997</v>
      </c>
    </row>
    <row r="976" spans="1:36" ht="14.25" customHeight="1">
      <c r="A976" s="88">
        <v>10370</v>
      </c>
      <c r="B976" s="84">
        <v>85.037999999999997</v>
      </c>
      <c r="C976" s="88">
        <v>10380</v>
      </c>
      <c r="D976" s="85">
        <v>84.054000000000002</v>
      </c>
      <c r="E976" s="86">
        <v>10370</v>
      </c>
      <c r="F976" s="85">
        <v>239.34100000000001</v>
      </c>
      <c r="G976" s="87">
        <v>10370</v>
      </c>
      <c r="H976" s="85">
        <v>239.36600000000001</v>
      </c>
      <c r="I976" s="87">
        <v>10370</v>
      </c>
      <c r="J976" s="85">
        <v>237.173</v>
      </c>
      <c r="K976" s="87">
        <v>10370</v>
      </c>
      <c r="L976" s="85">
        <v>236.09200000000001</v>
      </c>
      <c r="M976" s="87">
        <v>10370</v>
      </c>
      <c r="N976" s="85">
        <v>236.96299999999999</v>
      </c>
      <c r="O976" s="87">
        <v>10350</v>
      </c>
      <c r="P976" s="85">
        <v>237.98</v>
      </c>
      <c r="Q976" s="87">
        <v>10370</v>
      </c>
      <c r="R976" s="85">
        <v>237.68299999999999</v>
      </c>
      <c r="S976" s="87">
        <v>10370</v>
      </c>
      <c r="T976" s="85">
        <v>238.30199999999999</v>
      </c>
      <c r="U976" s="87">
        <v>10360</v>
      </c>
      <c r="V976" s="85">
        <v>238.29499999999999</v>
      </c>
      <c r="W976" s="87">
        <v>10370</v>
      </c>
      <c r="X976" s="85">
        <v>237.56800000000001</v>
      </c>
      <c r="Y976" s="87">
        <v>10370</v>
      </c>
      <c r="Z976" s="85">
        <v>236.01</v>
      </c>
      <c r="AA976" s="87">
        <v>10370</v>
      </c>
      <c r="AB976" s="85">
        <v>236.48500000000001</v>
      </c>
      <c r="AC976" s="87">
        <v>10360</v>
      </c>
      <c r="AD976" s="85">
        <v>178.721</v>
      </c>
      <c r="AE976" s="87">
        <v>10370</v>
      </c>
      <c r="AF976" s="85">
        <v>178.10900000000001</v>
      </c>
      <c r="AG976" s="87">
        <v>10350</v>
      </c>
      <c r="AH976" s="85">
        <v>37.838999999999999</v>
      </c>
      <c r="AI976" s="87">
        <v>10350</v>
      </c>
      <c r="AJ976" s="85">
        <v>40.607999999999997</v>
      </c>
    </row>
    <row r="977" spans="1:36" ht="14.25" customHeight="1">
      <c r="A977" s="88">
        <v>10380</v>
      </c>
      <c r="B977" s="84">
        <v>84.49</v>
      </c>
      <c r="C977" s="88">
        <v>10390</v>
      </c>
      <c r="D977" s="85">
        <v>83.51</v>
      </c>
      <c r="E977" s="86">
        <v>10380</v>
      </c>
      <c r="F977" s="85">
        <v>237.96899999999999</v>
      </c>
      <c r="G977" s="87">
        <v>10380</v>
      </c>
      <c r="H977" s="85">
        <v>237.995</v>
      </c>
      <c r="I977" s="87">
        <v>10380</v>
      </c>
      <c r="J977" s="85">
        <v>235.96199999999999</v>
      </c>
      <c r="K977" s="87">
        <v>10380</v>
      </c>
      <c r="L977" s="85">
        <v>234.87899999999999</v>
      </c>
      <c r="M977" s="87">
        <v>10380</v>
      </c>
      <c r="N977" s="85">
        <v>235.75200000000001</v>
      </c>
      <c r="O977" s="87">
        <v>10360</v>
      </c>
      <c r="P977" s="85">
        <v>236.768</v>
      </c>
      <c r="Q977" s="87">
        <v>10380</v>
      </c>
      <c r="R977" s="85">
        <v>236.47200000000001</v>
      </c>
      <c r="S977" s="87">
        <v>10380</v>
      </c>
      <c r="T977" s="85">
        <v>237.09</v>
      </c>
      <c r="U977" s="87">
        <v>10370</v>
      </c>
      <c r="V977" s="85">
        <v>237.084</v>
      </c>
      <c r="W977" s="87">
        <v>10380</v>
      </c>
      <c r="X977" s="85">
        <v>236.357</v>
      </c>
      <c r="Y977" s="87">
        <v>10380</v>
      </c>
      <c r="Z977" s="85">
        <v>234.79900000000001</v>
      </c>
      <c r="AA977" s="87">
        <v>10380</v>
      </c>
      <c r="AB977" s="85">
        <v>235.27500000000001</v>
      </c>
      <c r="AC977" s="87">
        <v>10370</v>
      </c>
      <c r="AD977" s="85">
        <v>177.66800000000001</v>
      </c>
      <c r="AE977" s="87">
        <v>10380</v>
      </c>
      <c r="AF977" s="85">
        <v>177.071</v>
      </c>
      <c r="AG977" s="87">
        <v>10360</v>
      </c>
      <c r="AH977" s="85">
        <v>37.600999999999999</v>
      </c>
      <c r="AI977" s="87">
        <v>10360</v>
      </c>
      <c r="AJ977" s="85">
        <v>40.354999999999997</v>
      </c>
    </row>
    <row r="978" spans="1:36" ht="14.25" customHeight="1">
      <c r="A978" s="88">
        <v>10390</v>
      </c>
      <c r="B978" s="84">
        <v>83.941999999999993</v>
      </c>
      <c r="C978" s="88">
        <v>10400</v>
      </c>
      <c r="D978" s="85">
        <v>82.966999999999999</v>
      </c>
      <c r="E978" s="86">
        <v>10390</v>
      </c>
      <c r="F978" s="85">
        <v>236.59700000000001</v>
      </c>
      <c r="G978" s="87">
        <v>10390</v>
      </c>
      <c r="H978" s="85">
        <v>236.625</v>
      </c>
      <c r="I978" s="87">
        <v>10390</v>
      </c>
      <c r="J978" s="85">
        <v>234.751</v>
      </c>
      <c r="K978" s="87">
        <v>10390</v>
      </c>
      <c r="L978" s="85">
        <v>233.666</v>
      </c>
      <c r="M978" s="87">
        <v>10390</v>
      </c>
      <c r="N978" s="85">
        <v>234.54</v>
      </c>
      <c r="O978" s="87">
        <v>10370</v>
      </c>
      <c r="P978" s="85">
        <v>235.55600000000001</v>
      </c>
      <c r="Q978" s="87">
        <v>10390</v>
      </c>
      <c r="R978" s="85">
        <v>235.26</v>
      </c>
      <c r="S978" s="87">
        <v>10390</v>
      </c>
      <c r="T978" s="85">
        <v>235.87799999999999</v>
      </c>
      <c r="U978" s="87">
        <v>10380</v>
      </c>
      <c r="V978" s="85">
        <v>235.874</v>
      </c>
      <c r="W978" s="87">
        <v>10390</v>
      </c>
      <c r="X978" s="85">
        <v>235.14599999999999</v>
      </c>
      <c r="Y978" s="87">
        <v>10390</v>
      </c>
      <c r="Z978" s="85">
        <v>233.58799999999999</v>
      </c>
      <c r="AA978" s="87">
        <v>10390</v>
      </c>
      <c r="AB978" s="85">
        <v>234.065</v>
      </c>
      <c r="AC978" s="87">
        <v>10380</v>
      </c>
      <c r="AD978" s="85">
        <v>176.61600000000001</v>
      </c>
      <c r="AE978" s="87">
        <v>10390</v>
      </c>
      <c r="AF978" s="85">
        <v>176.035</v>
      </c>
      <c r="AG978" s="87">
        <v>10370</v>
      </c>
      <c r="AH978" s="85">
        <v>37.363</v>
      </c>
      <c r="AI978" s="87">
        <v>10370</v>
      </c>
      <c r="AJ978" s="85">
        <v>40.103000000000002</v>
      </c>
    </row>
    <row r="979" spans="1:36" ht="14.25" customHeight="1">
      <c r="A979" s="88">
        <v>10400</v>
      </c>
      <c r="B979" s="84">
        <v>83.396000000000001</v>
      </c>
      <c r="C979" s="88">
        <v>10410</v>
      </c>
      <c r="D979" s="85">
        <v>82.424999999999997</v>
      </c>
      <c r="E979" s="86">
        <v>10400</v>
      </c>
      <c r="F979" s="85">
        <v>235.22800000000001</v>
      </c>
      <c r="G979" s="87">
        <v>10400</v>
      </c>
      <c r="H979" s="85">
        <v>235.25700000000001</v>
      </c>
      <c r="I979" s="87">
        <v>10400</v>
      </c>
      <c r="J979" s="85">
        <v>233.54</v>
      </c>
      <c r="K979" s="87">
        <v>10400</v>
      </c>
      <c r="L979" s="85">
        <v>232.452</v>
      </c>
      <c r="M979" s="87">
        <v>10400</v>
      </c>
      <c r="N979" s="85">
        <v>233.32900000000001</v>
      </c>
      <c r="O979" s="87">
        <v>10380</v>
      </c>
      <c r="P979" s="85">
        <v>234.34399999999999</v>
      </c>
      <c r="Q979" s="87">
        <v>10400</v>
      </c>
      <c r="R979" s="85">
        <v>234.04900000000001</v>
      </c>
      <c r="S979" s="87">
        <v>10400</v>
      </c>
      <c r="T979" s="85">
        <v>234.667</v>
      </c>
      <c r="U979" s="87">
        <v>10390</v>
      </c>
      <c r="V979" s="85">
        <v>234.66300000000001</v>
      </c>
      <c r="W979" s="87">
        <v>10400</v>
      </c>
      <c r="X979" s="85">
        <v>233.935</v>
      </c>
      <c r="Y979" s="87">
        <v>10400</v>
      </c>
      <c r="Z979" s="85">
        <v>232.37799999999999</v>
      </c>
      <c r="AA979" s="87">
        <v>10400</v>
      </c>
      <c r="AB979" s="85">
        <v>232.85499999999999</v>
      </c>
      <c r="AC979" s="87">
        <v>10390</v>
      </c>
      <c r="AD979" s="85">
        <v>175.56299999999999</v>
      </c>
      <c r="AE979" s="87">
        <v>10400</v>
      </c>
      <c r="AF979" s="85">
        <v>174.999</v>
      </c>
      <c r="AG979" s="87">
        <v>10380</v>
      </c>
      <c r="AH979" s="85">
        <v>37.125</v>
      </c>
      <c r="AI979" s="87">
        <v>10380</v>
      </c>
      <c r="AJ979" s="85">
        <v>39.851999999999997</v>
      </c>
    </row>
    <row r="980" spans="1:36" ht="14.25" customHeight="1">
      <c r="A980" s="88">
        <v>10410</v>
      </c>
      <c r="B980" s="84">
        <v>82.850999999999999</v>
      </c>
      <c r="C980" s="88">
        <v>10420</v>
      </c>
      <c r="D980" s="85">
        <v>81.884</v>
      </c>
      <c r="E980" s="86">
        <v>10410</v>
      </c>
      <c r="F980" s="85">
        <v>233.85900000000001</v>
      </c>
      <c r="G980" s="87">
        <v>10410</v>
      </c>
      <c r="H980" s="85">
        <v>233.89</v>
      </c>
      <c r="I980" s="87">
        <v>10410</v>
      </c>
      <c r="J980" s="85">
        <v>232.32900000000001</v>
      </c>
      <c r="K980" s="87">
        <v>10410</v>
      </c>
      <c r="L980" s="85">
        <v>231.239</v>
      </c>
      <c r="M980" s="87">
        <v>10410</v>
      </c>
      <c r="N980" s="85">
        <v>232.11699999999999</v>
      </c>
      <c r="O980" s="87">
        <v>10390</v>
      </c>
      <c r="P980" s="85">
        <v>233.13300000000001</v>
      </c>
      <c r="Q980" s="87">
        <v>10410</v>
      </c>
      <c r="R980" s="85">
        <v>232.83699999999999</v>
      </c>
      <c r="S980" s="87">
        <v>10410</v>
      </c>
      <c r="T980" s="85">
        <v>233.45500000000001</v>
      </c>
      <c r="U980" s="87">
        <v>10400</v>
      </c>
      <c r="V980" s="85">
        <v>233.453</v>
      </c>
      <c r="W980" s="87">
        <v>10410</v>
      </c>
      <c r="X980" s="85">
        <v>232.72399999999999</v>
      </c>
      <c r="Y980" s="87">
        <v>10410</v>
      </c>
      <c r="Z980" s="85">
        <v>231.167</v>
      </c>
      <c r="AA980" s="87">
        <v>10410</v>
      </c>
      <c r="AB980" s="85">
        <v>231.64500000000001</v>
      </c>
      <c r="AC980" s="87">
        <v>10400</v>
      </c>
      <c r="AD980" s="85">
        <v>174.51</v>
      </c>
      <c r="AE980" s="87">
        <v>10410</v>
      </c>
      <c r="AF980" s="85">
        <v>173.965</v>
      </c>
      <c r="AG980" s="87">
        <v>10390</v>
      </c>
      <c r="AH980" s="85">
        <v>36.889000000000003</v>
      </c>
      <c r="AI980" s="87">
        <v>10390</v>
      </c>
      <c r="AJ980" s="85">
        <v>39.600999999999999</v>
      </c>
    </row>
    <row r="981" spans="1:36" ht="14.25" customHeight="1">
      <c r="A981" s="88">
        <v>10420</v>
      </c>
      <c r="B981" s="84">
        <v>82.307000000000002</v>
      </c>
      <c r="C981" s="88">
        <v>10430</v>
      </c>
      <c r="D981" s="85">
        <v>81.344999999999999</v>
      </c>
      <c r="E981" s="86">
        <v>10420</v>
      </c>
      <c r="F981" s="85">
        <v>232.49199999999999</v>
      </c>
      <c r="G981" s="87">
        <v>10420</v>
      </c>
      <c r="H981" s="85">
        <v>232.524</v>
      </c>
      <c r="I981" s="87">
        <v>10420</v>
      </c>
      <c r="J981" s="85">
        <v>231.11699999999999</v>
      </c>
      <c r="K981" s="87">
        <v>10420</v>
      </c>
      <c r="L981" s="85">
        <v>230.02600000000001</v>
      </c>
      <c r="M981" s="87">
        <v>10420</v>
      </c>
      <c r="N981" s="85">
        <v>230.90600000000001</v>
      </c>
      <c r="O981" s="87">
        <v>10400</v>
      </c>
      <c r="P981" s="85">
        <v>231.92099999999999</v>
      </c>
      <c r="Q981" s="87">
        <v>10420</v>
      </c>
      <c r="R981" s="85">
        <v>231.626</v>
      </c>
      <c r="S981" s="87">
        <v>10420</v>
      </c>
      <c r="T981" s="85">
        <v>232.24299999999999</v>
      </c>
      <c r="U981" s="87">
        <v>10410</v>
      </c>
      <c r="V981" s="85">
        <v>232.24299999999999</v>
      </c>
      <c r="W981" s="87">
        <v>10420</v>
      </c>
      <c r="X981" s="85">
        <v>231.51300000000001</v>
      </c>
      <c r="Y981" s="87">
        <v>10420</v>
      </c>
      <c r="Z981" s="85">
        <v>229.95599999999999</v>
      </c>
      <c r="AA981" s="87">
        <v>10420</v>
      </c>
      <c r="AB981" s="85">
        <v>230.435</v>
      </c>
      <c r="AC981" s="87">
        <v>10410</v>
      </c>
      <c r="AD981" s="85">
        <v>173.458</v>
      </c>
      <c r="AE981" s="87">
        <v>10420</v>
      </c>
      <c r="AF981" s="85">
        <v>172.93100000000001</v>
      </c>
      <c r="AG981" s="87">
        <v>10400</v>
      </c>
      <c r="AH981" s="85">
        <v>36.652000000000001</v>
      </c>
      <c r="AI981" s="87">
        <v>10400</v>
      </c>
      <c r="AJ981" s="85">
        <v>39.350999999999999</v>
      </c>
    </row>
    <row r="982" spans="1:36" ht="14.25" customHeight="1">
      <c r="A982" s="88">
        <v>10430</v>
      </c>
      <c r="B982" s="84">
        <v>81.763999999999996</v>
      </c>
      <c r="C982" s="88">
        <v>10440</v>
      </c>
      <c r="D982" s="85">
        <v>80.805999999999997</v>
      </c>
      <c r="E982" s="86">
        <v>10430</v>
      </c>
      <c r="F982" s="85">
        <v>231.126</v>
      </c>
      <c r="G982" s="87">
        <v>10430</v>
      </c>
      <c r="H982" s="85">
        <v>231.16</v>
      </c>
      <c r="I982" s="87">
        <v>10430</v>
      </c>
      <c r="J982" s="85">
        <v>229.90600000000001</v>
      </c>
      <c r="K982" s="87">
        <v>10430</v>
      </c>
      <c r="L982" s="85">
        <v>228.81200000000001</v>
      </c>
      <c r="M982" s="87">
        <v>10430</v>
      </c>
      <c r="N982" s="85">
        <v>229.69499999999999</v>
      </c>
      <c r="O982" s="87">
        <v>10410</v>
      </c>
      <c r="P982" s="85">
        <v>230.709</v>
      </c>
      <c r="Q982" s="87">
        <v>10430</v>
      </c>
      <c r="R982" s="85">
        <v>230.41399999999999</v>
      </c>
      <c r="S982" s="87">
        <v>10430</v>
      </c>
      <c r="T982" s="85">
        <v>231.03100000000001</v>
      </c>
      <c r="U982" s="87">
        <v>10420</v>
      </c>
      <c r="V982" s="85">
        <v>231.03200000000001</v>
      </c>
      <c r="W982" s="87">
        <v>10430</v>
      </c>
      <c r="X982" s="85">
        <v>230.30099999999999</v>
      </c>
      <c r="Y982" s="87">
        <v>10430</v>
      </c>
      <c r="Z982" s="85">
        <v>228.74600000000001</v>
      </c>
      <c r="AA982" s="87">
        <v>10430</v>
      </c>
      <c r="AB982" s="85">
        <v>229.22499999999999</v>
      </c>
      <c r="AC982" s="87">
        <v>10420</v>
      </c>
      <c r="AD982" s="85">
        <v>172.405</v>
      </c>
      <c r="AE982" s="87">
        <v>10430</v>
      </c>
      <c r="AF982" s="85">
        <v>171.899</v>
      </c>
      <c r="AG982" s="87">
        <v>10410</v>
      </c>
      <c r="AH982" s="85">
        <v>36.417000000000002</v>
      </c>
      <c r="AI982" s="87">
        <v>10410</v>
      </c>
      <c r="AJ982" s="85">
        <v>39.100999999999999</v>
      </c>
    </row>
    <row r="983" spans="1:36" ht="14.25" customHeight="1">
      <c r="A983" s="88">
        <v>10440</v>
      </c>
      <c r="B983" s="84">
        <v>81.221999999999994</v>
      </c>
      <c r="C983" s="88">
        <v>10450</v>
      </c>
      <c r="D983" s="85">
        <v>80.269000000000005</v>
      </c>
      <c r="E983" s="86">
        <v>10440</v>
      </c>
      <c r="F983" s="85">
        <v>229.761</v>
      </c>
      <c r="G983" s="87">
        <v>10440</v>
      </c>
      <c r="H983" s="85">
        <v>229.797</v>
      </c>
      <c r="I983" s="87">
        <v>10440</v>
      </c>
      <c r="J983" s="85">
        <v>228.69499999999999</v>
      </c>
      <c r="K983" s="87">
        <v>10440</v>
      </c>
      <c r="L983" s="85">
        <v>227.59899999999999</v>
      </c>
      <c r="M983" s="87">
        <v>10440</v>
      </c>
      <c r="N983" s="85">
        <v>228.483</v>
      </c>
      <c r="O983" s="87">
        <v>10420</v>
      </c>
      <c r="P983" s="85">
        <v>229.49700000000001</v>
      </c>
      <c r="Q983" s="87">
        <v>10440</v>
      </c>
      <c r="R983" s="85">
        <v>229.203</v>
      </c>
      <c r="S983" s="87">
        <v>10440</v>
      </c>
      <c r="T983" s="85">
        <v>229.81899999999999</v>
      </c>
      <c r="U983" s="87">
        <v>10430</v>
      </c>
      <c r="V983" s="85">
        <v>229.821</v>
      </c>
      <c r="W983" s="87">
        <v>10440</v>
      </c>
      <c r="X983" s="85">
        <v>229.09</v>
      </c>
      <c r="Y983" s="87">
        <v>10440</v>
      </c>
      <c r="Z983" s="85">
        <v>227.535</v>
      </c>
      <c r="AA983" s="87">
        <v>10440</v>
      </c>
      <c r="AB983" s="85">
        <v>228.01499999999999</v>
      </c>
      <c r="AC983" s="87">
        <v>10430</v>
      </c>
      <c r="AD983" s="85">
        <v>171.352</v>
      </c>
      <c r="AE983" s="87">
        <v>10440</v>
      </c>
      <c r="AF983" s="85">
        <v>170.86799999999999</v>
      </c>
      <c r="AG983" s="87">
        <v>10420</v>
      </c>
      <c r="AH983" s="85">
        <v>36.180999999999997</v>
      </c>
      <c r="AI983" s="87">
        <v>10420</v>
      </c>
      <c r="AJ983" s="85">
        <v>38.850999999999999</v>
      </c>
    </row>
    <row r="984" spans="1:36" ht="14.25" customHeight="1">
      <c r="A984" s="88">
        <v>10450</v>
      </c>
      <c r="B984" s="84">
        <v>80.680999999999997</v>
      </c>
      <c r="C984" s="88">
        <v>10460</v>
      </c>
      <c r="D984" s="85">
        <v>79.733000000000004</v>
      </c>
      <c r="E984" s="86">
        <v>10450</v>
      </c>
      <c r="F984" s="85">
        <v>228.398</v>
      </c>
      <c r="G984" s="87">
        <v>10450</v>
      </c>
      <c r="H984" s="85">
        <v>228.435</v>
      </c>
      <c r="I984" s="87">
        <v>10450</v>
      </c>
      <c r="J984" s="85">
        <v>227.48400000000001</v>
      </c>
      <c r="K984" s="87">
        <v>10450</v>
      </c>
      <c r="L984" s="85">
        <v>226.386</v>
      </c>
      <c r="M984" s="87">
        <v>10450</v>
      </c>
      <c r="N984" s="85">
        <v>227.27199999999999</v>
      </c>
      <c r="O984" s="87">
        <v>10430</v>
      </c>
      <c r="P984" s="85">
        <v>228.286</v>
      </c>
      <c r="Q984" s="87">
        <v>10450</v>
      </c>
      <c r="R984" s="85">
        <v>227.99100000000001</v>
      </c>
      <c r="S984" s="87">
        <v>10450</v>
      </c>
      <c r="T984" s="85">
        <v>228.607</v>
      </c>
      <c r="U984" s="87">
        <v>10440</v>
      </c>
      <c r="V984" s="89">
        <v>228.61099999999999</v>
      </c>
      <c r="W984" s="87">
        <v>10450</v>
      </c>
      <c r="X984" s="85">
        <v>227.87899999999999</v>
      </c>
      <c r="Y984" s="87">
        <v>10450</v>
      </c>
      <c r="Z984" s="85">
        <v>226.32499999999999</v>
      </c>
      <c r="AA984" s="87">
        <v>10450</v>
      </c>
      <c r="AB984" s="85">
        <v>226.80500000000001</v>
      </c>
      <c r="AC984" s="87">
        <v>10440</v>
      </c>
      <c r="AD984" s="85">
        <v>170.3</v>
      </c>
      <c r="AE984" s="87">
        <v>10450</v>
      </c>
      <c r="AF984" s="85">
        <v>169.83799999999999</v>
      </c>
      <c r="AG984" s="87">
        <v>10430</v>
      </c>
      <c r="AH984" s="85">
        <v>35.947000000000003</v>
      </c>
      <c r="AI984" s="87">
        <v>10430</v>
      </c>
      <c r="AJ984" s="85">
        <v>38.601999999999997</v>
      </c>
    </row>
    <row r="985" spans="1:36" ht="14.25" customHeight="1">
      <c r="A985" s="88">
        <v>10460</v>
      </c>
      <c r="B985" s="84">
        <v>80.141999999999996</v>
      </c>
      <c r="C985" s="88">
        <v>10470</v>
      </c>
      <c r="D985" s="85">
        <v>79.197999999999993</v>
      </c>
      <c r="E985" s="86">
        <v>10460</v>
      </c>
      <c r="F985" s="85">
        <v>227.036</v>
      </c>
      <c r="G985" s="87">
        <v>10460</v>
      </c>
      <c r="H985" s="85">
        <v>227.07499999999999</v>
      </c>
      <c r="I985" s="87">
        <v>10460</v>
      </c>
      <c r="J985" s="85">
        <v>226.273</v>
      </c>
      <c r="K985" s="87">
        <v>10460</v>
      </c>
      <c r="L985" s="85">
        <v>225.172</v>
      </c>
      <c r="M985" s="87">
        <v>10460</v>
      </c>
      <c r="N985" s="85">
        <v>226.06</v>
      </c>
      <c r="O985" s="87">
        <v>10440</v>
      </c>
      <c r="P985" s="85">
        <v>227.07400000000001</v>
      </c>
      <c r="Q985" s="87">
        <v>10460</v>
      </c>
      <c r="R985" s="85">
        <v>226.78</v>
      </c>
      <c r="S985" s="87">
        <v>10460</v>
      </c>
      <c r="T985" s="85">
        <v>227.39500000000001</v>
      </c>
      <c r="U985" s="87">
        <v>10450</v>
      </c>
      <c r="V985" s="89">
        <v>227.4</v>
      </c>
      <c r="W985" s="87">
        <v>10460</v>
      </c>
      <c r="X985" s="85">
        <v>226.66800000000001</v>
      </c>
      <c r="Y985" s="87">
        <v>10460</v>
      </c>
      <c r="Z985" s="85">
        <v>225.114</v>
      </c>
      <c r="AA985" s="87">
        <v>10460</v>
      </c>
      <c r="AB985" s="85">
        <v>225.595</v>
      </c>
      <c r="AC985" s="87">
        <v>10450</v>
      </c>
      <c r="AD985" s="85">
        <v>169.24700000000001</v>
      </c>
      <c r="AE985" s="87">
        <v>10460</v>
      </c>
      <c r="AF985" s="85">
        <v>168.81</v>
      </c>
      <c r="AG985" s="87">
        <v>10440</v>
      </c>
      <c r="AH985" s="85">
        <v>35.713000000000001</v>
      </c>
      <c r="AI985" s="87">
        <v>10440</v>
      </c>
      <c r="AJ985" s="85">
        <v>38.353999999999999</v>
      </c>
    </row>
    <row r="986" spans="1:36" ht="14.25" customHeight="1">
      <c r="A986" s="88">
        <v>10470</v>
      </c>
      <c r="B986" s="84">
        <v>79.603999999999999</v>
      </c>
      <c r="C986" s="88">
        <v>10480</v>
      </c>
      <c r="D986" s="85">
        <v>78.664000000000001</v>
      </c>
      <c r="E986" s="86">
        <v>10470</v>
      </c>
      <c r="F986" s="85">
        <v>225.67599999999999</v>
      </c>
      <c r="G986" s="87">
        <v>10470</v>
      </c>
      <c r="H986" s="85">
        <v>225.71600000000001</v>
      </c>
      <c r="I986" s="87">
        <v>10470</v>
      </c>
      <c r="J986" s="85">
        <v>225.06200000000001</v>
      </c>
      <c r="K986" s="87">
        <v>10470</v>
      </c>
      <c r="L986" s="85">
        <v>223.959</v>
      </c>
      <c r="M986" s="87">
        <v>10470</v>
      </c>
      <c r="N986" s="85">
        <v>224.84899999999999</v>
      </c>
      <c r="O986" s="87">
        <v>10450</v>
      </c>
      <c r="P986" s="85">
        <v>225.86199999999999</v>
      </c>
      <c r="Q986" s="87">
        <v>10470</v>
      </c>
      <c r="R986" s="85">
        <v>225.56800000000001</v>
      </c>
      <c r="S986" s="87">
        <v>10470</v>
      </c>
      <c r="T986" s="85">
        <v>226.18299999999999</v>
      </c>
      <c r="U986" s="87">
        <v>10460</v>
      </c>
      <c r="V986" s="85">
        <v>226.19</v>
      </c>
      <c r="W986" s="87">
        <v>10470</v>
      </c>
      <c r="X986" s="85">
        <v>225.45699999999999</v>
      </c>
      <c r="Y986" s="87">
        <v>10470</v>
      </c>
      <c r="Z986" s="85">
        <v>223.90299999999999</v>
      </c>
      <c r="AA986" s="87">
        <v>10470</v>
      </c>
      <c r="AB986" s="85">
        <v>224.38499999999999</v>
      </c>
      <c r="AC986" s="87">
        <v>10460</v>
      </c>
      <c r="AD986" s="85">
        <v>168.19399999999999</v>
      </c>
      <c r="AE986" s="87">
        <v>10470</v>
      </c>
      <c r="AF986" s="85">
        <v>167.78200000000001</v>
      </c>
      <c r="AG986" s="87">
        <v>10450</v>
      </c>
      <c r="AH986" s="85">
        <v>35.478999999999999</v>
      </c>
      <c r="AI986" s="87">
        <v>10450</v>
      </c>
      <c r="AJ986" s="85">
        <v>38.106000000000002</v>
      </c>
    </row>
    <row r="987" spans="1:36" ht="14.25" customHeight="1">
      <c r="A987" s="88">
        <v>10480</v>
      </c>
      <c r="B987" s="84">
        <v>79.066000000000003</v>
      </c>
      <c r="C987" s="88">
        <v>10490</v>
      </c>
      <c r="D987" s="92">
        <v>78.132000000000005</v>
      </c>
      <c r="E987" s="86">
        <v>10480</v>
      </c>
      <c r="F987" s="85">
        <v>224.31700000000001</v>
      </c>
      <c r="G987" s="87">
        <v>10480</v>
      </c>
      <c r="H987" s="85">
        <v>224.358</v>
      </c>
      <c r="I987" s="87">
        <v>10480</v>
      </c>
      <c r="J987" s="85">
        <v>223.851</v>
      </c>
      <c r="K987" s="87">
        <v>10480</v>
      </c>
      <c r="L987" s="85">
        <v>222.74600000000001</v>
      </c>
      <c r="M987" s="87">
        <v>10480</v>
      </c>
      <c r="N987" s="85">
        <v>223.637</v>
      </c>
      <c r="O987" s="87">
        <v>10460</v>
      </c>
      <c r="P987" s="85">
        <v>224.65100000000001</v>
      </c>
      <c r="Q987" s="87">
        <v>10480</v>
      </c>
      <c r="R987" s="85">
        <v>224.357</v>
      </c>
      <c r="S987" s="87">
        <v>10480</v>
      </c>
      <c r="T987" s="85">
        <v>224.971</v>
      </c>
      <c r="U987" s="87">
        <v>10470</v>
      </c>
      <c r="V987" s="85">
        <v>224.97900000000001</v>
      </c>
      <c r="W987" s="87">
        <v>10480</v>
      </c>
      <c r="X987" s="85">
        <v>224.24600000000001</v>
      </c>
      <c r="Y987" s="87">
        <v>10480</v>
      </c>
      <c r="Z987" s="85">
        <v>222.69300000000001</v>
      </c>
      <c r="AA987" s="87">
        <v>10480</v>
      </c>
      <c r="AB987" s="85">
        <v>223.17500000000001</v>
      </c>
      <c r="AC987" s="87">
        <v>10470</v>
      </c>
      <c r="AD987" s="85">
        <v>167.14099999999999</v>
      </c>
      <c r="AE987" s="87">
        <v>10480</v>
      </c>
      <c r="AF987" s="85">
        <v>166.756</v>
      </c>
      <c r="AG987" s="87">
        <v>10460</v>
      </c>
      <c r="AH987" s="85">
        <v>35.246000000000002</v>
      </c>
      <c r="AI987" s="87">
        <v>10460</v>
      </c>
      <c r="AJ987" s="85">
        <v>37.859000000000002</v>
      </c>
    </row>
    <row r="988" spans="1:36" ht="14.25" customHeight="1">
      <c r="A988" s="88">
        <v>10490</v>
      </c>
      <c r="B988" s="84">
        <v>78.531000000000006</v>
      </c>
      <c r="C988" s="88">
        <v>10500</v>
      </c>
      <c r="D988" s="85">
        <v>77.599999999999994</v>
      </c>
      <c r="E988" s="86">
        <v>10490</v>
      </c>
      <c r="F988" s="85">
        <v>222.959</v>
      </c>
      <c r="G988" s="87">
        <v>10490</v>
      </c>
      <c r="H988" s="85">
        <v>223.00200000000001</v>
      </c>
      <c r="I988" s="87">
        <v>10490</v>
      </c>
      <c r="J988" s="85">
        <v>222.64</v>
      </c>
      <c r="K988" s="87">
        <v>10490</v>
      </c>
      <c r="L988" s="85">
        <v>221.53200000000001</v>
      </c>
      <c r="M988" s="87">
        <v>10490</v>
      </c>
      <c r="N988" s="85">
        <v>222.42599999999999</v>
      </c>
      <c r="O988" s="87">
        <v>10470</v>
      </c>
      <c r="P988" s="85">
        <v>223.43899999999999</v>
      </c>
      <c r="Q988" s="87">
        <v>10490</v>
      </c>
      <c r="R988" s="85">
        <v>223.14599999999999</v>
      </c>
      <c r="S988" s="87">
        <v>10490</v>
      </c>
      <c r="T988" s="85">
        <v>223.75899999999999</v>
      </c>
      <c r="U988" s="87">
        <v>10480</v>
      </c>
      <c r="V988" s="85">
        <v>223.76900000000001</v>
      </c>
      <c r="W988" s="87">
        <v>10490</v>
      </c>
      <c r="X988" s="85">
        <v>223.03399999999999</v>
      </c>
      <c r="Y988" s="87">
        <v>10490</v>
      </c>
      <c r="Z988" s="85">
        <v>221.482</v>
      </c>
      <c r="AA988" s="87">
        <v>10490</v>
      </c>
      <c r="AB988" s="85">
        <v>221.965</v>
      </c>
      <c r="AC988" s="87">
        <v>10480</v>
      </c>
      <c r="AD988" s="85">
        <v>166.089</v>
      </c>
      <c r="AE988" s="87">
        <v>10490</v>
      </c>
      <c r="AF988" s="85">
        <v>165.73099999999999</v>
      </c>
      <c r="AG988" s="87">
        <v>10470</v>
      </c>
      <c r="AH988" s="85">
        <v>35.012999999999998</v>
      </c>
      <c r="AI988" s="87">
        <v>10470</v>
      </c>
      <c r="AJ988" s="85">
        <v>37.612000000000002</v>
      </c>
    </row>
    <row r="989" spans="1:36" ht="14.25" customHeight="1">
      <c r="A989" s="88">
        <v>10500</v>
      </c>
      <c r="B989" s="84">
        <v>77.995999999999995</v>
      </c>
      <c r="C989" s="88">
        <v>10510</v>
      </c>
      <c r="D989" s="85">
        <v>77.069999999999993</v>
      </c>
      <c r="E989" s="86">
        <v>10500</v>
      </c>
      <c r="F989" s="85">
        <v>221.602</v>
      </c>
      <c r="G989" s="87">
        <v>10500</v>
      </c>
      <c r="H989" s="85">
        <v>221.64699999999999</v>
      </c>
      <c r="I989" s="87">
        <v>10500</v>
      </c>
      <c r="J989" s="85">
        <v>221.429</v>
      </c>
      <c r="K989" s="87">
        <v>10500</v>
      </c>
      <c r="L989" s="85">
        <v>220.31899999999999</v>
      </c>
      <c r="M989" s="87">
        <v>10500</v>
      </c>
      <c r="N989" s="85">
        <v>221.214</v>
      </c>
      <c r="O989" s="87">
        <v>10480</v>
      </c>
      <c r="P989" s="85">
        <v>222.227</v>
      </c>
      <c r="Q989" s="87">
        <v>10500</v>
      </c>
      <c r="R989" s="85">
        <v>221.934</v>
      </c>
      <c r="S989" s="87">
        <v>10500</v>
      </c>
      <c r="T989" s="85">
        <v>222.547</v>
      </c>
      <c r="U989" s="87">
        <v>10490</v>
      </c>
      <c r="V989" s="85">
        <v>222.55799999999999</v>
      </c>
      <c r="W989" s="87">
        <v>10500</v>
      </c>
      <c r="X989" s="85">
        <v>221.82300000000001</v>
      </c>
      <c r="Y989" s="87">
        <v>10500</v>
      </c>
      <c r="Z989" s="85">
        <v>220.27099999999999</v>
      </c>
      <c r="AA989" s="87">
        <v>10500</v>
      </c>
      <c r="AB989" s="85">
        <v>220.755</v>
      </c>
      <c r="AC989" s="87">
        <v>10490</v>
      </c>
      <c r="AD989" s="85">
        <v>165.036</v>
      </c>
      <c r="AE989" s="87">
        <v>10500</v>
      </c>
      <c r="AF989" s="85">
        <v>164.70699999999999</v>
      </c>
      <c r="AG989" s="87">
        <v>10480</v>
      </c>
      <c r="AH989" s="85">
        <v>34.780999999999999</v>
      </c>
      <c r="AI989" s="87">
        <v>10480</v>
      </c>
      <c r="AJ989" s="85">
        <v>37.366</v>
      </c>
    </row>
    <row r="990" spans="1:36" ht="14.25" customHeight="1">
      <c r="A990" s="88">
        <v>10510</v>
      </c>
      <c r="B990" s="84">
        <v>77.462000000000003</v>
      </c>
      <c r="C990" s="88">
        <v>10520</v>
      </c>
      <c r="D990" s="85">
        <v>76.540000000000006</v>
      </c>
      <c r="E990" s="86">
        <v>10510</v>
      </c>
      <c r="F990" s="85">
        <v>220.24700000000001</v>
      </c>
      <c r="G990" s="87">
        <v>10510</v>
      </c>
      <c r="H990" s="85">
        <v>220.29300000000001</v>
      </c>
      <c r="I990" s="87">
        <v>10510</v>
      </c>
      <c r="J990" s="85">
        <v>220.21700000000001</v>
      </c>
      <c r="K990" s="87">
        <v>10510</v>
      </c>
      <c r="L990" s="85">
        <v>219.10599999999999</v>
      </c>
      <c r="M990" s="87">
        <v>10510</v>
      </c>
      <c r="N990" s="85">
        <v>220.00299999999999</v>
      </c>
      <c r="O990" s="87">
        <v>10490</v>
      </c>
      <c r="P990" s="85">
        <v>221.01499999999999</v>
      </c>
      <c r="Q990" s="87">
        <v>10510</v>
      </c>
      <c r="R990" s="85">
        <v>220.72300000000001</v>
      </c>
      <c r="S990" s="87">
        <v>10510</v>
      </c>
      <c r="T990" s="85">
        <v>221.33500000000001</v>
      </c>
      <c r="U990" s="87">
        <v>10500</v>
      </c>
      <c r="V990" s="85">
        <v>221.34800000000001</v>
      </c>
      <c r="W990" s="87">
        <v>10510</v>
      </c>
      <c r="X990" s="85">
        <v>220.61199999999999</v>
      </c>
      <c r="Y990" s="87">
        <v>10510</v>
      </c>
      <c r="Z990" s="85">
        <v>219.06100000000001</v>
      </c>
      <c r="AA990" s="87">
        <v>10510</v>
      </c>
      <c r="AB990" s="85">
        <v>219.54499999999999</v>
      </c>
      <c r="AC990" s="87">
        <v>10500</v>
      </c>
      <c r="AD990" s="85">
        <v>163.983</v>
      </c>
      <c r="AE990" s="87">
        <v>10510</v>
      </c>
      <c r="AF990" s="85">
        <v>163.684</v>
      </c>
      <c r="AG990" s="87">
        <v>10490</v>
      </c>
      <c r="AH990" s="85">
        <v>34.549999999999997</v>
      </c>
      <c r="AI990" s="87">
        <v>10490</v>
      </c>
      <c r="AJ990" s="85">
        <v>37.121000000000002</v>
      </c>
    </row>
    <row r="991" spans="1:36" ht="14.25" customHeight="1">
      <c r="A991" s="88">
        <v>10520</v>
      </c>
      <c r="B991" s="84">
        <v>76.930000000000007</v>
      </c>
      <c r="C991" s="88">
        <v>10530</v>
      </c>
      <c r="D991" s="85">
        <v>76.012</v>
      </c>
      <c r="E991" s="86">
        <v>10520</v>
      </c>
      <c r="F991" s="85">
        <v>218.89400000000001</v>
      </c>
      <c r="G991" s="87">
        <v>10520</v>
      </c>
      <c r="H991" s="85">
        <v>218.941</v>
      </c>
      <c r="I991" s="87">
        <v>10520</v>
      </c>
      <c r="J991" s="85">
        <v>219.006</v>
      </c>
      <c r="K991" s="87">
        <v>10520</v>
      </c>
      <c r="L991" s="85">
        <v>217.893</v>
      </c>
      <c r="M991" s="87">
        <v>10520</v>
      </c>
      <c r="N991" s="85">
        <v>218.791</v>
      </c>
      <c r="O991" s="87">
        <v>10500</v>
      </c>
      <c r="P991" s="85">
        <v>219.804</v>
      </c>
      <c r="Q991" s="87">
        <v>10520</v>
      </c>
      <c r="R991" s="85">
        <v>219.511</v>
      </c>
      <c r="S991" s="87">
        <v>10520</v>
      </c>
      <c r="T991" s="85">
        <v>220.12299999999999</v>
      </c>
      <c r="U991" s="87">
        <v>10510</v>
      </c>
      <c r="V991" s="85">
        <v>220.137</v>
      </c>
      <c r="W991" s="87">
        <v>10520</v>
      </c>
      <c r="X991" s="85">
        <v>219.40100000000001</v>
      </c>
      <c r="Y991" s="87">
        <v>10520</v>
      </c>
      <c r="Z991" s="85">
        <v>217.85</v>
      </c>
      <c r="AA991" s="87">
        <v>10520</v>
      </c>
      <c r="AB991" s="85">
        <v>218.334</v>
      </c>
      <c r="AC991" s="87">
        <v>10510</v>
      </c>
      <c r="AD991" s="85">
        <v>162.93100000000001</v>
      </c>
      <c r="AE991" s="87">
        <v>10520</v>
      </c>
      <c r="AF991" s="85">
        <v>162.66200000000001</v>
      </c>
      <c r="AG991" s="87">
        <v>10500</v>
      </c>
      <c r="AH991" s="85">
        <v>34.319000000000003</v>
      </c>
      <c r="AI991" s="87">
        <v>10500</v>
      </c>
      <c r="AJ991" s="85">
        <v>36.875</v>
      </c>
    </row>
    <row r="992" spans="1:36" ht="14.25" customHeight="1">
      <c r="A992" s="88">
        <v>10530</v>
      </c>
      <c r="B992" s="84">
        <v>76.397999999999996</v>
      </c>
      <c r="C992" s="88">
        <v>10540</v>
      </c>
      <c r="D992" s="85">
        <v>75.484999999999999</v>
      </c>
      <c r="E992" s="86">
        <v>10530</v>
      </c>
      <c r="F992" s="85">
        <v>217.541</v>
      </c>
      <c r="G992" s="87">
        <v>10530</v>
      </c>
      <c r="H992" s="85">
        <v>217.59</v>
      </c>
      <c r="I992" s="87">
        <v>10530</v>
      </c>
      <c r="J992" s="85">
        <v>217.79499999999999</v>
      </c>
      <c r="K992" s="87">
        <v>10530</v>
      </c>
      <c r="L992" s="85">
        <v>216.679</v>
      </c>
      <c r="M992" s="87">
        <v>10530</v>
      </c>
      <c r="N992" s="85">
        <v>217.58</v>
      </c>
      <c r="O992" s="87">
        <v>10510</v>
      </c>
      <c r="P992" s="85">
        <v>218.59200000000001</v>
      </c>
      <c r="Q992" s="87">
        <v>10530</v>
      </c>
      <c r="R992" s="85">
        <v>218.3</v>
      </c>
      <c r="S992" s="87">
        <v>10530</v>
      </c>
      <c r="T992" s="85">
        <v>218.911</v>
      </c>
      <c r="U992" s="87">
        <v>10520</v>
      </c>
      <c r="V992" s="85">
        <v>218.92699999999999</v>
      </c>
      <c r="W992" s="87">
        <v>10530</v>
      </c>
      <c r="X992" s="85">
        <v>218.19</v>
      </c>
      <c r="Y992" s="87">
        <v>10530</v>
      </c>
      <c r="Z992" s="85">
        <v>216.64</v>
      </c>
      <c r="AA992" s="87">
        <v>10530</v>
      </c>
      <c r="AB992" s="85">
        <v>217.124</v>
      </c>
      <c r="AC992" s="87">
        <v>10520</v>
      </c>
      <c r="AD992" s="85">
        <v>161.87799999999999</v>
      </c>
      <c r="AE992" s="87">
        <v>10530</v>
      </c>
      <c r="AF992" s="85">
        <v>161.65</v>
      </c>
      <c r="AG992" s="87">
        <v>10510</v>
      </c>
      <c r="AH992" s="85">
        <v>34.088000000000001</v>
      </c>
      <c r="AI992" s="87">
        <v>10510</v>
      </c>
      <c r="AJ992" s="85">
        <v>36.631</v>
      </c>
    </row>
    <row r="993" spans="1:36" ht="14.25" customHeight="1">
      <c r="A993" s="88">
        <v>10540</v>
      </c>
      <c r="B993" s="84">
        <v>75.867999999999995</v>
      </c>
      <c r="C993" s="88">
        <v>10550</v>
      </c>
      <c r="D993" s="85">
        <v>74.959999999999994</v>
      </c>
      <c r="E993" s="86">
        <v>10540</v>
      </c>
      <c r="F993" s="85">
        <v>216.191</v>
      </c>
      <c r="G993" s="87">
        <v>10540</v>
      </c>
      <c r="H993" s="85">
        <v>216.24100000000001</v>
      </c>
      <c r="I993" s="87">
        <v>10540</v>
      </c>
      <c r="J993" s="85">
        <v>216.584</v>
      </c>
      <c r="K993" s="87">
        <v>10540</v>
      </c>
      <c r="L993" s="85">
        <v>215.46600000000001</v>
      </c>
      <c r="M993" s="87">
        <v>10540</v>
      </c>
      <c r="N993" s="85">
        <v>216.369</v>
      </c>
      <c r="O993" s="87">
        <v>10520</v>
      </c>
      <c r="P993" s="85">
        <v>217.38</v>
      </c>
      <c r="Q993" s="87">
        <v>10540</v>
      </c>
      <c r="R993" s="85">
        <v>217.08799999999999</v>
      </c>
      <c r="S993" s="87">
        <v>10540</v>
      </c>
      <c r="T993" s="85">
        <v>217.69900000000001</v>
      </c>
      <c r="U993" s="87">
        <v>10530</v>
      </c>
      <c r="V993" s="85">
        <v>217.71600000000001</v>
      </c>
      <c r="W993" s="87">
        <v>10540</v>
      </c>
      <c r="X993" s="85">
        <v>216.97800000000001</v>
      </c>
      <c r="Y993" s="87">
        <v>10540</v>
      </c>
      <c r="Z993" s="85">
        <v>215.429</v>
      </c>
      <c r="AA993" s="87">
        <v>10540</v>
      </c>
      <c r="AB993" s="85">
        <v>215.91399999999999</v>
      </c>
      <c r="AC993" s="87">
        <v>10530</v>
      </c>
      <c r="AD993" s="85">
        <v>160.82499999999999</v>
      </c>
      <c r="AE993" s="87">
        <v>10540</v>
      </c>
      <c r="AF993" s="85">
        <v>160.66</v>
      </c>
      <c r="AG993" s="87">
        <v>10520</v>
      </c>
      <c r="AH993" s="85">
        <v>33.857999999999997</v>
      </c>
      <c r="AI993" s="87">
        <v>10520</v>
      </c>
      <c r="AJ993" s="85">
        <v>36.387</v>
      </c>
    </row>
    <row r="994" spans="1:36" ht="14.25" customHeight="1">
      <c r="A994" s="88">
        <v>10550</v>
      </c>
      <c r="B994" s="84">
        <v>75.338999999999999</v>
      </c>
      <c r="C994" s="88">
        <v>10560</v>
      </c>
      <c r="D994" s="85">
        <v>74.435000000000002</v>
      </c>
      <c r="E994" s="86">
        <v>10550</v>
      </c>
      <c r="F994" s="85">
        <v>214.84100000000001</v>
      </c>
      <c r="G994" s="87">
        <v>10550</v>
      </c>
      <c r="H994" s="85">
        <v>214.893</v>
      </c>
      <c r="I994" s="87">
        <v>10550</v>
      </c>
      <c r="J994" s="85">
        <v>215.37299999999999</v>
      </c>
      <c r="K994" s="87">
        <v>10550</v>
      </c>
      <c r="L994" s="85">
        <v>214.25299999999999</v>
      </c>
      <c r="M994" s="87">
        <v>10550</v>
      </c>
      <c r="N994" s="85">
        <v>215.15700000000001</v>
      </c>
      <c r="O994" s="87">
        <v>10530</v>
      </c>
      <c r="P994" s="85">
        <v>216.16900000000001</v>
      </c>
      <c r="Q994" s="87">
        <v>10550</v>
      </c>
      <c r="R994" s="85">
        <v>215.87700000000001</v>
      </c>
      <c r="S994" s="87">
        <v>10550</v>
      </c>
      <c r="T994" s="85">
        <v>216.48699999999999</v>
      </c>
      <c r="U994" s="87">
        <v>10540</v>
      </c>
      <c r="V994" s="85">
        <v>216.506</v>
      </c>
      <c r="W994" s="87">
        <v>10550</v>
      </c>
      <c r="X994" s="85">
        <v>215.767</v>
      </c>
      <c r="Y994" s="87">
        <v>10550</v>
      </c>
      <c r="Z994" s="85">
        <v>214.21799999999999</v>
      </c>
      <c r="AA994" s="87">
        <v>10550</v>
      </c>
      <c r="AB994" s="85">
        <v>214.70400000000001</v>
      </c>
      <c r="AC994" s="87">
        <v>10540</v>
      </c>
      <c r="AD994" s="85">
        <v>159.773</v>
      </c>
      <c r="AE994" s="87">
        <v>10550</v>
      </c>
      <c r="AF994" s="85">
        <v>159.66900000000001</v>
      </c>
      <c r="AG994" s="87">
        <v>10530</v>
      </c>
      <c r="AH994" s="85">
        <v>33.628999999999998</v>
      </c>
      <c r="AI994" s="87">
        <v>10530</v>
      </c>
      <c r="AJ994" s="85">
        <v>36.143000000000001</v>
      </c>
    </row>
    <row r="995" spans="1:36" ht="14.25" customHeight="1">
      <c r="A995" s="88">
        <v>10560</v>
      </c>
      <c r="B995" s="84">
        <v>74.811000000000007</v>
      </c>
      <c r="C995" s="88">
        <v>10570</v>
      </c>
      <c r="D995" s="85">
        <v>73.912000000000006</v>
      </c>
      <c r="E995" s="86">
        <v>10560</v>
      </c>
      <c r="F995" s="85">
        <v>213.49299999999999</v>
      </c>
      <c r="G995" s="87">
        <v>10560</v>
      </c>
      <c r="H995" s="85">
        <v>213.54599999999999</v>
      </c>
      <c r="I995" s="87">
        <v>10560</v>
      </c>
      <c r="J995" s="85">
        <v>214.16200000000001</v>
      </c>
      <c r="K995" s="87">
        <v>10560</v>
      </c>
      <c r="L995" s="85">
        <v>213.03899999999999</v>
      </c>
      <c r="M995" s="87">
        <v>10560</v>
      </c>
      <c r="N995" s="85">
        <v>213.946</v>
      </c>
      <c r="O995" s="87">
        <v>10540</v>
      </c>
      <c r="P995" s="85">
        <v>214.95699999999999</v>
      </c>
      <c r="Q995" s="87">
        <v>10560</v>
      </c>
      <c r="R995" s="85">
        <v>214.666</v>
      </c>
      <c r="S995" s="87">
        <v>10560</v>
      </c>
      <c r="T995" s="85">
        <v>215.27500000000001</v>
      </c>
      <c r="U995" s="87">
        <v>10550</v>
      </c>
      <c r="V995" s="85">
        <v>215.29499999999999</v>
      </c>
      <c r="W995" s="87">
        <v>10560</v>
      </c>
      <c r="X995" s="85">
        <v>214.55600000000001</v>
      </c>
      <c r="Y995" s="87">
        <v>10560</v>
      </c>
      <c r="Z995" s="85">
        <v>213.00800000000001</v>
      </c>
      <c r="AA995" s="87">
        <v>10560</v>
      </c>
      <c r="AB995" s="85">
        <v>213.494</v>
      </c>
      <c r="AC995" s="87">
        <v>10550</v>
      </c>
      <c r="AD995" s="85">
        <v>158.72</v>
      </c>
      <c r="AE995" s="87">
        <v>10560</v>
      </c>
      <c r="AF995" s="85">
        <v>158.679</v>
      </c>
      <c r="AG995" s="87">
        <v>10540</v>
      </c>
      <c r="AH995" s="85">
        <v>33.4</v>
      </c>
      <c r="AI995" s="87">
        <v>10540</v>
      </c>
      <c r="AJ995" s="85">
        <v>35.9</v>
      </c>
    </row>
    <row r="996" spans="1:36" ht="14.25" customHeight="1">
      <c r="A996" s="88">
        <v>10570</v>
      </c>
      <c r="B996" s="84">
        <v>74.284000000000006</v>
      </c>
      <c r="C996" s="88">
        <v>10580</v>
      </c>
      <c r="D996" s="85">
        <v>73.388999999999996</v>
      </c>
      <c r="E996" s="86">
        <v>10570</v>
      </c>
      <c r="F996" s="85">
        <v>212.14599999999999</v>
      </c>
      <c r="G996" s="87">
        <v>10570</v>
      </c>
      <c r="H996" s="85">
        <v>212.20099999999999</v>
      </c>
      <c r="I996" s="87">
        <v>10570</v>
      </c>
      <c r="J996" s="85">
        <v>212.95099999999999</v>
      </c>
      <c r="K996" s="87">
        <v>10570</v>
      </c>
      <c r="L996" s="85">
        <v>211.82599999999999</v>
      </c>
      <c r="M996" s="87">
        <v>10570</v>
      </c>
      <c r="N996" s="85">
        <v>212.73400000000001</v>
      </c>
      <c r="O996" s="87">
        <v>10550</v>
      </c>
      <c r="P996" s="85">
        <v>213.745</v>
      </c>
      <c r="Q996" s="87">
        <v>10570</v>
      </c>
      <c r="R996" s="85">
        <v>213.45400000000001</v>
      </c>
      <c r="S996" s="87">
        <v>10570</v>
      </c>
      <c r="T996" s="85">
        <v>214.06299999999999</v>
      </c>
      <c r="U996" s="87">
        <v>10560</v>
      </c>
      <c r="V996" s="85">
        <v>214.08500000000001</v>
      </c>
      <c r="W996" s="87">
        <v>10570</v>
      </c>
      <c r="X996" s="85">
        <v>213.345</v>
      </c>
      <c r="Y996" s="87">
        <v>10570</v>
      </c>
      <c r="Z996" s="85">
        <v>211.797</v>
      </c>
      <c r="AA996" s="87">
        <v>10570</v>
      </c>
      <c r="AB996" s="85">
        <v>212.28399999999999</v>
      </c>
      <c r="AC996" s="87">
        <v>10560</v>
      </c>
      <c r="AD996" s="85">
        <v>157.667</v>
      </c>
      <c r="AE996" s="87">
        <v>10570</v>
      </c>
      <c r="AF996" s="85">
        <v>157.68799999999999</v>
      </c>
      <c r="AG996" s="87">
        <v>10550</v>
      </c>
      <c r="AH996" s="85">
        <v>33.170999999999999</v>
      </c>
      <c r="AI996" s="87">
        <v>10550</v>
      </c>
      <c r="AJ996" s="85">
        <v>35.658000000000001</v>
      </c>
    </row>
    <row r="997" spans="1:36" ht="14.25" customHeight="1">
      <c r="A997" s="88">
        <v>10580</v>
      </c>
      <c r="B997" s="84">
        <v>73.759</v>
      </c>
      <c r="C997" s="88">
        <v>10590</v>
      </c>
      <c r="D997" s="85">
        <v>72.867999999999995</v>
      </c>
      <c r="E997" s="86">
        <v>10580</v>
      </c>
      <c r="F997" s="85">
        <v>210.80099999999999</v>
      </c>
      <c r="G997" s="87">
        <v>10580</v>
      </c>
      <c r="H997" s="85">
        <v>210.857</v>
      </c>
      <c r="I997" s="87">
        <v>10580</v>
      </c>
      <c r="J997" s="85">
        <v>211.74</v>
      </c>
      <c r="K997" s="87">
        <v>10580</v>
      </c>
      <c r="L997" s="85">
        <v>210.613</v>
      </c>
      <c r="M997" s="87">
        <v>10580</v>
      </c>
      <c r="N997" s="85">
        <v>211.523</v>
      </c>
      <c r="O997" s="87">
        <v>10560</v>
      </c>
      <c r="P997" s="85">
        <v>212.53399999999999</v>
      </c>
      <c r="Q997" s="87">
        <v>10580</v>
      </c>
      <c r="R997" s="85">
        <v>212.24299999999999</v>
      </c>
      <c r="S997" s="87">
        <v>10580</v>
      </c>
      <c r="T997" s="85">
        <v>212.851</v>
      </c>
      <c r="U997" s="87">
        <v>10570</v>
      </c>
      <c r="V997" s="85">
        <v>212.874</v>
      </c>
      <c r="W997" s="87">
        <v>10580</v>
      </c>
      <c r="X997" s="85">
        <v>212.13399999999999</v>
      </c>
      <c r="Y997" s="87">
        <v>10580</v>
      </c>
      <c r="Z997" s="85">
        <v>210.58600000000001</v>
      </c>
      <c r="AA997" s="87">
        <v>10580</v>
      </c>
      <c r="AB997" s="85">
        <v>211.07400000000001</v>
      </c>
      <c r="AC997" s="87">
        <v>10570</v>
      </c>
      <c r="AD997" s="85">
        <v>156.61500000000001</v>
      </c>
      <c r="AE997" s="87">
        <v>10580</v>
      </c>
      <c r="AF997" s="85">
        <v>156.69800000000001</v>
      </c>
      <c r="AG997" s="87">
        <v>10560</v>
      </c>
      <c r="AH997" s="85">
        <v>32.944000000000003</v>
      </c>
      <c r="AI997" s="87">
        <v>10560</v>
      </c>
      <c r="AJ997" s="85">
        <v>35.415999999999997</v>
      </c>
    </row>
    <row r="998" spans="1:36" ht="14.25" customHeight="1">
      <c r="A998" s="88">
        <v>10590</v>
      </c>
      <c r="B998" s="84">
        <v>73.233999999999995</v>
      </c>
      <c r="C998" s="88">
        <v>10600</v>
      </c>
      <c r="D998" s="85">
        <v>72.347999999999999</v>
      </c>
      <c r="E998" s="86">
        <v>10590</v>
      </c>
      <c r="F998" s="85">
        <v>209.45699999999999</v>
      </c>
      <c r="G998" s="87">
        <v>10590</v>
      </c>
      <c r="H998" s="85">
        <v>209.51499999999999</v>
      </c>
      <c r="I998" s="87">
        <v>10590</v>
      </c>
      <c r="J998" s="85">
        <v>210.529</v>
      </c>
      <c r="K998" s="87">
        <v>10590</v>
      </c>
      <c r="L998" s="85">
        <v>209.399</v>
      </c>
      <c r="M998" s="87">
        <v>10590</v>
      </c>
      <c r="N998" s="85">
        <v>210.31100000000001</v>
      </c>
      <c r="O998" s="87">
        <v>10570</v>
      </c>
      <c r="P998" s="85">
        <v>211.322</v>
      </c>
      <c r="Q998" s="87">
        <v>10590</v>
      </c>
      <c r="R998" s="85">
        <v>211.03100000000001</v>
      </c>
      <c r="S998" s="87">
        <v>10590</v>
      </c>
      <c r="T998" s="85">
        <v>211.63900000000001</v>
      </c>
      <c r="U998" s="87">
        <v>10580</v>
      </c>
      <c r="V998" s="85">
        <v>211.66399999999999</v>
      </c>
      <c r="W998" s="87">
        <v>10590</v>
      </c>
      <c r="X998" s="85">
        <v>210.923</v>
      </c>
      <c r="Y998" s="87">
        <v>10590</v>
      </c>
      <c r="Z998" s="85">
        <v>209.376</v>
      </c>
      <c r="AA998" s="87">
        <v>10590</v>
      </c>
      <c r="AB998" s="85">
        <v>209.864</v>
      </c>
      <c r="AC998" s="87">
        <v>10580</v>
      </c>
      <c r="AD998" s="85">
        <v>155.56200000000001</v>
      </c>
      <c r="AE998" s="87">
        <v>10590</v>
      </c>
      <c r="AF998" s="85">
        <v>155.708</v>
      </c>
      <c r="AG998" s="87">
        <v>10570</v>
      </c>
      <c r="AH998" s="85">
        <v>32.716000000000001</v>
      </c>
      <c r="AI998" s="87">
        <v>10570</v>
      </c>
      <c r="AJ998" s="85">
        <v>35.173999999999999</v>
      </c>
    </row>
    <row r="999" spans="1:36" ht="14.25" customHeight="1">
      <c r="A999" s="88">
        <v>10600</v>
      </c>
      <c r="B999" s="84">
        <v>72.710999999999999</v>
      </c>
      <c r="C999" s="88">
        <v>10610</v>
      </c>
      <c r="D999" s="85">
        <v>71.828999999999994</v>
      </c>
      <c r="E999" s="86">
        <v>10600</v>
      </c>
      <c r="F999" s="85">
        <v>208.11500000000001</v>
      </c>
      <c r="G999" s="87">
        <v>10600</v>
      </c>
      <c r="H999" s="85">
        <v>208.17400000000001</v>
      </c>
      <c r="I999" s="87">
        <v>10600</v>
      </c>
      <c r="J999" s="85">
        <v>209.31800000000001</v>
      </c>
      <c r="K999" s="87">
        <v>10600</v>
      </c>
      <c r="L999" s="85">
        <v>208.18600000000001</v>
      </c>
      <c r="M999" s="87">
        <v>10600</v>
      </c>
      <c r="N999" s="85">
        <v>209.1</v>
      </c>
      <c r="O999" s="87">
        <v>10580</v>
      </c>
      <c r="P999" s="85">
        <v>210.11</v>
      </c>
      <c r="Q999" s="87">
        <v>10600</v>
      </c>
      <c r="R999" s="85">
        <v>209.82</v>
      </c>
      <c r="S999" s="87">
        <v>10600</v>
      </c>
      <c r="T999" s="85">
        <v>210.428</v>
      </c>
      <c r="U999" s="87">
        <v>10590</v>
      </c>
      <c r="V999" s="85">
        <v>210.453</v>
      </c>
      <c r="W999" s="87">
        <v>10600</v>
      </c>
      <c r="X999" s="85">
        <v>209.71100000000001</v>
      </c>
      <c r="Y999" s="87">
        <v>10600</v>
      </c>
      <c r="Z999" s="85">
        <v>208.16499999999999</v>
      </c>
      <c r="AA999" s="87">
        <v>10600</v>
      </c>
      <c r="AB999" s="85">
        <v>208.654</v>
      </c>
      <c r="AC999" s="87">
        <v>10590</v>
      </c>
      <c r="AD999" s="85">
        <v>154.50899999999999</v>
      </c>
      <c r="AE999" s="87">
        <v>10600</v>
      </c>
      <c r="AF999" s="85">
        <v>154.71700000000001</v>
      </c>
      <c r="AG999" s="87">
        <v>10580</v>
      </c>
      <c r="AH999" s="85">
        <v>32.49</v>
      </c>
      <c r="AI999" s="87">
        <v>10580</v>
      </c>
      <c r="AJ999" s="85">
        <v>34.933</v>
      </c>
    </row>
    <row r="1000" spans="1:36" ht="14.25" customHeight="1">
      <c r="A1000" s="88">
        <v>10610</v>
      </c>
      <c r="B1000" s="84">
        <v>72.188999999999993</v>
      </c>
      <c r="C1000" s="88">
        <v>10620</v>
      </c>
      <c r="D1000" s="85">
        <v>71.311000000000007</v>
      </c>
      <c r="E1000" s="86">
        <v>10610</v>
      </c>
      <c r="F1000" s="85">
        <v>206.774</v>
      </c>
      <c r="G1000" s="87">
        <v>10610</v>
      </c>
      <c r="H1000" s="85">
        <v>206.834</v>
      </c>
      <c r="I1000" s="87">
        <v>10610</v>
      </c>
      <c r="J1000" s="85">
        <v>208.107</v>
      </c>
      <c r="K1000" s="87">
        <v>10610</v>
      </c>
      <c r="L1000" s="85">
        <v>206.97300000000001</v>
      </c>
      <c r="M1000" s="87">
        <v>10610</v>
      </c>
      <c r="N1000" s="85">
        <v>207.88800000000001</v>
      </c>
      <c r="O1000" s="87">
        <v>10590</v>
      </c>
      <c r="P1000" s="85">
        <v>208.899</v>
      </c>
      <c r="Q1000" s="87">
        <v>10610</v>
      </c>
      <c r="R1000" s="85">
        <v>208.60900000000001</v>
      </c>
      <c r="S1000" s="87">
        <v>10610</v>
      </c>
      <c r="T1000" s="85">
        <v>209.21600000000001</v>
      </c>
      <c r="U1000" s="87">
        <v>10600</v>
      </c>
      <c r="V1000" s="85">
        <v>209.24299999999999</v>
      </c>
      <c r="W1000" s="87">
        <v>10610</v>
      </c>
      <c r="X1000" s="85">
        <v>208.5</v>
      </c>
      <c r="Y1000" s="87">
        <v>10610</v>
      </c>
      <c r="Z1000" s="85">
        <v>206.95500000000001</v>
      </c>
      <c r="AA1000" s="87">
        <v>10610</v>
      </c>
      <c r="AB1000" s="85">
        <v>207.44399999999999</v>
      </c>
      <c r="AC1000" s="87">
        <v>10600</v>
      </c>
      <c r="AD1000" s="85">
        <v>153.45699999999999</v>
      </c>
      <c r="AE1000" s="87">
        <v>10610</v>
      </c>
      <c r="AF1000" s="85">
        <v>153.727</v>
      </c>
      <c r="AG1000" s="87">
        <v>10590</v>
      </c>
      <c r="AH1000" s="85">
        <v>32.262999999999998</v>
      </c>
      <c r="AI1000" s="87">
        <v>10590</v>
      </c>
      <c r="AJ1000" s="85">
        <v>34.692999999999998</v>
      </c>
    </row>
    <row r="1001" spans="1:36" ht="14.25" customHeight="1">
      <c r="A1001" s="88">
        <v>10620</v>
      </c>
      <c r="B1001" s="84">
        <v>71.668000000000006</v>
      </c>
      <c r="C1001" s="88">
        <v>10630</v>
      </c>
      <c r="D1001" s="85">
        <v>70.795000000000002</v>
      </c>
      <c r="E1001" s="86">
        <v>10620</v>
      </c>
      <c r="F1001" s="85">
        <v>205.434</v>
      </c>
      <c r="G1001" s="87">
        <v>10620</v>
      </c>
      <c r="H1001" s="85">
        <v>205.49600000000001</v>
      </c>
      <c r="I1001" s="87">
        <v>10620</v>
      </c>
      <c r="J1001" s="85">
        <v>206.89599999999999</v>
      </c>
      <c r="K1001" s="87">
        <v>10620</v>
      </c>
      <c r="L1001" s="85">
        <v>205.76</v>
      </c>
      <c r="M1001" s="87">
        <v>10620</v>
      </c>
      <c r="N1001" s="85">
        <v>206.67699999999999</v>
      </c>
      <c r="O1001" s="87">
        <v>10600</v>
      </c>
      <c r="P1001" s="85">
        <v>207.68700000000001</v>
      </c>
      <c r="Q1001" s="87">
        <v>10620</v>
      </c>
      <c r="R1001" s="85">
        <v>207.39699999999999</v>
      </c>
      <c r="S1001" s="87">
        <v>10620</v>
      </c>
      <c r="T1001" s="85">
        <v>208.00399999999999</v>
      </c>
      <c r="U1001" s="87">
        <v>10610</v>
      </c>
      <c r="V1001" s="85">
        <v>208.03200000000001</v>
      </c>
      <c r="W1001" s="87">
        <v>10620</v>
      </c>
      <c r="X1001" s="85">
        <v>207.28899999999999</v>
      </c>
      <c r="Y1001" s="87">
        <v>10620</v>
      </c>
      <c r="Z1001" s="85">
        <v>205.744</v>
      </c>
      <c r="AA1001" s="87">
        <v>10620</v>
      </c>
      <c r="AB1001" s="85">
        <v>206.23400000000001</v>
      </c>
      <c r="AC1001" s="87">
        <v>10610</v>
      </c>
      <c r="AD1001" s="85">
        <v>152.404</v>
      </c>
      <c r="AE1001" s="87">
        <v>10620</v>
      </c>
      <c r="AF1001" s="85">
        <v>152.73699999999999</v>
      </c>
      <c r="AG1001" s="87">
        <v>10600</v>
      </c>
      <c r="AH1001" s="85">
        <v>32.037999999999997</v>
      </c>
      <c r="AI1001" s="87">
        <v>10600</v>
      </c>
      <c r="AJ1001" s="85">
        <v>34.453000000000003</v>
      </c>
    </row>
    <row r="1002" spans="1:36" ht="14.25" customHeight="1">
      <c r="A1002" s="88">
        <v>10630</v>
      </c>
      <c r="B1002" s="84">
        <v>71.147999999999996</v>
      </c>
      <c r="C1002" s="88">
        <v>10640</v>
      </c>
      <c r="D1002" s="85">
        <v>70.278999999999996</v>
      </c>
      <c r="E1002" s="86">
        <v>10630</v>
      </c>
      <c r="F1002" s="85">
        <v>204.096</v>
      </c>
      <c r="G1002" s="87">
        <v>10630</v>
      </c>
      <c r="H1002" s="85">
        <v>204.15899999999999</v>
      </c>
      <c r="I1002" s="87">
        <v>10630</v>
      </c>
      <c r="J1002" s="85">
        <v>205.685</v>
      </c>
      <c r="K1002" s="87">
        <v>10630</v>
      </c>
      <c r="L1002" s="85">
        <v>204.54599999999999</v>
      </c>
      <c r="M1002" s="87">
        <v>10630</v>
      </c>
      <c r="N1002" s="85">
        <v>205.46600000000001</v>
      </c>
      <c r="O1002" s="87">
        <v>10610</v>
      </c>
      <c r="P1002" s="85">
        <v>206.47499999999999</v>
      </c>
      <c r="Q1002" s="87">
        <v>10630</v>
      </c>
      <c r="R1002" s="85">
        <v>206.18600000000001</v>
      </c>
      <c r="S1002" s="87">
        <v>10630</v>
      </c>
      <c r="T1002" s="85">
        <v>206.792</v>
      </c>
      <c r="U1002" s="87">
        <v>10620</v>
      </c>
      <c r="V1002" s="85">
        <v>206.822</v>
      </c>
      <c r="W1002" s="87">
        <v>10630</v>
      </c>
      <c r="X1002" s="85">
        <v>206.078</v>
      </c>
      <c r="Y1002" s="87">
        <v>10630</v>
      </c>
      <c r="Z1002" s="85">
        <v>204.53299999999999</v>
      </c>
      <c r="AA1002" s="87">
        <v>10630</v>
      </c>
      <c r="AB1002" s="85">
        <v>205.024</v>
      </c>
      <c r="AC1002" s="87">
        <v>10620</v>
      </c>
      <c r="AD1002" s="85">
        <v>151.351</v>
      </c>
      <c r="AE1002" s="87">
        <v>10630</v>
      </c>
      <c r="AF1002" s="85">
        <v>151.74600000000001</v>
      </c>
      <c r="AG1002" s="87">
        <v>10610</v>
      </c>
      <c r="AH1002" s="85">
        <v>31.812000000000001</v>
      </c>
      <c r="AI1002" s="87">
        <v>10610</v>
      </c>
      <c r="AJ1002" s="85">
        <v>34.213999999999999</v>
      </c>
    </row>
    <row r="1003" spans="1:36" ht="14.25" customHeight="1">
      <c r="A1003" s="88">
        <v>10640</v>
      </c>
      <c r="B1003" s="84">
        <v>70.63</v>
      </c>
      <c r="C1003" s="88">
        <v>10650</v>
      </c>
      <c r="D1003" s="85">
        <v>69.765000000000001</v>
      </c>
      <c r="E1003" s="86">
        <v>10640</v>
      </c>
      <c r="F1003" s="85">
        <v>202.76</v>
      </c>
      <c r="G1003" s="87">
        <v>10640</v>
      </c>
      <c r="H1003" s="85">
        <v>202.82400000000001</v>
      </c>
      <c r="I1003" s="87">
        <v>10640</v>
      </c>
      <c r="J1003" s="85">
        <v>204.47300000000001</v>
      </c>
      <c r="K1003" s="87">
        <v>10640</v>
      </c>
      <c r="L1003" s="85">
        <v>203.333</v>
      </c>
      <c r="M1003" s="87">
        <v>10640</v>
      </c>
      <c r="N1003" s="85">
        <v>204.25399999999999</v>
      </c>
      <c r="O1003" s="87">
        <v>10620</v>
      </c>
      <c r="P1003" s="85">
        <v>205.26400000000001</v>
      </c>
      <c r="Q1003" s="87">
        <v>10640</v>
      </c>
      <c r="R1003" s="85">
        <v>204.97399999999999</v>
      </c>
      <c r="S1003" s="87">
        <v>10640</v>
      </c>
      <c r="T1003" s="85">
        <v>205.58</v>
      </c>
      <c r="U1003" s="87">
        <v>10630</v>
      </c>
      <c r="V1003" s="85">
        <v>205.61099999999999</v>
      </c>
      <c r="W1003" s="87">
        <v>10640</v>
      </c>
      <c r="X1003" s="85">
        <v>204.86699999999999</v>
      </c>
      <c r="Y1003" s="87">
        <v>10640</v>
      </c>
      <c r="Z1003" s="85">
        <v>203.32300000000001</v>
      </c>
      <c r="AA1003" s="87">
        <v>10640</v>
      </c>
      <c r="AB1003" s="85">
        <v>203.81399999999999</v>
      </c>
      <c r="AC1003" s="87">
        <v>10630</v>
      </c>
      <c r="AD1003" s="85">
        <v>150.29900000000001</v>
      </c>
      <c r="AE1003" s="87">
        <v>10640</v>
      </c>
      <c r="AF1003" s="85">
        <v>150.756</v>
      </c>
      <c r="AG1003" s="87">
        <v>10620</v>
      </c>
      <c r="AH1003" s="85">
        <v>31.588000000000001</v>
      </c>
      <c r="AI1003" s="87">
        <v>10620</v>
      </c>
      <c r="AJ1003" s="85">
        <v>33.975000000000001</v>
      </c>
    </row>
    <row r="1004" spans="1:36" ht="14.25" customHeight="1">
      <c r="A1004" s="88">
        <v>10650</v>
      </c>
      <c r="B1004" s="84">
        <v>70.111999999999995</v>
      </c>
      <c r="C1004" s="88">
        <v>10660</v>
      </c>
      <c r="D1004" s="85">
        <v>69.251999999999995</v>
      </c>
      <c r="E1004" s="86">
        <v>10650</v>
      </c>
      <c r="F1004" s="85">
        <v>201.42500000000001</v>
      </c>
      <c r="G1004" s="87">
        <v>10650</v>
      </c>
      <c r="H1004" s="85">
        <v>201.49</v>
      </c>
      <c r="I1004" s="87">
        <v>10650</v>
      </c>
      <c r="J1004" s="85">
        <v>203.262</v>
      </c>
      <c r="K1004" s="87">
        <v>10650</v>
      </c>
      <c r="L1004" s="85">
        <v>202.12</v>
      </c>
      <c r="M1004" s="87">
        <v>10650</v>
      </c>
      <c r="N1004" s="85">
        <v>203.04300000000001</v>
      </c>
      <c r="O1004" s="87">
        <v>10630</v>
      </c>
      <c r="P1004" s="85">
        <v>204.05199999999999</v>
      </c>
      <c r="Q1004" s="87">
        <v>10650</v>
      </c>
      <c r="R1004" s="85">
        <v>203.76300000000001</v>
      </c>
      <c r="S1004" s="87">
        <v>10650</v>
      </c>
      <c r="T1004" s="85">
        <v>204.36799999999999</v>
      </c>
      <c r="U1004" s="87">
        <v>10640</v>
      </c>
      <c r="V1004" s="85">
        <v>204.40100000000001</v>
      </c>
      <c r="W1004" s="87">
        <v>10650</v>
      </c>
      <c r="X1004" s="85">
        <v>203.655</v>
      </c>
      <c r="Y1004" s="87">
        <v>10650</v>
      </c>
      <c r="Z1004" s="85">
        <v>202.11199999999999</v>
      </c>
      <c r="AA1004" s="87">
        <v>10650</v>
      </c>
      <c r="AB1004" s="85">
        <v>202.60400000000001</v>
      </c>
      <c r="AC1004" s="87">
        <v>10640</v>
      </c>
      <c r="AD1004" s="85">
        <v>149.24600000000001</v>
      </c>
      <c r="AE1004" s="87">
        <v>10650</v>
      </c>
      <c r="AF1004" s="85">
        <v>149.76499999999999</v>
      </c>
      <c r="AG1004" s="87">
        <v>10630</v>
      </c>
      <c r="AH1004" s="85">
        <v>31.364000000000001</v>
      </c>
      <c r="AI1004" s="87">
        <v>10630</v>
      </c>
      <c r="AJ1004" s="85">
        <v>33.737000000000002</v>
      </c>
    </row>
    <row r="1005" spans="1:36" ht="14.25" customHeight="1">
      <c r="A1005" s="88">
        <v>10660</v>
      </c>
      <c r="B1005" s="84">
        <v>69.596000000000004</v>
      </c>
      <c r="C1005" s="88">
        <v>10670</v>
      </c>
      <c r="D1005" s="85">
        <v>68.739999999999995</v>
      </c>
      <c r="E1005" s="86">
        <v>10660</v>
      </c>
      <c r="F1005" s="85">
        <v>200.09100000000001</v>
      </c>
      <c r="G1005" s="87">
        <v>10660</v>
      </c>
      <c r="H1005" s="85">
        <v>200.15799999999999</v>
      </c>
      <c r="I1005" s="87">
        <v>10660</v>
      </c>
      <c r="J1005" s="85">
        <v>202.05099999999999</v>
      </c>
      <c r="K1005" s="87">
        <v>10660</v>
      </c>
      <c r="L1005" s="85">
        <v>200.90600000000001</v>
      </c>
      <c r="M1005" s="87">
        <v>10660</v>
      </c>
      <c r="N1005" s="85">
        <v>201.83099999999999</v>
      </c>
      <c r="O1005" s="87">
        <v>10640</v>
      </c>
      <c r="P1005" s="85">
        <v>202.84</v>
      </c>
      <c r="Q1005" s="87">
        <v>10660</v>
      </c>
      <c r="R1005" s="85">
        <v>202.55199999999999</v>
      </c>
      <c r="S1005" s="87">
        <v>10660</v>
      </c>
      <c r="T1005" s="85">
        <v>203.15600000000001</v>
      </c>
      <c r="U1005" s="87">
        <v>10650</v>
      </c>
      <c r="V1005" s="85">
        <v>203.19</v>
      </c>
      <c r="W1005" s="87">
        <v>10660</v>
      </c>
      <c r="X1005" s="85">
        <v>202.44399999999999</v>
      </c>
      <c r="Y1005" s="87">
        <v>10660</v>
      </c>
      <c r="Z1005" s="85">
        <v>200.90199999999999</v>
      </c>
      <c r="AA1005" s="87">
        <v>10660</v>
      </c>
      <c r="AB1005" s="85">
        <v>201.39400000000001</v>
      </c>
      <c r="AC1005" s="87">
        <v>10650</v>
      </c>
      <c r="AD1005" s="85">
        <v>148.19300000000001</v>
      </c>
      <c r="AE1005" s="87">
        <v>10660</v>
      </c>
      <c r="AF1005" s="85">
        <v>148.77500000000001</v>
      </c>
      <c r="AG1005" s="87">
        <v>10640</v>
      </c>
      <c r="AH1005" s="85">
        <v>31.14</v>
      </c>
      <c r="AI1005" s="87">
        <v>10640</v>
      </c>
      <c r="AJ1005" s="85">
        <v>33.499000000000002</v>
      </c>
    </row>
    <row r="1006" spans="1:36" ht="14.25" customHeight="1">
      <c r="A1006" s="88">
        <v>10670</v>
      </c>
      <c r="B1006" s="84">
        <v>69.081000000000003</v>
      </c>
      <c r="C1006" s="88">
        <v>10680</v>
      </c>
      <c r="D1006" s="85">
        <v>68.228999999999999</v>
      </c>
      <c r="E1006" s="86">
        <v>10670</v>
      </c>
      <c r="F1006" s="85">
        <v>198.75899999999999</v>
      </c>
      <c r="G1006" s="87">
        <v>10670</v>
      </c>
      <c r="H1006" s="85">
        <v>198.827</v>
      </c>
      <c r="I1006" s="87">
        <v>10670</v>
      </c>
      <c r="J1006" s="85">
        <v>200.84</v>
      </c>
      <c r="K1006" s="87">
        <v>10670</v>
      </c>
      <c r="L1006" s="85">
        <v>199.69300000000001</v>
      </c>
      <c r="M1006" s="87">
        <v>10670</v>
      </c>
      <c r="N1006" s="85">
        <v>200.62</v>
      </c>
      <c r="O1006" s="87">
        <v>10650</v>
      </c>
      <c r="P1006" s="85">
        <v>201.62899999999999</v>
      </c>
      <c r="Q1006" s="87">
        <v>10670</v>
      </c>
      <c r="R1006" s="85">
        <v>201.34</v>
      </c>
      <c r="S1006" s="87">
        <v>10670</v>
      </c>
      <c r="T1006" s="85">
        <v>201.94399999999999</v>
      </c>
      <c r="U1006" s="87">
        <v>10660</v>
      </c>
      <c r="V1006" s="85">
        <v>201.98</v>
      </c>
      <c r="W1006" s="87">
        <v>10670</v>
      </c>
      <c r="X1006" s="85">
        <v>201.233</v>
      </c>
      <c r="Y1006" s="87">
        <v>10670</v>
      </c>
      <c r="Z1006" s="85">
        <v>199.691</v>
      </c>
      <c r="AA1006" s="87">
        <v>10670</v>
      </c>
      <c r="AB1006" s="85">
        <v>200.184</v>
      </c>
      <c r="AC1006" s="87">
        <v>10660</v>
      </c>
      <c r="AD1006" s="85">
        <v>147.14099999999999</v>
      </c>
      <c r="AE1006" s="87">
        <v>10670</v>
      </c>
      <c r="AF1006" s="85">
        <v>147.785</v>
      </c>
      <c r="AG1006" s="87">
        <v>10650</v>
      </c>
      <c r="AH1006" s="85">
        <v>30.917000000000002</v>
      </c>
      <c r="AI1006" s="87">
        <v>10650</v>
      </c>
      <c r="AJ1006" s="85">
        <v>33.262</v>
      </c>
    </row>
    <row r="1007" spans="1:36" ht="14.25" customHeight="1">
      <c r="A1007" s="88">
        <v>10680</v>
      </c>
      <c r="B1007" s="84">
        <v>68.566999999999993</v>
      </c>
      <c r="C1007" s="88">
        <v>10690</v>
      </c>
      <c r="D1007" s="85">
        <v>67.72</v>
      </c>
      <c r="E1007" s="86">
        <v>10680</v>
      </c>
      <c r="F1007" s="85">
        <v>197.428</v>
      </c>
      <c r="G1007" s="87">
        <v>10680</v>
      </c>
      <c r="H1007" s="85">
        <v>197.49799999999999</v>
      </c>
      <c r="I1007" s="87">
        <v>10680</v>
      </c>
      <c r="J1007" s="85">
        <v>199.62899999999999</v>
      </c>
      <c r="K1007" s="87">
        <v>10680</v>
      </c>
      <c r="L1007" s="85">
        <v>198.48</v>
      </c>
      <c r="M1007" s="87">
        <v>10680</v>
      </c>
      <c r="N1007" s="85">
        <v>199.40899999999999</v>
      </c>
      <c r="O1007" s="87">
        <v>10660</v>
      </c>
      <c r="P1007" s="85">
        <v>200.417</v>
      </c>
      <c r="Q1007" s="87">
        <v>10680</v>
      </c>
      <c r="R1007" s="85">
        <v>200.12899999999999</v>
      </c>
      <c r="S1007" s="87">
        <v>10680</v>
      </c>
      <c r="T1007" s="85">
        <v>200.732</v>
      </c>
      <c r="U1007" s="87">
        <v>10670</v>
      </c>
      <c r="V1007" s="85">
        <v>200.76900000000001</v>
      </c>
      <c r="W1007" s="87">
        <v>10680</v>
      </c>
      <c r="X1007" s="85">
        <v>200.02199999999999</v>
      </c>
      <c r="Y1007" s="87">
        <v>10680</v>
      </c>
      <c r="Z1007" s="85">
        <v>198.48</v>
      </c>
      <c r="AA1007" s="87">
        <v>10680</v>
      </c>
      <c r="AB1007" s="85">
        <v>198.97300000000001</v>
      </c>
      <c r="AC1007" s="87">
        <v>10670</v>
      </c>
      <c r="AD1007" s="85">
        <v>146.08799999999999</v>
      </c>
      <c r="AE1007" s="87">
        <v>10680</v>
      </c>
      <c r="AF1007" s="85">
        <v>146.79400000000001</v>
      </c>
      <c r="AG1007" s="87">
        <v>10660</v>
      </c>
      <c r="AH1007" s="85">
        <v>30.693999999999999</v>
      </c>
      <c r="AI1007" s="87">
        <v>10660</v>
      </c>
      <c r="AJ1007" s="85">
        <v>33.024999999999999</v>
      </c>
    </row>
    <row r="1008" spans="1:36" ht="14.25" customHeight="1">
      <c r="A1008" s="88">
        <v>10690</v>
      </c>
      <c r="B1008" s="84">
        <v>68.054000000000002</v>
      </c>
      <c r="C1008" s="88">
        <v>10700</v>
      </c>
      <c r="D1008" s="85">
        <v>67.210999999999999</v>
      </c>
      <c r="E1008" s="86">
        <v>10690</v>
      </c>
      <c r="F1008" s="85">
        <v>196.09800000000001</v>
      </c>
      <c r="G1008" s="87">
        <v>10690</v>
      </c>
      <c r="H1008" s="85">
        <v>196.17</v>
      </c>
      <c r="I1008" s="87">
        <v>10690</v>
      </c>
      <c r="J1008" s="85">
        <v>198.41800000000001</v>
      </c>
      <c r="K1008" s="87">
        <v>10690</v>
      </c>
      <c r="L1008" s="85">
        <v>197.267</v>
      </c>
      <c r="M1008" s="87">
        <v>10690</v>
      </c>
      <c r="N1008" s="85">
        <v>198.197</v>
      </c>
      <c r="O1008" s="87">
        <v>10670</v>
      </c>
      <c r="P1008" s="85">
        <v>199.20500000000001</v>
      </c>
      <c r="Q1008" s="87">
        <v>10690</v>
      </c>
      <c r="R1008" s="85">
        <v>198.917</v>
      </c>
      <c r="S1008" s="87">
        <v>10690</v>
      </c>
      <c r="T1008" s="85">
        <v>199.52</v>
      </c>
      <c r="U1008" s="87">
        <v>10680</v>
      </c>
      <c r="V1008" s="85">
        <v>199.55799999999999</v>
      </c>
      <c r="W1008" s="87">
        <v>10690</v>
      </c>
      <c r="X1008" s="85">
        <v>198.81100000000001</v>
      </c>
      <c r="Y1008" s="87">
        <v>10690</v>
      </c>
      <c r="Z1008" s="85">
        <v>197.27</v>
      </c>
      <c r="AA1008" s="87">
        <v>10690</v>
      </c>
      <c r="AB1008" s="85">
        <v>197.76300000000001</v>
      </c>
      <c r="AC1008" s="87">
        <v>10680</v>
      </c>
      <c r="AD1008" s="85">
        <v>145.035</v>
      </c>
      <c r="AE1008" s="87">
        <v>10690</v>
      </c>
      <c r="AF1008" s="85">
        <v>145.804</v>
      </c>
      <c r="AG1008" s="87">
        <v>10670</v>
      </c>
      <c r="AH1008" s="85">
        <v>30.472000000000001</v>
      </c>
      <c r="AI1008" s="87">
        <v>10670</v>
      </c>
      <c r="AJ1008" s="85">
        <v>32.789000000000001</v>
      </c>
    </row>
    <row r="1009" spans="1:36" ht="14.25" customHeight="1">
      <c r="A1009" s="88">
        <v>10700</v>
      </c>
      <c r="B1009" s="84">
        <v>67.542000000000002</v>
      </c>
      <c r="C1009" s="88">
        <v>10710</v>
      </c>
      <c r="D1009" s="85">
        <v>66.703999999999994</v>
      </c>
      <c r="E1009" s="86">
        <v>10700</v>
      </c>
      <c r="F1009" s="85">
        <v>194.77099999999999</v>
      </c>
      <c r="G1009" s="87">
        <v>10700</v>
      </c>
      <c r="H1009" s="85">
        <v>194.84299999999999</v>
      </c>
      <c r="I1009" s="87">
        <v>10700</v>
      </c>
      <c r="J1009" s="85">
        <v>197.20699999999999</v>
      </c>
      <c r="K1009" s="87">
        <v>10700</v>
      </c>
      <c r="L1009" s="85">
        <v>196.053</v>
      </c>
      <c r="M1009" s="87">
        <v>10700</v>
      </c>
      <c r="N1009" s="85">
        <v>196.98599999999999</v>
      </c>
      <c r="O1009" s="87">
        <v>10680</v>
      </c>
      <c r="P1009" s="85">
        <v>197.994</v>
      </c>
      <c r="Q1009" s="87">
        <v>10700</v>
      </c>
      <c r="R1009" s="85">
        <v>197.70599999999999</v>
      </c>
      <c r="S1009" s="87">
        <v>10700</v>
      </c>
      <c r="T1009" s="85">
        <v>198.30799999999999</v>
      </c>
      <c r="U1009" s="87">
        <v>10690</v>
      </c>
      <c r="V1009" s="85">
        <v>198.34800000000001</v>
      </c>
      <c r="W1009" s="87">
        <v>10700</v>
      </c>
      <c r="X1009" s="85">
        <v>197.6</v>
      </c>
      <c r="Y1009" s="87">
        <v>10700</v>
      </c>
      <c r="Z1009" s="85">
        <v>196.059</v>
      </c>
      <c r="AA1009" s="87">
        <v>10700</v>
      </c>
      <c r="AB1009" s="85">
        <v>196.553</v>
      </c>
      <c r="AC1009" s="87">
        <v>10690</v>
      </c>
      <c r="AD1009" s="85">
        <v>143.983</v>
      </c>
      <c r="AE1009" s="87">
        <v>10700</v>
      </c>
      <c r="AF1009" s="85">
        <v>144.81399999999999</v>
      </c>
      <c r="AG1009" s="87">
        <v>10680</v>
      </c>
      <c r="AH1009" s="85">
        <v>30.251000000000001</v>
      </c>
      <c r="AI1009" s="87">
        <v>10680</v>
      </c>
      <c r="AJ1009" s="85">
        <v>32.554000000000002</v>
      </c>
    </row>
    <row r="1010" spans="1:36" ht="14.25" customHeight="1">
      <c r="A1010" s="88">
        <v>10710</v>
      </c>
      <c r="B1010" s="84">
        <v>67.031000000000006</v>
      </c>
      <c r="C1010" s="88">
        <v>10720</v>
      </c>
      <c r="D1010" s="85">
        <v>66.197000000000003</v>
      </c>
      <c r="E1010" s="86">
        <v>10710</v>
      </c>
      <c r="F1010" s="85">
        <v>193.44399999999999</v>
      </c>
      <c r="G1010" s="87">
        <v>10710</v>
      </c>
      <c r="H1010" s="85">
        <v>193.518</v>
      </c>
      <c r="I1010" s="87">
        <v>10710</v>
      </c>
      <c r="J1010" s="85">
        <v>195.99600000000001</v>
      </c>
      <c r="K1010" s="87">
        <v>10710</v>
      </c>
      <c r="L1010" s="85">
        <v>194.84</v>
      </c>
      <c r="M1010" s="87">
        <v>10710</v>
      </c>
      <c r="N1010" s="85">
        <v>195.774</v>
      </c>
      <c r="O1010" s="87">
        <v>10690</v>
      </c>
      <c r="P1010" s="85">
        <v>196.78200000000001</v>
      </c>
      <c r="Q1010" s="87">
        <v>10710</v>
      </c>
      <c r="R1010" s="85">
        <v>196.495</v>
      </c>
      <c r="S1010" s="87">
        <v>10710</v>
      </c>
      <c r="T1010" s="85">
        <v>197.096</v>
      </c>
      <c r="U1010" s="87">
        <v>10700</v>
      </c>
      <c r="V1010" s="85">
        <v>197.137</v>
      </c>
      <c r="W1010" s="87">
        <v>10710</v>
      </c>
      <c r="X1010" s="85">
        <v>196.38800000000001</v>
      </c>
      <c r="Y1010" s="87">
        <v>10710</v>
      </c>
      <c r="Z1010" s="85">
        <v>194.84899999999999</v>
      </c>
      <c r="AA1010" s="87">
        <v>10710</v>
      </c>
      <c r="AB1010" s="85">
        <v>195.34299999999999</v>
      </c>
      <c r="AC1010" s="87">
        <v>10700</v>
      </c>
      <c r="AD1010" s="85">
        <v>142.93</v>
      </c>
      <c r="AE1010" s="87">
        <v>10710</v>
      </c>
      <c r="AF1010" s="85">
        <v>143.82300000000001</v>
      </c>
      <c r="AG1010" s="87">
        <v>10690</v>
      </c>
      <c r="AH1010" s="85">
        <v>30.03</v>
      </c>
      <c r="AI1010" s="87">
        <v>10690</v>
      </c>
      <c r="AJ1010" s="85">
        <v>32.319000000000003</v>
      </c>
    </row>
    <row r="1011" spans="1:36" ht="14.25" customHeight="1">
      <c r="A1011" s="88">
        <v>10720</v>
      </c>
      <c r="B1011" s="84">
        <v>66.522000000000006</v>
      </c>
      <c r="C1011" s="88">
        <v>10730</v>
      </c>
      <c r="D1011" s="85">
        <v>65.691999999999993</v>
      </c>
      <c r="E1011" s="86">
        <v>10720</v>
      </c>
      <c r="F1011" s="85">
        <v>192.119</v>
      </c>
      <c r="G1011" s="87">
        <v>10720</v>
      </c>
      <c r="H1011" s="85">
        <v>192.19499999999999</v>
      </c>
      <c r="I1011" s="87">
        <v>10720</v>
      </c>
      <c r="J1011" s="85">
        <v>194.785</v>
      </c>
      <c r="K1011" s="87">
        <v>10720</v>
      </c>
      <c r="L1011" s="85">
        <v>193.62700000000001</v>
      </c>
      <c r="M1011" s="87">
        <v>10720</v>
      </c>
      <c r="N1011" s="85">
        <v>194.56299999999999</v>
      </c>
      <c r="O1011" s="87">
        <v>10700</v>
      </c>
      <c r="P1011" s="85">
        <v>195.57</v>
      </c>
      <c r="Q1011" s="87">
        <v>10720</v>
      </c>
      <c r="R1011" s="85">
        <v>195.28299999999999</v>
      </c>
      <c r="S1011" s="87">
        <v>10720</v>
      </c>
      <c r="T1011" s="85">
        <v>195.88399999999999</v>
      </c>
      <c r="U1011" s="87">
        <v>10710</v>
      </c>
      <c r="V1011" s="85">
        <v>195.92699999999999</v>
      </c>
      <c r="W1011" s="87">
        <v>10720</v>
      </c>
      <c r="X1011" s="85">
        <v>195.17699999999999</v>
      </c>
      <c r="Y1011" s="87">
        <v>10720</v>
      </c>
      <c r="Z1011" s="85">
        <v>193.63800000000001</v>
      </c>
      <c r="AA1011" s="87">
        <v>10720</v>
      </c>
      <c r="AB1011" s="85">
        <v>194.13300000000001</v>
      </c>
      <c r="AC1011" s="87">
        <v>10710</v>
      </c>
      <c r="AD1011" s="85">
        <v>141.87700000000001</v>
      </c>
      <c r="AE1011" s="87">
        <v>10720</v>
      </c>
      <c r="AF1011" s="85">
        <v>142.833</v>
      </c>
      <c r="AG1011" s="87">
        <v>10700</v>
      </c>
      <c r="AH1011" s="85">
        <v>29.809000000000001</v>
      </c>
      <c r="AI1011" s="87">
        <v>10700</v>
      </c>
      <c r="AJ1011" s="85">
        <v>32.084000000000003</v>
      </c>
    </row>
    <row r="1012" spans="1:36" ht="14.25" customHeight="1">
      <c r="A1012" s="88">
        <v>10730</v>
      </c>
      <c r="B1012" s="84">
        <v>66.013999999999996</v>
      </c>
      <c r="C1012" s="88">
        <v>10740</v>
      </c>
      <c r="D1012" s="85">
        <v>65.188000000000002</v>
      </c>
      <c r="E1012" s="86">
        <v>10730</v>
      </c>
      <c r="F1012" s="85">
        <v>190.79599999999999</v>
      </c>
      <c r="G1012" s="87">
        <v>10730</v>
      </c>
      <c r="H1012" s="85">
        <v>190.87299999999999</v>
      </c>
      <c r="I1012" s="87">
        <v>10730</v>
      </c>
      <c r="J1012" s="85">
        <v>193.57400000000001</v>
      </c>
      <c r="K1012" s="87">
        <v>10730</v>
      </c>
      <c r="L1012" s="85">
        <v>192.41300000000001</v>
      </c>
      <c r="M1012" s="87">
        <v>10730</v>
      </c>
      <c r="N1012" s="85">
        <v>193.352</v>
      </c>
      <c r="O1012" s="87">
        <v>10710</v>
      </c>
      <c r="P1012" s="85">
        <v>194.35900000000001</v>
      </c>
      <c r="Q1012" s="87">
        <v>10730</v>
      </c>
      <c r="R1012" s="85">
        <v>194.072</v>
      </c>
      <c r="S1012" s="87">
        <v>10730</v>
      </c>
      <c r="T1012" s="85">
        <v>194.672</v>
      </c>
      <c r="U1012" s="87">
        <v>10720</v>
      </c>
      <c r="V1012" s="85">
        <v>194.71600000000001</v>
      </c>
      <c r="W1012" s="87">
        <v>10730</v>
      </c>
      <c r="X1012" s="85">
        <v>193.96600000000001</v>
      </c>
      <c r="Y1012" s="87">
        <v>10730</v>
      </c>
      <c r="Z1012" s="85">
        <v>192.42699999999999</v>
      </c>
      <c r="AA1012" s="87">
        <v>10730</v>
      </c>
      <c r="AB1012" s="85">
        <v>192.923</v>
      </c>
      <c r="AC1012" s="87">
        <v>10720</v>
      </c>
      <c r="AD1012" s="85">
        <v>140.82499999999999</v>
      </c>
      <c r="AE1012" s="87">
        <v>10730</v>
      </c>
      <c r="AF1012" s="85">
        <v>141.84299999999999</v>
      </c>
      <c r="AG1012" s="87">
        <v>10710</v>
      </c>
      <c r="AH1012" s="85">
        <v>29.59</v>
      </c>
      <c r="AI1012" s="87">
        <v>10710</v>
      </c>
      <c r="AJ1012" s="85">
        <v>31.85</v>
      </c>
    </row>
    <row r="1013" spans="1:36" ht="14.25" customHeight="1">
      <c r="A1013" s="88">
        <v>10740</v>
      </c>
      <c r="B1013" s="84">
        <v>65.506</v>
      </c>
      <c r="C1013" s="88">
        <v>10750</v>
      </c>
      <c r="D1013" s="85">
        <v>64.686000000000007</v>
      </c>
      <c r="E1013" s="86">
        <v>10740</v>
      </c>
      <c r="F1013" s="85">
        <v>189.47399999999999</v>
      </c>
      <c r="G1013" s="87">
        <v>10740</v>
      </c>
      <c r="H1013" s="85">
        <v>189.55199999999999</v>
      </c>
      <c r="I1013" s="87">
        <v>10740</v>
      </c>
      <c r="J1013" s="85">
        <v>192.363</v>
      </c>
      <c r="K1013" s="87">
        <v>10740</v>
      </c>
      <c r="L1013" s="85">
        <v>191.2</v>
      </c>
      <c r="M1013" s="87">
        <v>10740</v>
      </c>
      <c r="N1013" s="85">
        <v>192.14</v>
      </c>
      <c r="O1013" s="87">
        <v>10720</v>
      </c>
      <c r="P1013" s="85">
        <v>193.14699999999999</v>
      </c>
      <c r="Q1013" s="87">
        <v>10740</v>
      </c>
      <c r="R1013" s="85">
        <v>192.86</v>
      </c>
      <c r="S1013" s="87">
        <v>10740</v>
      </c>
      <c r="T1013" s="85">
        <v>193.46</v>
      </c>
      <c r="U1013" s="87">
        <v>10730</v>
      </c>
      <c r="V1013" s="85">
        <v>193.506</v>
      </c>
      <c r="W1013" s="87">
        <v>10740</v>
      </c>
      <c r="X1013" s="85">
        <v>192.755</v>
      </c>
      <c r="Y1013" s="87">
        <v>10740</v>
      </c>
      <c r="Z1013" s="85">
        <v>191.21700000000001</v>
      </c>
      <c r="AA1013" s="87">
        <v>10740</v>
      </c>
      <c r="AB1013" s="85">
        <v>191.71299999999999</v>
      </c>
      <c r="AC1013" s="87">
        <v>10730</v>
      </c>
      <c r="AD1013" s="85">
        <v>139.77199999999999</v>
      </c>
      <c r="AE1013" s="87">
        <v>10740</v>
      </c>
      <c r="AF1013" s="85">
        <v>140.852</v>
      </c>
      <c r="AG1013" s="87">
        <v>10720</v>
      </c>
      <c r="AH1013" s="85">
        <v>29.37</v>
      </c>
      <c r="AI1013" s="87">
        <v>10720</v>
      </c>
      <c r="AJ1013" s="85">
        <v>31.617000000000001</v>
      </c>
    </row>
    <row r="1014" spans="1:36" ht="14.25" customHeight="1">
      <c r="A1014" s="88">
        <v>10750</v>
      </c>
      <c r="B1014" s="84">
        <v>65.001000000000005</v>
      </c>
      <c r="C1014" s="88">
        <v>10760</v>
      </c>
      <c r="D1014" s="85">
        <v>64.183999999999997</v>
      </c>
      <c r="E1014" s="86">
        <v>10750</v>
      </c>
      <c r="F1014" s="85">
        <v>188.154</v>
      </c>
      <c r="G1014" s="87">
        <v>10750</v>
      </c>
      <c r="H1014" s="85">
        <v>188.233</v>
      </c>
      <c r="I1014" s="87">
        <v>10750</v>
      </c>
      <c r="J1014" s="85">
        <v>191.15199999999999</v>
      </c>
      <c r="K1014" s="87">
        <v>10750</v>
      </c>
      <c r="L1014" s="85">
        <v>189.98699999999999</v>
      </c>
      <c r="M1014" s="87">
        <v>10750</v>
      </c>
      <c r="N1014" s="85">
        <v>190.929</v>
      </c>
      <c r="O1014" s="87">
        <v>10730</v>
      </c>
      <c r="P1014" s="85">
        <v>191.935</v>
      </c>
      <c r="Q1014" s="87">
        <v>10750</v>
      </c>
      <c r="R1014" s="85">
        <v>191.649</v>
      </c>
      <c r="S1014" s="87">
        <v>10750</v>
      </c>
      <c r="T1014" s="85">
        <v>192.24799999999999</v>
      </c>
      <c r="U1014" s="87">
        <v>10740</v>
      </c>
      <c r="V1014" s="85">
        <v>192.29499999999999</v>
      </c>
      <c r="W1014" s="87">
        <v>10750</v>
      </c>
      <c r="X1014" s="85">
        <v>191.54400000000001</v>
      </c>
      <c r="Y1014" s="87">
        <v>10750</v>
      </c>
      <c r="Z1014" s="85">
        <v>190.006</v>
      </c>
      <c r="AA1014" s="87">
        <v>10750</v>
      </c>
      <c r="AB1014" s="85">
        <v>190.50299999999999</v>
      </c>
      <c r="AC1014" s="87">
        <v>10740</v>
      </c>
      <c r="AD1014" s="85">
        <v>138.71899999999999</v>
      </c>
      <c r="AE1014" s="87">
        <v>10750</v>
      </c>
      <c r="AF1014" s="85">
        <v>139.86199999999999</v>
      </c>
      <c r="AG1014" s="87">
        <v>10730</v>
      </c>
      <c r="AH1014" s="85">
        <v>29.151</v>
      </c>
      <c r="AI1014" s="87">
        <v>10730</v>
      </c>
      <c r="AJ1014" s="85">
        <v>31.384</v>
      </c>
    </row>
    <row r="1015" spans="1:36" ht="14.25" customHeight="1">
      <c r="A1015" s="88">
        <v>10760</v>
      </c>
      <c r="B1015" s="84">
        <v>64.495999999999995</v>
      </c>
      <c r="C1015" s="88">
        <v>10770</v>
      </c>
      <c r="D1015" s="85">
        <v>63.683999999999997</v>
      </c>
      <c r="E1015" s="86">
        <v>10760</v>
      </c>
      <c r="F1015" s="85">
        <v>186.83500000000001</v>
      </c>
      <c r="G1015" s="87">
        <v>10760</v>
      </c>
      <c r="H1015" s="85">
        <v>186.916</v>
      </c>
      <c r="I1015" s="87">
        <v>10760</v>
      </c>
      <c r="J1015" s="85">
        <v>189.941</v>
      </c>
      <c r="K1015" s="87">
        <v>10760</v>
      </c>
      <c r="L1015" s="85">
        <v>188.773</v>
      </c>
      <c r="M1015" s="87">
        <v>10760</v>
      </c>
      <c r="N1015" s="85">
        <v>189.71700000000001</v>
      </c>
      <c r="O1015" s="87">
        <v>10740</v>
      </c>
      <c r="P1015" s="85">
        <v>190.72399999999999</v>
      </c>
      <c r="Q1015" s="87">
        <v>10760</v>
      </c>
      <c r="R1015" s="85">
        <v>190.43799999999999</v>
      </c>
      <c r="S1015" s="87">
        <v>10760</v>
      </c>
      <c r="T1015" s="85">
        <v>191.03700000000001</v>
      </c>
      <c r="U1015" s="87">
        <v>10750</v>
      </c>
      <c r="V1015" s="85">
        <v>191.08500000000001</v>
      </c>
      <c r="W1015" s="87">
        <v>10760</v>
      </c>
      <c r="X1015" s="85">
        <v>190.33199999999999</v>
      </c>
      <c r="Y1015" s="87">
        <v>10760</v>
      </c>
      <c r="Z1015" s="85">
        <v>188.79599999999999</v>
      </c>
      <c r="AA1015" s="87">
        <v>10760</v>
      </c>
      <c r="AB1015" s="85">
        <v>189.29300000000001</v>
      </c>
      <c r="AC1015" s="87">
        <v>10750</v>
      </c>
      <c r="AD1015" s="85">
        <v>137.667</v>
      </c>
      <c r="AE1015" s="87">
        <v>10760</v>
      </c>
      <c r="AF1015" s="85">
        <v>138.87100000000001</v>
      </c>
      <c r="AG1015" s="87">
        <v>10740</v>
      </c>
      <c r="AH1015" s="85">
        <v>28.933</v>
      </c>
      <c r="AI1015" s="87">
        <v>10740</v>
      </c>
      <c r="AJ1015" s="85">
        <v>31.151</v>
      </c>
    </row>
    <row r="1016" spans="1:36" ht="14.25" customHeight="1">
      <c r="A1016" s="88">
        <v>10770</v>
      </c>
      <c r="B1016" s="84">
        <v>63.991999999999997</v>
      </c>
      <c r="C1016" s="88">
        <v>10780</v>
      </c>
      <c r="D1016" s="85">
        <v>63.183999999999997</v>
      </c>
      <c r="E1016" s="86">
        <v>10770</v>
      </c>
      <c r="F1016" s="85">
        <v>185.518</v>
      </c>
      <c r="G1016" s="87">
        <v>10770</v>
      </c>
      <c r="H1016" s="85">
        <v>185.6</v>
      </c>
      <c r="I1016" s="87">
        <v>10770</v>
      </c>
      <c r="J1016" s="85">
        <v>188.73</v>
      </c>
      <c r="K1016" s="87">
        <v>10770</v>
      </c>
      <c r="L1016" s="85">
        <v>187.56</v>
      </c>
      <c r="M1016" s="87">
        <v>10770</v>
      </c>
      <c r="N1016" s="85">
        <v>188.506</v>
      </c>
      <c r="O1016" s="87">
        <v>10750</v>
      </c>
      <c r="P1016" s="85">
        <v>189.512</v>
      </c>
      <c r="Q1016" s="87">
        <v>10770</v>
      </c>
      <c r="R1016" s="85">
        <v>189.226</v>
      </c>
      <c r="S1016" s="87">
        <v>10770</v>
      </c>
      <c r="T1016" s="85">
        <v>189.82499999999999</v>
      </c>
      <c r="U1016" s="87">
        <v>10760</v>
      </c>
      <c r="V1016" s="85">
        <v>189.874</v>
      </c>
      <c r="W1016" s="87">
        <v>10770</v>
      </c>
      <c r="X1016" s="85">
        <v>189.12100000000001</v>
      </c>
      <c r="Y1016" s="87">
        <v>10770</v>
      </c>
      <c r="Z1016" s="85">
        <v>187.58500000000001</v>
      </c>
      <c r="AA1016" s="87">
        <v>10770</v>
      </c>
      <c r="AB1016" s="85">
        <v>188.083</v>
      </c>
      <c r="AC1016" s="87">
        <v>10760</v>
      </c>
      <c r="AD1016" s="85">
        <v>136.614</v>
      </c>
      <c r="AE1016" s="87">
        <v>10770</v>
      </c>
      <c r="AF1016" s="85">
        <v>137.881</v>
      </c>
      <c r="AG1016" s="87">
        <v>10750</v>
      </c>
      <c r="AH1016" s="85">
        <v>28.715</v>
      </c>
      <c r="AI1016" s="87">
        <v>10750</v>
      </c>
      <c r="AJ1016" s="85">
        <v>30.919</v>
      </c>
    </row>
    <row r="1017" spans="1:36" ht="14.25" customHeight="1">
      <c r="A1017" s="88">
        <v>10780</v>
      </c>
      <c r="B1017" s="84">
        <v>63.49</v>
      </c>
      <c r="C1017" s="88">
        <v>10790</v>
      </c>
      <c r="D1017" s="85">
        <v>62.686</v>
      </c>
      <c r="E1017" s="86">
        <v>10780</v>
      </c>
      <c r="F1017" s="85">
        <v>184.202</v>
      </c>
      <c r="G1017" s="87">
        <v>10780</v>
      </c>
      <c r="H1017" s="85">
        <v>184.285</v>
      </c>
      <c r="I1017" s="87">
        <v>10780</v>
      </c>
      <c r="J1017" s="85">
        <v>187.51900000000001</v>
      </c>
      <c r="K1017" s="87">
        <v>10780</v>
      </c>
      <c r="L1017" s="85">
        <v>186.34700000000001</v>
      </c>
      <c r="M1017" s="87">
        <v>10780</v>
      </c>
      <c r="N1017" s="85">
        <v>187.29499999999999</v>
      </c>
      <c r="O1017" s="87">
        <v>10760</v>
      </c>
      <c r="P1017" s="85">
        <v>188.30099999999999</v>
      </c>
      <c r="Q1017" s="87">
        <v>10780</v>
      </c>
      <c r="R1017" s="85">
        <v>188.01499999999999</v>
      </c>
      <c r="S1017" s="87">
        <v>10780</v>
      </c>
      <c r="T1017" s="85">
        <v>188.613</v>
      </c>
      <c r="U1017" s="87">
        <v>10770</v>
      </c>
      <c r="V1017" s="85">
        <v>188.66300000000001</v>
      </c>
      <c r="W1017" s="87">
        <v>10780</v>
      </c>
      <c r="X1017" s="85">
        <v>187.91</v>
      </c>
      <c r="Y1017" s="87">
        <v>10780</v>
      </c>
      <c r="Z1017" s="85">
        <v>186.374</v>
      </c>
      <c r="AA1017" s="87">
        <v>10780</v>
      </c>
      <c r="AB1017" s="85">
        <v>186.87299999999999</v>
      </c>
      <c r="AC1017" s="87">
        <v>10770</v>
      </c>
      <c r="AD1017" s="85">
        <v>135.56100000000001</v>
      </c>
      <c r="AE1017" s="87">
        <v>10780</v>
      </c>
      <c r="AF1017" s="85">
        <v>136.89099999999999</v>
      </c>
      <c r="AG1017" s="87">
        <v>10760</v>
      </c>
      <c r="AH1017" s="85">
        <v>28.498000000000001</v>
      </c>
      <c r="AI1017" s="87">
        <v>10760</v>
      </c>
      <c r="AJ1017" s="85">
        <v>30.687999999999999</v>
      </c>
    </row>
    <row r="1018" spans="1:36" ht="14.25" customHeight="1">
      <c r="A1018" s="88">
        <v>10790</v>
      </c>
      <c r="B1018" s="84">
        <v>62.988</v>
      </c>
      <c r="C1018" s="88">
        <v>10800</v>
      </c>
      <c r="D1018" s="85">
        <v>62.189</v>
      </c>
      <c r="E1018" s="86">
        <v>10790</v>
      </c>
      <c r="F1018" s="85">
        <v>182.88800000000001</v>
      </c>
      <c r="G1018" s="87">
        <v>10790</v>
      </c>
      <c r="H1018" s="85">
        <v>182.97300000000001</v>
      </c>
      <c r="I1018" s="87">
        <v>10790</v>
      </c>
      <c r="J1018" s="85">
        <v>186.30799999999999</v>
      </c>
      <c r="K1018" s="87">
        <v>10790</v>
      </c>
      <c r="L1018" s="85">
        <v>185.13399999999999</v>
      </c>
      <c r="M1018" s="87">
        <v>10790</v>
      </c>
      <c r="N1018" s="85">
        <v>186.083</v>
      </c>
      <c r="O1018" s="87">
        <v>10770</v>
      </c>
      <c r="P1018" s="85">
        <v>187.089</v>
      </c>
      <c r="Q1018" s="87">
        <v>10790</v>
      </c>
      <c r="R1018" s="85">
        <v>186.804</v>
      </c>
      <c r="S1018" s="87">
        <v>10790</v>
      </c>
      <c r="T1018" s="85">
        <v>187.40100000000001</v>
      </c>
      <c r="U1018" s="87">
        <v>10780</v>
      </c>
      <c r="V1018" s="85">
        <v>187.453</v>
      </c>
      <c r="W1018" s="87">
        <v>10790</v>
      </c>
      <c r="X1018" s="85">
        <v>186.69900000000001</v>
      </c>
      <c r="Y1018" s="87">
        <v>10790</v>
      </c>
      <c r="Z1018" s="85">
        <v>185.16399999999999</v>
      </c>
      <c r="AA1018" s="87">
        <v>10790</v>
      </c>
      <c r="AB1018" s="85">
        <v>185.66300000000001</v>
      </c>
      <c r="AC1018" s="87">
        <v>10780</v>
      </c>
      <c r="AD1018" s="85">
        <v>134.50899999999999</v>
      </c>
      <c r="AE1018" s="87">
        <v>10790</v>
      </c>
      <c r="AF1018" s="85">
        <v>135.9</v>
      </c>
      <c r="AG1018" s="87">
        <v>10770</v>
      </c>
      <c r="AH1018" s="85">
        <v>28.280999999999999</v>
      </c>
      <c r="AI1018" s="87">
        <v>10770</v>
      </c>
      <c r="AJ1018" s="85">
        <v>30.457000000000001</v>
      </c>
    </row>
    <row r="1019" spans="1:36" ht="14.25" customHeight="1">
      <c r="A1019" s="88">
        <v>10800</v>
      </c>
      <c r="B1019" s="84">
        <v>62.488</v>
      </c>
      <c r="C1019" s="88">
        <v>10810</v>
      </c>
      <c r="D1019" s="85">
        <v>61.692999999999998</v>
      </c>
      <c r="E1019" s="86">
        <v>10800</v>
      </c>
      <c r="F1019" s="85">
        <v>181.57499999999999</v>
      </c>
      <c r="G1019" s="87">
        <v>10800</v>
      </c>
      <c r="H1019" s="85">
        <v>181.661</v>
      </c>
      <c r="I1019" s="87">
        <v>10800</v>
      </c>
      <c r="J1019" s="85">
        <v>185.09700000000001</v>
      </c>
      <c r="K1019" s="87">
        <v>10800</v>
      </c>
      <c r="L1019" s="85">
        <v>183.92</v>
      </c>
      <c r="M1019" s="87">
        <v>10800</v>
      </c>
      <c r="N1019" s="85">
        <v>184.87200000000001</v>
      </c>
      <c r="O1019" s="87">
        <v>10780</v>
      </c>
      <c r="P1019" s="85">
        <v>185.87700000000001</v>
      </c>
      <c r="Q1019" s="87">
        <v>10800</v>
      </c>
      <c r="R1019" s="85">
        <v>185.59200000000001</v>
      </c>
      <c r="S1019" s="87">
        <v>10800</v>
      </c>
      <c r="T1019" s="85">
        <v>186.18899999999999</v>
      </c>
      <c r="U1019" s="87">
        <v>10790</v>
      </c>
      <c r="V1019" s="85">
        <v>186.24199999999999</v>
      </c>
      <c r="W1019" s="87">
        <v>10800</v>
      </c>
      <c r="X1019" s="85">
        <v>185.488</v>
      </c>
      <c r="Y1019" s="87">
        <v>10800</v>
      </c>
      <c r="Z1019" s="85">
        <v>183.953</v>
      </c>
      <c r="AA1019" s="87">
        <v>10800</v>
      </c>
      <c r="AB1019" s="85">
        <v>184.453</v>
      </c>
      <c r="AC1019" s="87">
        <v>10790</v>
      </c>
      <c r="AD1019" s="85">
        <v>133.45599999999999</v>
      </c>
      <c r="AE1019" s="87">
        <v>10800</v>
      </c>
      <c r="AF1019" s="85">
        <v>134.91</v>
      </c>
      <c r="AG1019" s="87">
        <v>10780</v>
      </c>
      <c r="AH1019" s="85">
        <v>28.065000000000001</v>
      </c>
      <c r="AI1019" s="87">
        <v>10780</v>
      </c>
      <c r="AJ1019" s="85">
        <v>30.227</v>
      </c>
    </row>
    <row r="1020" spans="1:36" ht="14.25" customHeight="1">
      <c r="A1020" s="88">
        <v>10810</v>
      </c>
      <c r="B1020" s="84">
        <v>61.988999999999997</v>
      </c>
      <c r="C1020" s="88">
        <v>10820</v>
      </c>
      <c r="D1020" s="85">
        <v>61.198</v>
      </c>
      <c r="E1020" s="86">
        <v>10810</v>
      </c>
      <c r="F1020" s="85">
        <v>180.26400000000001</v>
      </c>
      <c r="G1020" s="87">
        <v>10810</v>
      </c>
      <c r="H1020" s="85">
        <v>180.351</v>
      </c>
      <c r="I1020" s="87">
        <v>10810</v>
      </c>
      <c r="J1020" s="85">
        <v>183.886</v>
      </c>
      <c r="K1020" s="87">
        <v>10810</v>
      </c>
      <c r="L1020" s="85">
        <v>182.70699999999999</v>
      </c>
      <c r="M1020" s="87">
        <v>10810</v>
      </c>
      <c r="N1020" s="85">
        <v>183.66</v>
      </c>
      <c r="O1020" s="87">
        <v>10790</v>
      </c>
      <c r="P1020" s="85">
        <v>184.666</v>
      </c>
      <c r="Q1020" s="87">
        <v>10810</v>
      </c>
      <c r="R1020" s="85">
        <v>184.381</v>
      </c>
      <c r="S1020" s="87">
        <v>10810</v>
      </c>
      <c r="T1020" s="85">
        <v>184.977</v>
      </c>
      <c r="U1020" s="87">
        <v>10800</v>
      </c>
      <c r="V1020" s="85">
        <v>185.03200000000001</v>
      </c>
      <c r="W1020" s="87">
        <v>10810</v>
      </c>
      <c r="X1020" s="85">
        <v>184.27600000000001</v>
      </c>
      <c r="Y1020" s="87">
        <v>10810</v>
      </c>
      <c r="Z1020" s="85">
        <v>182.74299999999999</v>
      </c>
      <c r="AA1020" s="87">
        <v>10810</v>
      </c>
      <c r="AB1020" s="85">
        <v>183.24299999999999</v>
      </c>
      <c r="AC1020" s="87">
        <v>10800</v>
      </c>
      <c r="AD1020" s="85">
        <v>132.40299999999999</v>
      </c>
      <c r="AE1020" s="87">
        <v>10810</v>
      </c>
      <c r="AF1020" s="85">
        <v>133.91999999999999</v>
      </c>
      <c r="AG1020" s="87">
        <v>10790</v>
      </c>
      <c r="AH1020" s="85">
        <v>27.849</v>
      </c>
      <c r="AI1020" s="87">
        <v>10790</v>
      </c>
      <c r="AJ1020" s="85">
        <v>29.997</v>
      </c>
    </row>
    <row r="1021" spans="1:36" ht="14.25" customHeight="1">
      <c r="A1021" s="88">
        <v>10820</v>
      </c>
      <c r="B1021" s="84">
        <v>61.491</v>
      </c>
      <c r="C1021" s="88">
        <v>10830</v>
      </c>
      <c r="D1021" s="85">
        <v>60.704999999999998</v>
      </c>
      <c r="E1021" s="86">
        <v>10820</v>
      </c>
      <c r="F1021" s="85">
        <v>178.95400000000001</v>
      </c>
      <c r="G1021" s="87">
        <v>10820</v>
      </c>
      <c r="H1021" s="85">
        <v>179.04300000000001</v>
      </c>
      <c r="I1021" s="87">
        <v>10820</v>
      </c>
      <c r="J1021" s="85">
        <v>182.67500000000001</v>
      </c>
      <c r="K1021" s="87">
        <v>10820</v>
      </c>
      <c r="L1021" s="85">
        <v>181.494</v>
      </c>
      <c r="M1021" s="87">
        <v>10820</v>
      </c>
      <c r="N1021" s="85">
        <v>182.44900000000001</v>
      </c>
      <c r="O1021" s="87">
        <v>10800</v>
      </c>
      <c r="P1021" s="85">
        <v>183.45400000000001</v>
      </c>
      <c r="Q1021" s="87">
        <v>10820</v>
      </c>
      <c r="R1021" s="85">
        <v>183.16900000000001</v>
      </c>
      <c r="S1021" s="87">
        <v>10820</v>
      </c>
      <c r="T1021" s="85">
        <v>183.76499999999999</v>
      </c>
      <c r="U1021" s="87">
        <v>10810</v>
      </c>
      <c r="V1021" s="85">
        <v>183.821</v>
      </c>
      <c r="W1021" s="87">
        <v>10820</v>
      </c>
      <c r="X1021" s="85">
        <v>183.065</v>
      </c>
      <c r="Y1021" s="87">
        <v>10820</v>
      </c>
      <c r="Z1021" s="85">
        <v>181.53200000000001</v>
      </c>
      <c r="AA1021" s="87">
        <v>10820</v>
      </c>
      <c r="AB1021" s="85">
        <v>182.03299999999999</v>
      </c>
      <c r="AC1021" s="87">
        <v>10810</v>
      </c>
      <c r="AD1021" s="85">
        <v>131.351</v>
      </c>
      <c r="AE1021" s="87">
        <v>10820</v>
      </c>
      <c r="AF1021" s="85">
        <v>132.929</v>
      </c>
      <c r="AG1021" s="87">
        <v>10800</v>
      </c>
      <c r="AH1021" s="85">
        <v>27.634</v>
      </c>
      <c r="AI1021" s="87">
        <v>10800</v>
      </c>
      <c r="AJ1021" s="85">
        <v>29.768000000000001</v>
      </c>
    </row>
    <row r="1022" spans="1:36" ht="14.25" customHeight="1">
      <c r="A1022" s="88">
        <v>10830</v>
      </c>
      <c r="B1022" s="85">
        <v>60.994</v>
      </c>
      <c r="C1022" s="88">
        <v>10840</v>
      </c>
      <c r="D1022" s="85">
        <v>60.212000000000003</v>
      </c>
      <c r="E1022" s="86">
        <v>10830</v>
      </c>
      <c r="F1022" s="85">
        <v>177.64599999999999</v>
      </c>
      <c r="G1022" s="87">
        <v>10830</v>
      </c>
      <c r="H1022" s="85">
        <v>177.73599999999999</v>
      </c>
      <c r="I1022" s="87">
        <v>10830</v>
      </c>
      <c r="J1022" s="85">
        <v>181.464</v>
      </c>
      <c r="K1022" s="87">
        <v>10830</v>
      </c>
      <c r="L1022" s="85">
        <v>180.28</v>
      </c>
      <c r="M1022" s="87">
        <v>10830</v>
      </c>
      <c r="N1022" s="85">
        <v>181.238</v>
      </c>
      <c r="O1022" s="87">
        <v>10810</v>
      </c>
      <c r="P1022" s="85">
        <v>182.24199999999999</v>
      </c>
      <c r="Q1022" s="87">
        <v>10830</v>
      </c>
      <c r="R1022" s="85">
        <v>181.958</v>
      </c>
      <c r="S1022" s="87">
        <v>10830</v>
      </c>
      <c r="T1022" s="85">
        <v>182.553</v>
      </c>
      <c r="U1022" s="87">
        <v>10820</v>
      </c>
      <c r="V1022" s="85">
        <v>182.61099999999999</v>
      </c>
      <c r="W1022" s="87">
        <v>10830</v>
      </c>
      <c r="X1022" s="85">
        <v>181.85400000000001</v>
      </c>
      <c r="Y1022" s="87">
        <v>10830</v>
      </c>
      <c r="Z1022" s="85">
        <v>180.321</v>
      </c>
      <c r="AA1022" s="87">
        <v>10830</v>
      </c>
      <c r="AB1022" s="85">
        <v>180.822</v>
      </c>
      <c r="AC1022" s="87">
        <v>10820</v>
      </c>
      <c r="AD1022" s="85">
        <v>130.298</v>
      </c>
      <c r="AE1022" s="87">
        <v>10830</v>
      </c>
      <c r="AF1022" s="85">
        <v>131.93899999999999</v>
      </c>
      <c r="AG1022" s="87">
        <v>10810</v>
      </c>
      <c r="AH1022" s="85">
        <v>27.42</v>
      </c>
      <c r="AI1022" s="87">
        <v>10810</v>
      </c>
      <c r="AJ1022" s="85">
        <v>29.539000000000001</v>
      </c>
    </row>
    <row r="1023" spans="1:36" ht="14.25" customHeight="1">
      <c r="A1023" s="88">
        <v>10840</v>
      </c>
      <c r="B1023" s="85">
        <v>60.499000000000002</v>
      </c>
      <c r="C1023" s="88">
        <v>10850</v>
      </c>
      <c r="D1023" s="85">
        <v>59.720999999999997</v>
      </c>
      <c r="E1023" s="86">
        <v>10840</v>
      </c>
      <c r="F1023" s="85">
        <v>176.34</v>
      </c>
      <c r="G1023" s="87">
        <v>10840</v>
      </c>
      <c r="H1023" s="85">
        <v>176.43100000000001</v>
      </c>
      <c r="I1023" s="87">
        <v>10840</v>
      </c>
      <c r="J1023" s="85">
        <v>180.25299999999999</v>
      </c>
      <c r="K1023" s="87">
        <v>10840</v>
      </c>
      <c r="L1023" s="85">
        <v>179.06700000000001</v>
      </c>
      <c r="M1023" s="87">
        <v>10840</v>
      </c>
      <c r="N1023" s="85">
        <v>180.02600000000001</v>
      </c>
      <c r="O1023" s="87">
        <v>10820</v>
      </c>
      <c r="P1023" s="85">
        <v>181.03100000000001</v>
      </c>
      <c r="Q1023" s="87">
        <v>10840</v>
      </c>
      <c r="R1023" s="85">
        <v>180.74700000000001</v>
      </c>
      <c r="S1023" s="87">
        <v>10840</v>
      </c>
      <c r="T1023" s="85">
        <v>181.34100000000001</v>
      </c>
      <c r="U1023" s="87">
        <v>10830</v>
      </c>
      <c r="V1023" s="85">
        <v>181.4</v>
      </c>
      <c r="W1023" s="87">
        <v>10840</v>
      </c>
      <c r="X1023" s="85">
        <v>180.643</v>
      </c>
      <c r="Y1023" s="87">
        <v>10840</v>
      </c>
      <c r="Z1023" s="85">
        <v>179.11099999999999</v>
      </c>
      <c r="AA1023" s="87">
        <v>10840</v>
      </c>
      <c r="AB1023" s="85">
        <v>179.61199999999999</v>
      </c>
      <c r="AC1023" s="87">
        <v>10830</v>
      </c>
      <c r="AD1023" s="85">
        <v>129.245</v>
      </c>
      <c r="AE1023" s="87">
        <v>10840</v>
      </c>
      <c r="AF1023" s="85">
        <v>130.94800000000001</v>
      </c>
      <c r="AG1023" s="87">
        <v>10820</v>
      </c>
      <c r="AH1023" s="85">
        <v>27.204999999999998</v>
      </c>
      <c r="AI1023" s="87">
        <v>10820</v>
      </c>
      <c r="AJ1023" s="85">
        <v>29.311</v>
      </c>
    </row>
    <row r="1024" spans="1:36" ht="14.25" customHeight="1">
      <c r="A1024" s="88">
        <v>10850</v>
      </c>
      <c r="B1024" s="85">
        <v>60.003999999999998</v>
      </c>
      <c r="C1024" s="88">
        <v>10860</v>
      </c>
      <c r="D1024" s="85">
        <v>59.231000000000002</v>
      </c>
      <c r="E1024" s="86">
        <v>10850</v>
      </c>
      <c r="F1024" s="85">
        <v>175.035</v>
      </c>
      <c r="G1024" s="87">
        <v>10850</v>
      </c>
      <c r="H1024" s="85">
        <v>175.12700000000001</v>
      </c>
      <c r="I1024" s="87">
        <v>10850</v>
      </c>
      <c r="J1024" s="85">
        <v>179.042</v>
      </c>
      <c r="K1024" s="87">
        <v>10850</v>
      </c>
      <c r="L1024" s="85">
        <v>177.85400000000001</v>
      </c>
      <c r="M1024" s="87">
        <v>10850</v>
      </c>
      <c r="N1024" s="85">
        <v>178.815</v>
      </c>
      <c r="O1024" s="87">
        <v>10830</v>
      </c>
      <c r="P1024" s="85">
        <v>179.81899999999999</v>
      </c>
      <c r="Q1024" s="87">
        <v>10850</v>
      </c>
      <c r="R1024" s="85">
        <v>179.535</v>
      </c>
      <c r="S1024" s="87">
        <v>10850</v>
      </c>
      <c r="T1024" s="85">
        <v>180.12899999999999</v>
      </c>
      <c r="U1024" s="87">
        <v>10840</v>
      </c>
      <c r="V1024" s="85">
        <v>180.19</v>
      </c>
      <c r="W1024" s="87">
        <v>10850</v>
      </c>
      <c r="X1024" s="85">
        <v>179.43199999999999</v>
      </c>
      <c r="Y1024" s="87">
        <v>10850</v>
      </c>
      <c r="Z1024" s="85">
        <v>177.9</v>
      </c>
      <c r="AA1024" s="87">
        <v>10850</v>
      </c>
      <c r="AB1024" s="85">
        <v>178.40199999999999</v>
      </c>
      <c r="AC1024" s="87">
        <v>10840</v>
      </c>
      <c r="AD1024" s="85">
        <v>128.19300000000001</v>
      </c>
      <c r="AE1024" s="87">
        <v>10850</v>
      </c>
      <c r="AF1024" s="85">
        <v>129.958</v>
      </c>
      <c r="AG1024" s="87">
        <v>10830</v>
      </c>
      <c r="AH1024" s="85">
        <v>26.992000000000001</v>
      </c>
      <c r="AI1024" s="87">
        <v>10830</v>
      </c>
      <c r="AJ1024" s="85">
        <v>29.084</v>
      </c>
    </row>
    <row r="1025" spans="1:36" ht="14.25" customHeight="1">
      <c r="A1025" s="88">
        <v>10860</v>
      </c>
      <c r="B1025" s="85">
        <v>59.511000000000003</v>
      </c>
      <c r="C1025" s="88">
        <v>10870</v>
      </c>
      <c r="D1025" s="85">
        <v>58.741999999999997</v>
      </c>
      <c r="E1025" s="86">
        <v>10860</v>
      </c>
      <c r="F1025" s="85">
        <v>173.73099999999999</v>
      </c>
      <c r="G1025" s="87">
        <v>10860</v>
      </c>
      <c r="H1025" s="85">
        <v>173.82499999999999</v>
      </c>
      <c r="I1025" s="87">
        <v>10860</v>
      </c>
      <c r="J1025" s="85">
        <v>177.83099999999999</v>
      </c>
      <c r="K1025" s="87">
        <v>10860</v>
      </c>
      <c r="L1025" s="85">
        <v>176.64099999999999</v>
      </c>
      <c r="M1025" s="87">
        <v>10860</v>
      </c>
      <c r="N1025" s="85">
        <v>177.60400000000001</v>
      </c>
      <c r="O1025" s="87">
        <v>10840</v>
      </c>
      <c r="P1025" s="85">
        <v>178.608</v>
      </c>
      <c r="Q1025" s="87">
        <v>10860</v>
      </c>
      <c r="R1025" s="85">
        <v>178.32400000000001</v>
      </c>
      <c r="S1025" s="87">
        <v>10860</v>
      </c>
      <c r="T1025" s="85">
        <v>178.917</v>
      </c>
      <c r="U1025" s="87">
        <v>10850</v>
      </c>
      <c r="V1025" s="85">
        <v>178.97900000000001</v>
      </c>
      <c r="W1025" s="87">
        <v>10860</v>
      </c>
      <c r="X1025" s="85">
        <v>178.22</v>
      </c>
      <c r="Y1025" s="87">
        <v>10860</v>
      </c>
      <c r="Z1025" s="85">
        <v>176.69</v>
      </c>
      <c r="AA1025" s="87">
        <v>10860</v>
      </c>
      <c r="AB1025" s="85">
        <v>177.19200000000001</v>
      </c>
      <c r="AC1025" s="87">
        <v>10850</v>
      </c>
      <c r="AD1025" s="85">
        <v>127.199</v>
      </c>
      <c r="AE1025" s="87">
        <v>10860</v>
      </c>
      <c r="AF1025" s="85">
        <v>128.96799999999999</v>
      </c>
      <c r="AG1025" s="87">
        <v>10840</v>
      </c>
      <c r="AH1025" s="85">
        <v>26.779</v>
      </c>
      <c r="AI1025" s="87">
        <v>10840</v>
      </c>
      <c r="AJ1025" s="85">
        <v>28.856000000000002</v>
      </c>
    </row>
    <row r="1026" spans="1:36" ht="14.25" customHeight="1">
      <c r="A1026" s="88">
        <v>10870</v>
      </c>
      <c r="B1026" s="85">
        <v>59.018999999999998</v>
      </c>
      <c r="C1026" s="88">
        <v>10880</v>
      </c>
      <c r="D1026" s="85">
        <v>58.253999999999998</v>
      </c>
      <c r="E1026" s="86">
        <v>10870</v>
      </c>
      <c r="F1026" s="85">
        <v>172.429</v>
      </c>
      <c r="G1026" s="87">
        <v>10870</v>
      </c>
      <c r="H1026" s="85">
        <v>172.52500000000001</v>
      </c>
      <c r="I1026" s="87">
        <v>10870</v>
      </c>
      <c r="J1026" s="85">
        <v>176.62</v>
      </c>
      <c r="K1026" s="87">
        <v>10870</v>
      </c>
      <c r="L1026" s="85">
        <v>175.42699999999999</v>
      </c>
      <c r="M1026" s="87">
        <v>10870</v>
      </c>
      <c r="N1026" s="85">
        <v>176.392</v>
      </c>
      <c r="O1026" s="87">
        <v>10850</v>
      </c>
      <c r="P1026" s="85">
        <v>177.39599999999999</v>
      </c>
      <c r="Q1026" s="87">
        <v>10870</v>
      </c>
      <c r="R1026" s="85">
        <v>177.113</v>
      </c>
      <c r="S1026" s="87">
        <v>10870</v>
      </c>
      <c r="T1026" s="85">
        <v>177.70500000000001</v>
      </c>
      <c r="U1026" s="87">
        <v>10860</v>
      </c>
      <c r="V1026" s="85">
        <v>177.768</v>
      </c>
      <c r="W1026" s="87">
        <v>10870</v>
      </c>
      <c r="X1026" s="85">
        <v>177.00899999999999</v>
      </c>
      <c r="Y1026" s="87">
        <v>10870</v>
      </c>
      <c r="Z1026" s="85">
        <v>175.47900000000001</v>
      </c>
      <c r="AA1026" s="87">
        <v>10870</v>
      </c>
      <c r="AB1026" s="85">
        <v>175.982</v>
      </c>
      <c r="AC1026" s="87">
        <v>10860</v>
      </c>
      <c r="AD1026" s="85">
        <v>126.223</v>
      </c>
      <c r="AE1026" s="87">
        <v>10870</v>
      </c>
      <c r="AF1026" s="85">
        <v>127.977</v>
      </c>
      <c r="AG1026" s="87">
        <v>10850</v>
      </c>
      <c r="AH1026" s="85">
        <v>26.565999999999999</v>
      </c>
      <c r="AI1026" s="87">
        <v>10850</v>
      </c>
      <c r="AJ1026" s="85">
        <v>28.63</v>
      </c>
    </row>
    <row r="1027" spans="1:36" ht="14.25" customHeight="1">
      <c r="A1027" s="88">
        <v>10880</v>
      </c>
      <c r="B1027" s="85">
        <v>58.527999999999999</v>
      </c>
      <c r="C1027" s="88">
        <v>10890</v>
      </c>
      <c r="D1027" s="85">
        <v>57.767000000000003</v>
      </c>
      <c r="E1027" s="86">
        <v>10880</v>
      </c>
      <c r="F1027" s="85">
        <v>171.12899999999999</v>
      </c>
      <c r="G1027" s="87">
        <v>10880</v>
      </c>
      <c r="H1027" s="85">
        <v>171.226</v>
      </c>
      <c r="I1027" s="87">
        <v>10880</v>
      </c>
      <c r="J1027" s="85">
        <v>175.40899999999999</v>
      </c>
      <c r="K1027" s="87">
        <v>10880</v>
      </c>
      <c r="L1027" s="85">
        <v>174.214</v>
      </c>
      <c r="M1027" s="87">
        <v>10880</v>
      </c>
      <c r="N1027" s="85">
        <v>175.18100000000001</v>
      </c>
      <c r="O1027" s="87">
        <v>10860</v>
      </c>
      <c r="P1027" s="85">
        <v>176.184</v>
      </c>
      <c r="Q1027" s="87">
        <v>10880</v>
      </c>
      <c r="R1027" s="85">
        <v>175.90100000000001</v>
      </c>
      <c r="S1027" s="87">
        <v>10880</v>
      </c>
      <c r="T1027" s="85">
        <v>176.49299999999999</v>
      </c>
      <c r="U1027" s="87">
        <v>10870</v>
      </c>
      <c r="V1027" s="85">
        <v>176.55799999999999</v>
      </c>
      <c r="W1027" s="87">
        <v>10880</v>
      </c>
      <c r="X1027" s="85">
        <v>175.798</v>
      </c>
      <c r="Y1027" s="87">
        <v>10880</v>
      </c>
      <c r="Z1027" s="85">
        <v>174.26900000000001</v>
      </c>
      <c r="AA1027" s="87">
        <v>10880</v>
      </c>
      <c r="AB1027" s="85">
        <v>174.77199999999999</v>
      </c>
      <c r="AC1027" s="87">
        <v>10870</v>
      </c>
      <c r="AD1027" s="85">
        <v>125.248</v>
      </c>
      <c r="AE1027" s="87">
        <v>10880</v>
      </c>
      <c r="AF1027" s="85">
        <v>126.98699999999999</v>
      </c>
      <c r="AG1027" s="87">
        <v>10860</v>
      </c>
      <c r="AH1027" s="85">
        <v>26.353999999999999</v>
      </c>
      <c r="AI1027" s="87">
        <v>10860</v>
      </c>
      <c r="AJ1027" s="85">
        <v>28.404</v>
      </c>
    </row>
    <row r="1028" spans="1:36" ht="14.25" customHeight="1">
      <c r="A1028" s="88">
        <v>10890</v>
      </c>
      <c r="B1028" s="85">
        <v>58.037999999999997</v>
      </c>
      <c r="C1028" s="88">
        <v>10900</v>
      </c>
      <c r="D1028" s="85">
        <v>57.281999999999996</v>
      </c>
      <c r="E1028" s="86">
        <v>10890</v>
      </c>
      <c r="F1028" s="85">
        <v>169.83</v>
      </c>
      <c r="G1028" s="87">
        <v>10890</v>
      </c>
      <c r="H1028" s="85">
        <v>169.928</v>
      </c>
      <c r="I1028" s="87">
        <v>10890</v>
      </c>
      <c r="J1028" s="85">
        <v>174.19800000000001</v>
      </c>
      <c r="K1028" s="87">
        <v>10890</v>
      </c>
      <c r="L1028" s="85">
        <v>173.001</v>
      </c>
      <c r="M1028" s="87">
        <v>10890</v>
      </c>
      <c r="N1028" s="85">
        <v>173.96899999999999</v>
      </c>
      <c r="O1028" s="87">
        <v>10870</v>
      </c>
      <c r="P1028" s="85">
        <v>174.97300000000001</v>
      </c>
      <c r="Q1028" s="87">
        <v>10890</v>
      </c>
      <c r="R1028" s="85">
        <v>174.69</v>
      </c>
      <c r="S1028" s="87">
        <v>10890</v>
      </c>
      <c r="T1028" s="85">
        <v>175.28100000000001</v>
      </c>
      <c r="U1028" s="87">
        <v>10880</v>
      </c>
      <c r="V1028" s="85">
        <v>175.34700000000001</v>
      </c>
      <c r="W1028" s="87">
        <v>10890</v>
      </c>
      <c r="X1028" s="85">
        <v>174.58699999999999</v>
      </c>
      <c r="Y1028" s="87">
        <v>10890</v>
      </c>
      <c r="Z1028" s="85">
        <v>173.05799999999999</v>
      </c>
      <c r="AA1028" s="87">
        <v>10890</v>
      </c>
      <c r="AB1028" s="85">
        <v>173.56200000000001</v>
      </c>
      <c r="AC1028" s="87">
        <v>10880</v>
      </c>
      <c r="AD1028" s="85">
        <v>124.274</v>
      </c>
      <c r="AE1028" s="87">
        <v>10890</v>
      </c>
      <c r="AF1028" s="85">
        <v>125.997</v>
      </c>
      <c r="AG1028" s="87">
        <v>10870</v>
      </c>
      <c r="AH1028" s="85">
        <v>26.143000000000001</v>
      </c>
      <c r="AI1028" s="87">
        <v>10870</v>
      </c>
      <c r="AJ1028" s="85">
        <v>28.178000000000001</v>
      </c>
    </row>
    <row r="1029" spans="1:36" ht="14.25" customHeight="1">
      <c r="A1029" s="88">
        <v>10900</v>
      </c>
      <c r="B1029" s="85">
        <v>57.55</v>
      </c>
      <c r="C1029" s="88">
        <v>10910</v>
      </c>
      <c r="D1029" s="85">
        <v>56.796999999999997</v>
      </c>
      <c r="E1029" s="86">
        <v>10900</v>
      </c>
      <c r="F1029" s="85">
        <v>168.53299999999999</v>
      </c>
      <c r="G1029" s="87">
        <v>10900</v>
      </c>
      <c r="H1029" s="85">
        <v>168.63300000000001</v>
      </c>
      <c r="I1029" s="87">
        <v>10900</v>
      </c>
      <c r="J1029" s="85">
        <v>172.98699999999999</v>
      </c>
      <c r="K1029" s="87">
        <v>10900</v>
      </c>
      <c r="L1029" s="85">
        <v>171.78700000000001</v>
      </c>
      <c r="M1029" s="87">
        <v>10900</v>
      </c>
      <c r="N1029" s="85">
        <v>172.75800000000001</v>
      </c>
      <c r="O1029" s="87">
        <v>10880</v>
      </c>
      <c r="P1029" s="85">
        <v>173.761</v>
      </c>
      <c r="Q1029" s="87">
        <v>10900</v>
      </c>
      <c r="R1029" s="85">
        <v>173.47900000000001</v>
      </c>
      <c r="S1029" s="87">
        <v>10900</v>
      </c>
      <c r="T1029" s="85">
        <v>174.06899999999999</v>
      </c>
      <c r="U1029" s="87">
        <v>10890</v>
      </c>
      <c r="V1029" s="85">
        <v>174.137</v>
      </c>
      <c r="W1029" s="87">
        <v>10900</v>
      </c>
      <c r="X1029" s="85">
        <v>173.375</v>
      </c>
      <c r="Y1029" s="87">
        <v>10900</v>
      </c>
      <c r="Z1029" s="85">
        <v>171.84700000000001</v>
      </c>
      <c r="AA1029" s="87">
        <v>10900</v>
      </c>
      <c r="AB1029" s="85">
        <v>172.352</v>
      </c>
      <c r="AC1029" s="87">
        <v>10890</v>
      </c>
      <c r="AD1029" s="85">
        <v>123.301</v>
      </c>
      <c r="AE1029" s="87">
        <v>10900</v>
      </c>
      <c r="AF1029" s="85">
        <v>125.006</v>
      </c>
      <c r="AG1029" s="87">
        <v>10880</v>
      </c>
      <c r="AH1029" s="85">
        <v>25.931999999999999</v>
      </c>
      <c r="AI1029" s="87">
        <v>10880</v>
      </c>
      <c r="AJ1029" s="85">
        <v>27.952999999999999</v>
      </c>
    </row>
    <row r="1030" spans="1:36" ht="14.25" customHeight="1">
      <c r="A1030" s="88">
        <v>10910</v>
      </c>
      <c r="B1030" s="85">
        <v>57.061999999999998</v>
      </c>
      <c r="C1030" s="88">
        <v>10920</v>
      </c>
      <c r="D1030" s="85">
        <v>56.314</v>
      </c>
      <c r="E1030" s="86">
        <v>10910</v>
      </c>
      <c r="F1030" s="85">
        <v>167.238</v>
      </c>
      <c r="G1030" s="87">
        <v>10910</v>
      </c>
      <c r="H1030" s="85">
        <v>167.33799999999999</v>
      </c>
      <c r="I1030" s="87">
        <v>10910</v>
      </c>
      <c r="J1030" s="85">
        <v>171.77600000000001</v>
      </c>
      <c r="K1030" s="87">
        <v>10910</v>
      </c>
      <c r="L1030" s="85">
        <v>170.57400000000001</v>
      </c>
      <c r="M1030" s="87">
        <v>10910</v>
      </c>
      <c r="N1030" s="85">
        <v>171.547</v>
      </c>
      <c r="O1030" s="87">
        <v>10890</v>
      </c>
      <c r="P1030" s="85">
        <v>172.55</v>
      </c>
      <c r="Q1030" s="87">
        <v>10910</v>
      </c>
      <c r="R1030" s="85">
        <v>172.267</v>
      </c>
      <c r="S1030" s="87">
        <v>10910</v>
      </c>
      <c r="T1030" s="85">
        <v>172.858</v>
      </c>
      <c r="U1030" s="87">
        <v>10900</v>
      </c>
      <c r="V1030" s="85">
        <v>172.92599999999999</v>
      </c>
      <c r="W1030" s="87">
        <v>10910</v>
      </c>
      <c r="X1030" s="85">
        <v>172.16399999999999</v>
      </c>
      <c r="Y1030" s="87">
        <v>10910</v>
      </c>
      <c r="Z1030" s="85">
        <v>170.637</v>
      </c>
      <c r="AA1030" s="87">
        <v>10910</v>
      </c>
      <c r="AB1030" s="85">
        <v>171.142</v>
      </c>
      <c r="AC1030" s="87">
        <v>10900</v>
      </c>
      <c r="AD1030" s="85">
        <v>122.33</v>
      </c>
      <c r="AE1030" s="87">
        <v>10910</v>
      </c>
      <c r="AF1030" s="85">
        <v>124.01600000000001</v>
      </c>
      <c r="AG1030" s="87">
        <v>10890</v>
      </c>
      <c r="AH1030" s="85">
        <v>25.722000000000001</v>
      </c>
      <c r="AI1030" s="87">
        <v>10890</v>
      </c>
      <c r="AJ1030" s="85">
        <v>27.728999999999999</v>
      </c>
    </row>
    <row r="1031" spans="1:36" ht="14.25" customHeight="1">
      <c r="A1031" s="88">
        <v>10920</v>
      </c>
      <c r="B1031" s="85">
        <v>56.576000000000001</v>
      </c>
      <c r="C1031" s="88">
        <v>10930</v>
      </c>
      <c r="D1031" s="85">
        <v>55.832000000000001</v>
      </c>
      <c r="E1031" s="86">
        <v>10920</v>
      </c>
      <c r="F1031" s="85">
        <v>165.94399999999999</v>
      </c>
      <c r="G1031" s="87">
        <v>10920</v>
      </c>
      <c r="H1031" s="85">
        <v>166.04599999999999</v>
      </c>
      <c r="I1031" s="87">
        <v>10920</v>
      </c>
      <c r="J1031" s="85">
        <v>170.565</v>
      </c>
      <c r="K1031" s="87">
        <v>10920</v>
      </c>
      <c r="L1031" s="85">
        <v>169.36099999999999</v>
      </c>
      <c r="M1031" s="87">
        <v>10920</v>
      </c>
      <c r="N1031" s="85">
        <v>170.33500000000001</v>
      </c>
      <c r="O1031" s="87">
        <v>10900</v>
      </c>
      <c r="P1031" s="85">
        <v>171.33799999999999</v>
      </c>
      <c r="Q1031" s="87">
        <v>10920</v>
      </c>
      <c r="R1031" s="85">
        <v>171.05600000000001</v>
      </c>
      <c r="S1031" s="87">
        <v>10920</v>
      </c>
      <c r="T1031" s="85">
        <v>171.64599999999999</v>
      </c>
      <c r="U1031" s="87">
        <v>10910</v>
      </c>
      <c r="V1031" s="85">
        <v>171.71600000000001</v>
      </c>
      <c r="W1031" s="87">
        <v>10920</v>
      </c>
      <c r="X1031" s="85">
        <v>170.953</v>
      </c>
      <c r="Y1031" s="87">
        <v>10920</v>
      </c>
      <c r="Z1031" s="85">
        <v>169.42599999999999</v>
      </c>
      <c r="AA1031" s="87">
        <v>10920</v>
      </c>
      <c r="AB1031" s="85">
        <v>169.93199999999999</v>
      </c>
      <c r="AC1031" s="87">
        <v>10910</v>
      </c>
      <c r="AD1031" s="85">
        <v>121.36</v>
      </c>
      <c r="AE1031" s="87">
        <v>10920</v>
      </c>
      <c r="AF1031" s="85">
        <v>123.02500000000001</v>
      </c>
      <c r="AG1031" s="87">
        <v>10900</v>
      </c>
      <c r="AH1031" s="85">
        <v>25.512</v>
      </c>
      <c r="AI1031" s="87">
        <v>10900</v>
      </c>
      <c r="AJ1031" s="85">
        <v>27.504999999999999</v>
      </c>
    </row>
    <row r="1032" spans="1:36" ht="14.25" customHeight="1">
      <c r="A1032" s="88">
        <v>10930</v>
      </c>
      <c r="B1032" s="85">
        <v>56.09</v>
      </c>
      <c r="C1032" s="88">
        <v>10940</v>
      </c>
      <c r="D1032" s="85">
        <v>55.350999999999999</v>
      </c>
      <c r="E1032" s="86">
        <v>10930</v>
      </c>
      <c r="F1032" s="85">
        <v>164.65199999999999</v>
      </c>
      <c r="G1032" s="87">
        <v>10930</v>
      </c>
      <c r="H1032" s="85">
        <v>164.755</v>
      </c>
      <c r="I1032" s="87">
        <v>10930</v>
      </c>
      <c r="J1032" s="85">
        <v>169.35400000000001</v>
      </c>
      <c r="K1032" s="87">
        <v>10930</v>
      </c>
      <c r="L1032" s="85">
        <v>168.148</v>
      </c>
      <c r="M1032" s="87">
        <v>10930</v>
      </c>
      <c r="N1032" s="85">
        <v>169.124</v>
      </c>
      <c r="O1032" s="87">
        <v>10910</v>
      </c>
      <c r="P1032" s="85">
        <v>170.126</v>
      </c>
      <c r="Q1032" s="87">
        <v>10930</v>
      </c>
      <c r="R1032" s="85">
        <v>169.845</v>
      </c>
      <c r="S1032" s="87">
        <v>10930</v>
      </c>
      <c r="T1032" s="85">
        <v>170.434</v>
      </c>
      <c r="U1032" s="87">
        <v>10920</v>
      </c>
      <c r="V1032" s="85">
        <v>170.505</v>
      </c>
      <c r="W1032" s="87">
        <v>10930</v>
      </c>
      <c r="X1032" s="85">
        <v>169.74199999999999</v>
      </c>
      <c r="Y1032" s="87">
        <v>10930</v>
      </c>
      <c r="Z1032" s="85">
        <v>168.21600000000001</v>
      </c>
      <c r="AA1032" s="87">
        <v>10930</v>
      </c>
      <c r="AB1032" s="85">
        <v>168.72200000000001</v>
      </c>
      <c r="AC1032" s="87">
        <v>10920</v>
      </c>
      <c r="AD1032" s="85">
        <v>120.392</v>
      </c>
      <c r="AE1032" s="87">
        <v>10930</v>
      </c>
      <c r="AF1032" s="85">
        <v>122.035</v>
      </c>
      <c r="AG1032" s="87">
        <v>10910</v>
      </c>
      <c r="AH1032" s="85">
        <v>25.302</v>
      </c>
      <c r="AI1032" s="87">
        <v>10910</v>
      </c>
      <c r="AJ1032" s="85">
        <v>27.280999999999999</v>
      </c>
    </row>
    <row r="1033" spans="1:36" ht="14.25" customHeight="1">
      <c r="A1033" s="88">
        <v>10940</v>
      </c>
      <c r="B1033" s="85">
        <v>55.606000000000002</v>
      </c>
      <c r="C1033" s="88">
        <v>10950</v>
      </c>
      <c r="D1033" s="85">
        <v>54.871000000000002</v>
      </c>
      <c r="E1033" s="86">
        <v>10940</v>
      </c>
      <c r="F1033" s="85">
        <v>163.36099999999999</v>
      </c>
      <c r="G1033" s="87">
        <v>10940</v>
      </c>
      <c r="H1033" s="85">
        <v>163.465</v>
      </c>
      <c r="I1033" s="87">
        <v>10940</v>
      </c>
      <c r="J1033" s="85">
        <v>168.143</v>
      </c>
      <c r="K1033" s="87">
        <v>10940</v>
      </c>
      <c r="L1033" s="85">
        <v>166.934</v>
      </c>
      <c r="M1033" s="87">
        <v>10940</v>
      </c>
      <c r="N1033" s="85">
        <v>167.91300000000001</v>
      </c>
      <c r="O1033" s="87">
        <v>10920</v>
      </c>
      <c r="P1033" s="85">
        <v>168.91499999999999</v>
      </c>
      <c r="Q1033" s="87">
        <v>10940</v>
      </c>
      <c r="R1033" s="85">
        <v>168.63300000000001</v>
      </c>
      <c r="S1033" s="87">
        <v>10940</v>
      </c>
      <c r="T1033" s="85">
        <v>169.22200000000001</v>
      </c>
      <c r="U1033" s="87">
        <v>10930</v>
      </c>
      <c r="V1033" s="85">
        <v>169.29400000000001</v>
      </c>
      <c r="W1033" s="87">
        <v>10940</v>
      </c>
      <c r="X1033" s="85">
        <v>168.53100000000001</v>
      </c>
      <c r="Y1033" s="87">
        <v>10940</v>
      </c>
      <c r="Z1033" s="85">
        <v>167.005</v>
      </c>
      <c r="AA1033" s="87">
        <v>10940</v>
      </c>
      <c r="AB1033" s="85">
        <v>167.512</v>
      </c>
      <c r="AC1033" s="87">
        <v>10930</v>
      </c>
      <c r="AD1033" s="85">
        <v>119.42400000000001</v>
      </c>
      <c r="AE1033" s="87">
        <v>10940</v>
      </c>
      <c r="AF1033" s="85">
        <v>121.045</v>
      </c>
      <c r="AG1033" s="87">
        <v>10920</v>
      </c>
      <c r="AH1033" s="85">
        <v>25.094000000000001</v>
      </c>
      <c r="AI1033" s="87">
        <v>10920</v>
      </c>
      <c r="AJ1033" s="85">
        <v>27.059000000000001</v>
      </c>
    </row>
    <row r="1034" spans="1:36" ht="14.25" customHeight="1">
      <c r="A1034" s="88">
        <v>10950</v>
      </c>
      <c r="B1034" s="85">
        <v>55.124000000000002</v>
      </c>
      <c r="C1034" s="88">
        <v>10960</v>
      </c>
      <c r="D1034" s="85">
        <v>54.392000000000003</v>
      </c>
      <c r="E1034" s="86">
        <v>10950</v>
      </c>
      <c r="F1034" s="85">
        <v>162.072</v>
      </c>
      <c r="G1034" s="87">
        <v>10950</v>
      </c>
      <c r="H1034" s="85">
        <v>162.178</v>
      </c>
      <c r="I1034" s="87">
        <v>10950</v>
      </c>
      <c r="J1034" s="85">
        <v>166.93199999999999</v>
      </c>
      <c r="K1034" s="87">
        <v>10950</v>
      </c>
      <c r="L1034" s="85">
        <v>165.721</v>
      </c>
      <c r="M1034" s="87">
        <v>10950</v>
      </c>
      <c r="N1034" s="85">
        <v>166.70099999999999</v>
      </c>
      <c r="O1034" s="87">
        <v>10930</v>
      </c>
      <c r="P1034" s="85">
        <v>167.703</v>
      </c>
      <c r="Q1034" s="87">
        <v>10950</v>
      </c>
      <c r="R1034" s="85">
        <v>167.422</v>
      </c>
      <c r="S1034" s="87">
        <v>10950</v>
      </c>
      <c r="T1034" s="85">
        <v>168.01</v>
      </c>
      <c r="U1034" s="87">
        <v>10940</v>
      </c>
      <c r="V1034" s="85">
        <v>168.084</v>
      </c>
      <c r="W1034" s="87">
        <v>10950</v>
      </c>
      <c r="X1034" s="85">
        <v>167.31899999999999</v>
      </c>
      <c r="Y1034" s="87">
        <v>10950</v>
      </c>
      <c r="Z1034" s="85">
        <v>165.79499999999999</v>
      </c>
      <c r="AA1034" s="87">
        <v>10950</v>
      </c>
      <c r="AB1034" s="85">
        <v>166.30199999999999</v>
      </c>
      <c r="AC1034" s="87">
        <v>10940</v>
      </c>
      <c r="AD1034" s="85">
        <v>118.459</v>
      </c>
      <c r="AE1034" s="87">
        <v>10950</v>
      </c>
      <c r="AF1034" s="85">
        <v>120.054</v>
      </c>
      <c r="AG1034" s="87">
        <v>10930</v>
      </c>
      <c r="AH1034" s="85">
        <v>24.885000000000002</v>
      </c>
      <c r="AI1034" s="87">
        <v>10930</v>
      </c>
      <c r="AJ1034" s="85">
        <v>26.835999999999999</v>
      </c>
    </row>
    <row r="1035" spans="1:36" ht="14.25" customHeight="1">
      <c r="A1035" s="88">
        <v>10960</v>
      </c>
      <c r="B1035" s="85">
        <v>54.642000000000003</v>
      </c>
      <c r="C1035" s="88">
        <v>10970</v>
      </c>
      <c r="D1035" s="85">
        <v>53.914999999999999</v>
      </c>
      <c r="E1035" s="86">
        <v>10960</v>
      </c>
      <c r="F1035" s="85">
        <v>160.78399999999999</v>
      </c>
      <c r="G1035" s="87">
        <v>10960</v>
      </c>
      <c r="H1035" s="85">
        <v>160.89099999999999</v>
      </c>
      <c r="I1035" s="87">
        <v>10960</v>
      </c>
      <c r="J1035" s="85">
        <v>165.72200000000001</v>
      </c>
      <c r="K1035" s="87">
        <v>10960</v>
      </c>
      <c r="L1035" s="85">
        <v>164.50800000000001</v>
      </c>
      <c r="M1035" s="87">
        <v>10960</v>
      </c>
      <c r="N1035" s="85">
        <v>165.49</v>
      </c>
      <c r="O1035" s="87">
        <v>10940</v>
      </c>
      <c r="P1035" s="85">
        <v>166.49199999999999</v>
      </c>
      <c r="Q1035" s="87">
        <v>10960</v>
      </c>
      <c r="R1035" s="85">
        <v>166.21100000000001</v>
      </c>
      <c r="S1035" s="87">
        <v>10960</v>
      </c>
      <c r="T1035" s="85">
        <v>166.798</v>
      </c>
      <c r="U1035" s="87">
        <v>10950</v>
      </c>
      <c r="V1035" s="85">
        <v>166.87299999999999</v>
      </c>
      <c r="W1035" s="87">
        <v>10960</v>
      </c>
      <c r="X1035" s="85">
        <v>166.108</v>
      </c>
      <c r="Y1035" s="87">
        <v>10960</v>
      </c>
      <c r="Z1035" s="85">
        <v>164.584</v>
      </c>
      <c r="AA1035" s="87">
        <v>10960</v>
      </c>
      <c r="AB1035" s="85">
        <v>165.09200000000001</v>
      </c>
      <c r="AC1035" s="87">
        <v>10950</v>
      </c>
      <c r="AD1035" s="85">
        <v>117.494</v>
      </c>
      <c r="AE1035" s="87">
        <v>10960</v>
      </c>
      <c r="AF1035" s="85">
        <v>119.06399999999999</v>
      </c>
      <c r="AG1035" s="87">
        <v>10940</v>
      </c>
      <c r="AH1035" s="85">
        <v>24.678000000000001</v>
      </c>
      <c r="AI1035" s="87">
        <v>10940</v>
      </c>
      <c r="AJ1035" s="85">
        <v>26.614000000000001</v>
      </c>
    </row>
    <row r="1036" spans="1:36" ht="14.25" customHeight="1">
      <c r="A1036" s="88">
        <v>10970</v>
      </c>
      <c r="B1036" s="85">
        <v>54.161000000000001</v>
      </c>
      <c r="C1036" s="88">
        <v>10980</v>
      </c>
      <c r="D1036" s="85">
        <v>53.439</v>
      </c>
      <c r="E1036" s="86">
        <v>10970</v>
      </c>
      <c r="F1036" s="85">
        <v>159.499</v>
      </c>
      <c r="G1036" s="87">
        <v>10970</v>
      </c>
      <c r="H1036" s="85">
        <v>159.607</v>
      </c>
      <c r="I1036" s="87">
        <v>10970</v>
      </c>
      <c r="J1036" s="85">
        <v>164.511</v>
      </c>
      <c r="K1036" s="87">
        <v>10970</v>
      </c>
      <c r="L1036" s="85">
        <v>163.29400000000001</v>
      </c>
      <c r="M1036" s="87">
        <v>10970</v>
      </c>
      <c r="N1036" s="85">
        <v>164.279</v>
      </c>
      <c r="O1036" s="87">
        <v>10950</v>
      </c>
      <c r="P1036" s="85">
        <v>165.28</v>
      </c>
      <c r="Q1036" s="87">
        <v>10970</v>
      </c>
      <c r="R1036" s="85">
        <v>164.999</v>
      </c>
      <c r="S1036" s="87">
        <v>10970</v>
      </c>
      <c r="T1036" s="85">
        <v>165.58600000000001</v>
      </c>
      <c r="U1036" s="87">
        <v>10960</v>
      </c>
      <c r="V1036" s="85">
        <v>165.66300000000001</v>
      </c>
      <c r="W1036" s="87">
        <v>10970</v>
      </c>
      <c r="X1036" s="85">
        <v>164.89699999999999</v>
      </c>
      <c r="Y1036" s="87">
        <v>10970</v>
      </c>
      <c r="Z1036" s="85">
        <v>163.37299999999999</v>
      </c>
      <c r="AA1036" s="87">
        <v>10970</v>
      </c>
      <c r="AB1036" s="85">
        <v>163.881</v>
      </c>
      <c r="AC1036" s="87">
        <v>10960</v>
      </c>
      <c r="AD1036" s="85">
        <v>116.53100000000001</v>
      </c>
      <c r="AE1036" s="87">
        <v>10970</v>
      </c>
      <c r="AF1036" s="85">
        <v>118.074</v>
      </c>
      <c r="AG1036" s="87">
        <v>10950</v>
      </c>
      <c r="AH1036" s="85">
        <v>24.47</v>
      </c>
      <c r="AI1036" s="87">
        <v>10950</v>
      </c>
      <c r="AJ1036" s="85">
        <v>26.393000000000001</v>
      </c>
    </row>
    <row r="1037" spans="1:36" ht="14.25" customHeight="1">
      <c r="A1037" s="88">
        <v>10980</v>
      </c>
      <c r="B1037" s="85">
        <v>53.682000000000002</v>
      </c>
      <c r="C1037" s="88">
        <v>10990</v>
      </c>
      <c r="D1037" s="85">
        <v>52.963000000000001</v>
      </c>
      <c r="E1037" s="86">
        <v>10980</v>
      </c>
      <c r="F1037" s="85">
        <v>158.214</v>
      </c>
      <c r="G1037" s="87">
        <v>10980</v>
      </c>
      <c r="H1037" s="85">
        <v>158.32400000000001</v>
      </c>
      <c r="I1037" s="87">
        <v>10980</v>
      </c>
      <c r="J1037" s="85">
        <v>163.30000000000001</v>
      </c>
      <c r="K1037" s="87">
        <v>10980</v>
      </c>
      <c r="L1037" s="85">
        <v>162.08099999999999</v>
      </c>
      <c r="M1037" s="87">
        <v>10980</v>
      </c>
      <c r="N1037" s="85">
        <v>163.06700000000001</v>
      </c>
      <c r="O1037" s="87">
        <v>10960</v>
      </c>
      <c r="P1037" s="85">
        <v>164.06800000000001</v>
      </c>
      <c r="Q1037" s="87">
        <v>10980</v>
      </c>
      <c r="R1037" s="85">
        <v>163.78800000000001</v>
      </c>
      <c r="S1037" s="87">
        <v>10980</v>
      </c>
      <c r="T1037" s="85">
        <v>164.374</v>
      </c>
      <c r="U1037" s="87">
        <v>10970</v>
      </c>
      <c r="V1037" s="85">
        <v>164.452</v>
      </c>
      <c r="W1037" s="87">
        <v>10980</v>
      </c>
      <c r="X1037" s="85">
        <v>163.68600000000001</v>
      </c>
      <c r="Y1037" s="87">
        <v>10980</v>
      </c>
      <c r="Z1037" s="85">
        <v>162.16300000000001</v>
      </c>
      <c r="AA1037" s="87">
        <v>10980</v>
      </c>
      <c r="AB1037" s="85">
        <v>162.67099999999999</v>
      </c>
      <c r="AC1037" s="87">
        <v>10970</v>
      </c>
      <c r="AD1037" s="85">
        <v>115.569</v>
      </c>
      <c r="AE1037" s="87">
        <v>10980</v>
      </c>
      <c r="AF1037" s="85">
        <v>117.083</v>
      </c>
      <c r="AG1037" s="87">
        <v>10960</v>
      </c>
      <c r="AH1037" s="85">
        <v>24.263999999999999</v>
      </c>
      <c r="AI1037" s="87">
        <v>10960</v>
      </c>
      <c r="AJ1037" s="85">
        <v>26.172000000000001</v>
      </c>
    </row>
    <row r="1038" spans="1:36" ht="14.25" customHeight="1">
      <c r="A1038" s="88">
        <v>10990</v>
      </c>
      <c r="B1038" s="85">
        <v>53.204000000000001</v>
      </c>
      <c r="C1038" s="88">
        <v>11000</v>
      </c>
      <c r="D1038" s="85">
        <v>52.488999999999997</v>
      </c>
      <c r="E1038" s="86">
        <v>10990</v>
      </c>
      <c r="F1038" s="85">
        <v>156.93199999999999</v>
      </c>
      <c r="G1038" s="87">
        <v>10990</v>
      </c>
      <c r="H1038" s="85">
        <v>157.04300000000001</v>
      </c>
      <c r="I1038" s="87">
        <v>10990</v>
      </c>
      <c r="J1038" s="85">
        <v>162.089</v>
      </c>
      <c r="K1038" s="87">
        <v>10990</v>
      </c>
      <c r="L1038" s="85">
        <v>160.86799999999999</v>
      </c>
      <c r="M1038" s="87">
        <v>10990</v>
      </c>
      <c r="N1038" s="85">
        <v>161.85599999999999</v>
      </c>
      <c r="O1038" s="87">
        <v>10970</v>
      </c>
      <c r="P1038" s="85">
        <v>162.857</v>
      </c>
      <c r="Q1038" s="87">
        <v>10990</v>
      </c>
      <c r="R1038" s="85">
        <v>162.577</v>
      </c>
      <c r="S1038" s="87">
        <v>10990</v>
      </c>
      <c r="T1038" s="85">
        <v>163.16200000000001</v>
      </c>
      <c r="U1038" s="87">
        <v>10980</v>
      </c>
      <c r="V1038" s="85">
        <v>163.24199999999999</v>
      </c>
      <c r="W1038" s="87">
        <v>10990</v>
      </c>
      <c r="X1038" s="85">
        <v>162.47499999999999</v>
      </c>
      <c r="Y1038" s="87">
        <v>10990</v>
      </c>
      <c r="Z1038" s="85">
        <v>160.952</v>
      </c>
      <c r="AA1038" s="87">
        <v>10990</v>
      </c>
      <c r="AB1038" s="85">
        <v>161.46100000000001</v>
      </c>
      <c r="AC1038" s="87">
        <v>10980</v>
      </c>
      <c r="AD1038" s="85">
        <v>114.60899999999999</v>
      </c>
      <c r="AE1038" s="87">
        <v>10990</v>
      </c>
      <c r="AF1038" s="85">
        <v>116.093</v>
      </c>
      <c r="AG1038" s="87">
        <v>10970</v>
      </c>
      <c r="AH1038" s="85">
        <v>24.056999999999999</v>
      </c>
      <c r="AI1038" s="87">
        <v>10970</v>
      </c>
      <c r="AJ1038" s="85">
        <v>25.952000000000002</v>
      </c>
    </row>
    <row r="1039" spans="1:36" ht="14.25" customHeight="1">
      <c r="A1039" s="88">
        <v>11000</v>
      </c>
      <c r="B1039" s="85">
        <v>52.725999999999999</v>
      </c>
      <c r="C1039" s="88">
        <v>11010</v>
      </c>
      <c r="D1039" s="85">
        <v>52.015999999999998</v>
      </c>
      <c r="E1039" s="86">
        <v>11000</v>
      </c>
      <c r="F1039" s="85">
        <v>155.65100000000001</v>
      </c>
      <c r="G1039" s="87">
        <v>11000</v>
      </c>
      <c r="H1039" s="85">
        <v>155.76300000000001</v>
      </c>
      <c r="I1039" s="87">
        <v>11000</v>
      </c>
      <c r="J1039" s="85">
        <v>160.87799999999999</v>
      </c>
      <c r="K1039" s="87">
        <v>11000</v>
      </c>
      <c r="L1039" s="85">
        <v>159.655</v>
      </c>
      <c r="M1039" s="87">
        <v>11000</v>
      </c>
      <c r="N1039" s="85">
        <v>160.64500000000001</v>
      </c>
      <c r="O1039" s="87">
        <v>10980</v>
      </c>
      <c r="P1039" s="85">
        <v>161.64500000000001</v>
      </c>
      <c r="Q1039" s="87">
        <v>11000</v>
      </c>
      <c r="R1039" s="85">
        <v>161.36600000000001</v>
      </c>
      <c r="S1039" s="87">
        <v>11000</v>
      </c>
      <c r="T1039" s="85">
        <v>161.94999999999999</v>
      </c>
      <c r="U1039" s="87">
        <v>10990</v>
      </c>
      <c r="V1039" s="85">
        <v>162.03100000000001</v>
      </c>
      <c r="W1039" s="87">
        <v>11000</v>
      </c>
      <c r="X1039" s="85">
        <v>161.26300000000001</v>
      </c>
      <c r="Y1039" s="87">
        <v>11000</v>
      </c>
      <c r="Z1039" s="85">
        <v>159.74199999999999</v>
      </c>
      <c r="AA1039" s="87">
        <v>11000</v>
      </c>
      <c r="AB1039" s="85">
        <v>160.251</v>
      </c>
      <c r="AC1039" s="87">
        <v>10990</v>
      </c>
      <c r="AD1039" s="85">
        <v>113.65</v>
      </c>
      <c r="AE1039" s="87">
        <v>11000</v>
      </c>
      <c r="AF1039" s="85">
        <v>115.10299999999999</v>
      </c>
      <c r="AG1039" s="87">
        <v>10980</v>
      </c>
      <c r="AH1039" s="85">
        <v>23.852</v>
      </c>
      <c r="AI1039" s="87">
        <v>10980</v>
      </c>
      <c r="AJ1039" s="85">
        <v>25.731999999999999</v>
      </c>
    </row>
    <row r="1040" spans="1:36" ht="14.25" customHeight="1">
      <c r="A1040" s="88">
        <v>11010</v>
      </c>
      <c r="B1040" s="85">
        <v>52.25</v>
      </c>
      <c r="C1040" s="88">
        <v>11020</v>
      </c>
      <c r="D1040" s="85">
        <v>51.545000000000002</v>
      </c>
      <c r="E1040" s="86">
        <v>11010</v>
      </c>
      <c r="F1040" s="85">
        <v>154.37200000000001</v>
      </c>
      <c r="G1040" s="87">
        <v>11010</v>
      </c>
      <c r="H1040" s="85">
        <v>154.48500000000001</v>
      </c>
      <c r="I1040" s="87">
        <v>11010</v>
      </c>
      <c r="J1040" s="85">
        <v>159.667</v>
      </c>
      <c r="K1040" s="87">
        <v>11010</v>
      </c>
      <c r="L1040" s="85">
        <v>158.441</v>
      </c>
      <c r="M1040" s="87">
        <v>11010</v>
      </c>
      <c r="N1040" s="85">
        <v>159.43299999999999</v>
      </c>
      <c r="O1040" s="87">
        <v>10990</v>
      </c>
      <c r="P1040" s="85">
        <v>160.434</v>
      </c>
      <c r="Q1040" s="87">
        <v>11010</v>
      </c>
      <c r="R1040" s="85">
        <v>160.154</v>
      </c>
      <c r="S1040" s="87">
        <v>11010</v>
      </c>
      <c r="T1040" s="85">
        <v>160.738</v>
      </c>
      <c r="U1040" s="87">
        <v>11000</v>
      </c>
      <c r="V1040" s="85">
        <v>160.82</v>
      </c>
      <c r="W1040" s="87">
        <v>11010</v>
      </c>
      <c r="X1040" s="85">
        <v>160.05199999999999</v>
      </c>
      <c r="Y1040" s="87">
        <v>11010</v>
      </c>
      <c r="Z1040" s="85">
        <v>158.53100000000001</v>
      </c>
      <c r="AA1040" s="87">
        <v>11010</v>
      </c>
      <c r="AB1040" s="85">
        <v>159.041</v>
      </c>
      <c r="AC1040" s="87">
        <v>11000</v>
      </c>
      <c r="AD1040" s="85">
        <v>112.69199999999999</v>
      </c>
      <c r="AE1040" s="87">
        <v>11010</v>
      </c>
      <c r="AF1040" s="85">
        <v>114.121</v>
      </c>
      <c r="AG1040" s="87">
        <v>10990</v>
      </c>
      <c r="AH1040" s="85">
        <v>23.646000000000001</v>
      </c>
      <c r="AI1040" s="87">
        <v>10990</v>
      </c>
      <c r="AJ1040" s="85">
        <v>25.513000000000002</v>
      </c>
    </row>
    <row r="1041" spans="1:36" ht="14.25" customHeight="1">
      <c r="A1041" s="88">
        <v>11020</v>
      </c>
      <c r="B1041" s="85">
        <v>51.776000000000003</v>
      </c>
      <c r="C1041" s="88">
        <v>11030</v>
      </c>
      <c r="D1041" s="85">
        <v>51.073999999999998</v>
      </c>
      <c r="E1041" s="86">
        <v>11020</v>
      </c>
      <c r="F1041" s="85">
        <v>153.09399999999999</v>
      </c>
      <c r="G1041" s="87">
        <v>11020</v>
      </c>
      <c r="H1041" s="85">
        <v>153.209</v>
      </c>
      <c r="I1041" s="87">
        <v>11020</v>
      </c>
      <c r="J1041" s="85">
        <v>158.45599999999999</v>
      </c>
      <c r="K1041" s="87">
        <v>11020</v>
      </c>
      <c r="L1041" s="85">
        <v>157.22800000000001</v>
      </c>
      <c r="M1041" s="87">
        <v>11020</v>
      </c>
      <c r="N1041" s="85">
        <v>158.22200000000001</v>
      </c>
      <c r="O1041" s="87">
        <v>11000</v>
      </c>
      <c r="P1041" s="85">
        <v>159.22200000000001</v>
      </c>
      <c r="Q1041" s="87">
        <v>11020</v>
      </c>
      <c r="R1041" s="85">
        <v>158.94300000000001</v>
      </c>
      <c r="S1041" s="87">
        <v>11020</v>
      </c>
      <c r="T1041" s="85">
        <v>159.52600000000001</v>
      </c>
      <c r="U1041" s="87">
        <v>11010</v>
      </c>
      <c r="V1041" s="85">
        <v>159.61000000000001</v>
      </c>
      <c r="W1041" s="87">
        <v>11020</v>
      </c>
      <c r="X1041" s="85">
        <v>158.84100000000001</v>
      </c>
      <c r="Y1041" s="87">
        <v>11020</v>
      </c>
      <c r="Z1041" s="85">
        <v>157.321</v>
      </c>
      <c r="AA1041" s="87">
        <v>11020</v>
      </c>
      <c r="AB1041" s="85">
        <v>157.83099999999999</v>
      </c>
      <c r="AC1041" s="87">
        <v>11010</v>
      </c>
      <c r="AD1041" s="85">
        <v>111.736</v>
      </c>
      <c r="AE1041" s="87">
        <v>11020</v>
      </c>
      <c r="AF1041" s="85">
        <v>113.164</v>
      </c>
      <c r="AG1041" s="87">
        <v>11000</v>
      </c>
      <c r="AH1041" s="85">
        <v>23.440999999999999</v>
      </c>
      <c r="AI1041" s="87">
        <v>11000</v>
      </c>
      <c r="AJ1041" s="85">
        <v>25.294</v>
      </c>
    </row>
    <row r="1042" spans="1:36" ht="14.25" customHeight="1">
      <c r="A1042" s="88">
        <v>11030</v>
      </c>
      <c r="B1042" s="85">
        <v>51.302</v>
      </c>
      <c r="C1042" s="88">
        <v>11040</v>
      </c>
      <c r="D1042" s="85">
        <v>50.603999999999999</v>
      </c>
      <c r="E1042" s="86">
        <v>11030</v>
      </c>
      <c r="F1042" s="85">
        <v>151.81800000000001</v>
      </c>
      <c r="G1042" s="87">
        <v>11030</v>
      </c>
      <c r="H1042" s="85">
        <v>151.934</v>
      </c>
      <c r="I1042" s="87">
        <v>11030</v>
      </c>
      <c r="J1042" s="85">
        <v>157.245</v>
      </c>
      <c r="K1042" s="87">
        <v>11030</v>
      </c>
      <c r="L1042" s="85">
        <v>156.01499999999999</v>
      </c>
      <c r="M1042" s="87">
        <v>11030</v>
      </c>
      <c r="N1042" s="85">
        <v>157.011</v>
      </c>
      <c r="O1042" s="87">
        <v>11010</v>
      </c>
      <c r="P1042" s="85">
        <v>158.01</v>
      </c>
      <c r="Q1042" s="87">
        <v>11030</v>
      </c>
      <c r="R1042" s="85">
        <v>157.732</v>
      </c>
      <c r="S1042" s="87">
        <v>11030</v>
      </c>
      <c r="T1042" s="85">
        <v>158.31399999999999</v>
      </c>
      <c r="U1042" s="87">
        <v>11020</v>
      </c>
      <c r="V1042" s="85">
        <v>158.399</v>
      </c>
      <c r="W1042" s="87">
        <v>11030</v>
      </c>
      <c r="X1042" s="85">
        <v>157.63</v>
      </c>
      <c r="Y1042" s="87">
        <v>11030</v>
      </c>
      <c r="Z1042" s="85">
        <v>156.11000000000001</v>
      </c>
      <c r="AA1042" s="87">
        <v>11030</v>
      </c>
      <c r="AB1042" s="85">
        <v>156.62100000000001</v>
      </c>
      <c r="AC1042" s="87">
        <v>11020</v>
      </c>
      <c r="AD1042" s="85">
        <v>110.78100000000001</v>
      </c>
      <c r="AE1042" s="87">
        <v>11030</v>
      </c>
      <c r="AF1042" s="85">
        <v>112.20699999999999</v>
      </c>
      <c r="AG1042" s="87">
        <v>11010</v>
      </c>
      <c r="AH1042" s="85">
        <v>23.236999999999998</v>
      </c>
      <c r="AI1042" s="87">
        <v>11010</v>
      </c>
      <c r="AJ1042" s="85">
        <v>25.074999999999999</v>
      </c>
    </row>
    <row r="1043" spans="1:36" ht="14.25" customHeight="1">
      <c r="A1043" s="88">
        <v>11040</v>
      </c>
      <c r="B1043" s="85">
        <v>50.829000000000001</v>
      </c>
      <c r="C1043" s="88">
        <v>11050</v>
      </c>
      <c r="D1043" s="85">
        <v>50.136000000000003</v>
      </c>
      <c r="E1043" s="86">
        <v>11040</v>
      </c>
      <c r="F1043" s="85">
        <v>150.54400000000001</v>
      </c>
      <c r="G1043" s="87">
        <v>11040</v>
      </c>
      <c r="H1043" s="85">
        <v>150.661</v>
      </c>
      <c r="I1043" s="87">
        <v>11040</v>
      </c>
      <c r="J1043" s="85">
        <v>156.03399999999999</v>
      </c>
      <c r="K1043" s="87">
        <v>11040</v>
      </c>
      <c r="L1043" s="85">
        <v>154.80199999999999</v>
      </c>
      <c r="M1043" s="87">
        <v>11040</v>
      </c>
      <c r="N1043" s="85">
        <v>155.79900000000001</v>
      </c>
      <c r="O1043" s="87">
        <v>11020</v>
      </c>
      <c r="P1043" s="85">
        <v>156.79900000000001</v>
      </c>
      <c r="Q1043" s="87">
        <v>11040</v>
      </c>
      <c r="R1043" s="85">
        <v>156.52000000000001</v>
      </c>
      <c r="S1043" s="87">
        <v>11040</v>
      </c>
      <c r="T1043" s="85">
        <v>157.10300000000001</v>
      </c>
      <c r="U1043" s="87">
        <v>11030</v>
      </c>
      <c r="V1043" s="85">
        <v>157.18899999999999</v>
      </c>
      <c r="W1043" s="87">
        <v>11040</v>
      </c>
      <c r="X1043" s="85">
        <v>156.41800000000001</v>
      </c>
      <c r="Y1043" s="87">
        <v>11040</v>
      </c>
      <c r="Z1043" s="85">
        <v>154.899</v>
      </c>
      <c r="AA1043" s="87">
        <v>11040</v>
      </c>
      <c r="AB1043" s="85">
        <v>155.411</v>
      </c>
      <c r="AC1043" s="87">
        <v>11030</v>
      </c>
      <c r="AD1043" s="85">
        <v>109.828</v>
      </c>
      <c r="AE1043" s="87">
        <v>11040</v>
      </c>
      <c r="AF1043" s="85">
        <v>111.252</v>
      </c>
      <c r="AG1043" s="87">
        <v>11020</v>
      </c>
      <c r="AH1043" s="85">
        <v>23.033000000000001</v>
      </c>
      <c r="AI1043" s="87">
        <v>11020</v>
      </c>
      <c r="AJ1043" s="85">
        <v>24.856999999999999</v>
      </c>
    </row>
    <row r="1044" spans="1:36" ht="14.25" customHeight="1">
      <c r="A1044" s="88">
        <v>11050</v>
      </c>
      <c r="B1044" s="85">
        <v>50.357999999999997</v>
      </c>
      <c r="C1044" s="88">
        <v>11060</v>
      </c>
      <c r="D1044" s="85">
        <v>49.668999999999997</v>
      </c>
      <c r="E1044" s="86">
        <v>11050</v>
      </c>
      <c r="F1044" s="85">
        <v>149.27199999999999</v>
      </c>
      <c r="G1044" s="87">
        <v>11050</v>
      </c>
      <c r="H1044" s="85">
        <v>149.38999999999999</v>
      </c>
      <c r="I1044" s="87">
        <v>11050</v>
      </c>
      <c r="J1044" s="85">
        <v>154.82300000000001</v>
      </c>
      <c r="K1044" s="87">
        <v>11050</v>
      </c>
      <c r="L1044" s="85">
        <v>153.58799999999999</v>
      </c>
      <c r="M1044" s="87">
        <v>11050</v>
      </c>
      <c r="N1044" s="85">
        <v>154.58799999999999</v>
      </c>
      <c r="O1044" s="87">
        <v>11030</v>
      </c>
      <c r="P1044" s="85">
        <v>155.58699999999999</v>
      </c>
      <c r="Q1044" s="87">
        <v>11050</v>
      </c>
      <c r="R1044" s="85">
        <v>155.309</v>
      </c>
      <c r="S1044" s="87">
        <v>11050</v>
      </c>
      <c r="T1044" s="85">
        <v>155.89099999999999</v>
      </c>
      <c r="U1044" s="87">
        <v>11040</v>
      </c>
      <c r="V1044" s="85">
        <v>155.97800000000001</v>
      </c>
      <c r="W1044" s="87">
        <v>11050</v>
      </c>
      <c r="X1044" s="85">
        <v>155.20699999999999</v>
      </c>
      <c r="Y1044" s="87">
        <v>11050</v>
      </c>
      <c r="Z1044" s="85">
        <v>153.68899999999999</v>
      </c>
      <c r="AA1044" s="87">
        <v>11050</v>
      </c>
      <c r="AB1044" s="85">
        <v>154.20099999999999</v>
      </c>
      <c r="AC1044" s="87">
        <v>11040</v>
      </c>
      <c r="AD1044" s="85">
        <v>108.876</v>
      </c>
      <c r="AE1044" s="87">
        <v>11050</v>
      </c>
      <c r="AF1044" s="85">
        <v>110.29900000000001</v>
      </c>
      <c r="AG1044" s="87">
        <v>11030</v>
      </c>
      <c r="AH1044" s="85">
        <v>22.829000000000001</v>
      </c>
      <c r="AI1044" s="87">
        <v>11030</v>
      </c>
      <c r="AJ1044" s="85">
        <v>24.638999999999999</v>
      </c>
    </row>
    <row r="1045" spans="1:36" ht="14.25" customHeight="1">
      <c r="A1045" s="88">
        <v>11060</v>
      </c>
      <c r="B1045" s="85">
        <v>49.887999999999998</v>
      </c>
      <c r="C1045" s="88">
        <v>11070</v>
      </c>
      <c r="D1045" s="85">
        <v>49.203000000000003</v>
      </c>
      <c r="E1045" s="86">
        <v>11060</v>
      </c>
      <c r="F1045" s="85">
        <v>148.001</v>
      </c>
      <c r="G1045" s="87">
        <v>11060</v>
      </c>
      <c r="H1045" s="85">
        <v>148.12</v>
      </c>
      <c r="I1045" s="87">
        <v>11060</v>
      </c>
      <c r="J1045" s="85">
        <v>153.61199999999999</v>
      </c>
      <c r="K1045" s="87">
        <v>11060</v>
      </c>
      <c r="L1045" s="85">
        <v>152.375</v>
      </c>
      <c r="M1045" s="87">
        <v>11060</v>
      </c>
      <c r="N1045" s="85">
        <v>153.37700000000001</v>
      </c>
      <c r="O1045" s="87">
        <v>11040</v>
      </c>
      <c r="P1045" s="85">
        <v>154.376</v>
      </c>
      <c r="Q1045" s="87">
        <v>11060</v>
      </c>
      <c r="R1045" s="85">
        <v>154.09800000000001</v>
      </c>
      <c r="S1045" s="87">
        <v>11060</v>
      </c>
      <c r="T1045" s="85">
        <v>154.679</v>
      </c>
      <c r="U1045" s="87">
        <v>11050</v>
      </c>
      <c r="V1045" s="85">
        <v>154.767</v>
      </c>
      <c r="W1045" s="87">
        <v>11060</v>
      </c>
      <c r="X1045" s="85">
        <v>153.99600000000001</v>
      </c>
      <c r="Y1045" s="87">
        <v>11060</v>
      </c>
      <c r="Z1045" s="85">
        <v>152.47800000000001</v>
      </c>
      <c r="AA1045" s="87">
        <v>11060</v>
      </c>
      <c r="AB1045" s="85">
        <v>152.99100000000001</v>
      </c>
      <c r="AC1045" s="87">
        <v>11050</v>
      </c>
      <c r="AD1045" s="85">
        <v>107.926</v>
      </c>
      <c r="AE1045" s="87">
        <v>11060</v>
      </c>
      <c r="AF1045" s="85">
        <v>109.34699999999999</v>
      </c>
      <c r="AG1045" s="87">
        <v>11040</v>
      </c>
      <c r="AH1045" s="85">
        <v>22.626000000000001</v>
      </c>
      <c r="AI1045" s="87">
        <v>11040</v>
      </c>
      <c r="AJ1045" s="85">
        <v>24.420999999999999</v>
      </c>
    </row>
    <row r="1046" spans="1:36" ht="14.25" customHeight="1">
      <c r="A1046" s="88">
        <v>11070</v>
      </c>
      <c r="B1046" s="85">
        <v>49.418999999999997</v>
      </c>
      <c r="C1046" s="88">
        <v>11080</v>
      </c>
      <c r="D1046" s="85">
        <v>48.738</v>
      </c>
      <c r="E1046" s="86">
        <v>11070</v>
      </c>
      <c r="F1046" s="85">
        <v>146.73099999999999</v>
      </c>
      <c r="G1046" s="87">
        <v>11070</v>
      </c>
      <c r="H1046" s="85">
        <v>146.852</v>
      </c>
      <c r="I1046" s="87">
        <v>11070</v>
      </c>
      <c r="J1046" s="85">
        <v>152.40100000000001</v>
      </c>
      <c r="K1046" s="87">
        <v>11070</v>
      </c>
      <c r="L1046" s="85">
        <v>151.16200000000001</v>
      </c>
      <c r="M1046" s="87">
        <v>11070</v>
      </c>
      <c r="N1046" s="85">
        <v>152.16499999999999</v>
      </c>
      <c r="O1046" s="87">
        <v>11050</v>
      </c>
      <c r="P1046" s="85">
        <v>153.16399999999999</v>
      </c>
      <c r="Q1046" s="87">
        <v>11070</v>
      </c>
      <c r="R1046" s="85">
        <v>152.886</v>
      </c>
      <c r="S1046" s="87">
        <v>11070</v>
      </c>
      <c r="T1046" s="85">
        <v>153.46700000000001</v>
      </c>
      <c r="U1046" s="87">
        <v>11060</v>
      </c>
      <c r="V1046" s="85">
        <v>153.55699999999999</v>
      </c>
      <c r="W1046" s="87">
        <v>11070</v>
      </c>
      <c r="X1046" s="85">
        <v>152.785</v>
      </c>
      <c r="Y1046" s="87">
        <v>11070</v>
      </c>
      <c r="Z1046" s="85">
        <v>151.268</v>
      </c>
      <c r="AA1046" s="87">
        <v>11070</v>
      </c>
      <c r="AB1046" s="85">
        <v>151.78100000000001</v>
      </c>
      <c r="AC1046" s="87">
        <v>11060</v>
      </c>
      <c r="AD1046" s="85">
        <v>106.977</v>
      </c>
      <c r="AE1046" s="87">
        <v>11070</v>
      </c>
      <c r="AF1046" s="85">
        <v>108.396</v>
      </c>
      <c r="AG1046" s="87">
        <v>11050</v>
      </c>
      <c r="AH1046" s="85">
        <v>22.422999999999998</v>
      </c>
      <c r="AI1046" s="87">
        <v>11050</v>
      </c>
      <c r="AJ1046" s="85">
        <v>24.204000000000001</v>
      </c>
    </row>
    <row r="1047" spans="1:36" ht="14.25" customHeight="1">
      <c r="A1047" s="88">
        <v>11080</v>
      </c>
      <c r="B1047" s="85">
        <v>48.951000000000001</v>
      </c>
      <c r="C1047" s="88">
        <v>11090</v>
      </c>
      <c r="D1047" s="85">
        <v>48.274000000000001</v>
      </c>
      <c r="E1047" s="86">
        <v>11080</v>
      </c>
      <c r="F1047" s="85">
        <v>145.464</v>
      </c>
      <c r="G1047" s="87">
        <v>11080</v>
      </c>
      <c r="H1047" s="85">
        <v>145.58600000000001</v>
      </c>
      <c r="I1047" s="87">
        <v>11080</v>
      </c>
      <c r="J1047" s="85">
        <v>151.19</v>
      </c>
      <c r="K1047" s="87">
        <v>11080</v>
      </c>
      <c r="L1047" s="85">
        <v>149.94800000000001</v>
      </c>
      <c r="M1047" s="87">
        <v>11080</v>
      </c>
      <c r="N1047" s="85">
        <v>150.95400000000001</v>
      </c>
      <c r="O1047" s="87">
        <v>11060</v>
      </c>
      <c r="P1047" s="85">
        <v>151.953</v>
      </c>
      <c r="Q1047" s="87">
        <v>11080</v>
      </c>
      <c r="R1047" s="85">
        <v>151.67500000000001</v>
      </c>
      <c r="S1047" s="87">
        <v>11080</v>
      </c>
      <c r="T1047" s="85">
        <v>152.255</v>
      </c>
      <c r="U1047" s="87">
        <v>11070</v>
      </c>
      <c r="V1047" s="85">
        <v>152.346</v>
      </c>
      <c r="W1047" s="87">
        <v>11080</v>
      </c>
      <c r="X1047" s="85">
        <v>151.57400000000001</v>
      </c>
      <c r="Y1047" s="87">
        <v>11080</v>
      </c>
      <c r="Z1047" s="85">
        <v>150.05699999999999</v>
      </c>
      <c r="AA1047" s="87">
        <v>11080</v>
      </c>
      <c r="AB1047" s="85">
        <v>150.571</v>
      </c>
      <c r="AC1047" s="87">
        <v>11070</v>
      </c>
      <c r="AD1047" s="85">
        <v>106.03</v>
      </c>
      <c r="AE1047" s="87">
        <v>11080</v>
      </c>
      <c r="AF1047" s="85">
        <v>107.447</v>
      </c>
      <c r="AG1047" s="87">
        <v>11060</v>
      </c>
      <c r="AH1047" s="85">
        <v>22.221</v>
      </c>
      <c r="AI1047" s="87">
        <v>11060</v>
      </c>
      <c r="AJ1047" s="85">
        <v>23.988</v>
      </c>
    </row>
    <row r="1048" spans="1:36" ht="14.25" customHeight="1">
      <c r="A1048" s="88">
        <v>11090</v>
      </c>
      <c r="B1048" s="85">
        <v>48.484000000000002</v>
      </c>
      <c r="C1048" s="88">
        <v>11100</v>
      </c>
      <c r="D1048" s="85">
        <v>47.811999999999998</v>
      </c>
      <c r="E1048" s="86">
        <v>11090</v>
      </c>
      <c r="F1048" s="85">
        <v>144.19800000000001</v>
      </c>
      <c r="G1048" s="87">
        <v>11090</v>
      </c>
      <c r="H1048" s="85">
        <v>144.321</v>
      </c>
      <c r="I1048" s="87">
        <v>11090</v>
      </c>
      <c r="J1048" s="85">
        <v>149.97999999999999</v>
      </c>
      <c r="K1048" s="87">
        <v>11090</v>
      </c>
      <c r="L1048" s="85">
        <v>148.73500000000001</v>
      </c>
      <c r="M1048" s="87">
        <v>11090</v>
      </c>
      <c r="N1048" s="85">
        <v>149.74299999999999</v>
      </c>
      <c r="O1048" s="87">
        <v>11070</v>
      </c>
      <c r="P1048" s="85">
        <v>150.74100000000001</v>
      </c>
      <c r="Q1048" s="87">
        <v>11090</v>
      </c>
      <c r="R1048" s="85">
        <v>150.464</v>
      </c>
      <c r="S1048" s="87">
        <v>11090</v>
      </c>
      <c r="T1048" s="85">
        <v>151.04300000000001</v>
      </c>
      <c r="U1048" s="87">
        <v>11080</v>
      </c>
      <c r="V1048" s="85">
        <v>151.136</v>
      </c>
      <c r="W1048" s="87">
        <v>11090</v>
      </c>
      <c r="X1048" s="85">
        <v>150.36199999999999</v>
      </c>
      <c r="Y1048" s="87">
        <v>11090</v>
      </c>
      <c r="Z1048" s="85">
        <v>148.84700000000001</v>
      </c>
      <c r="AA1048" s="87">
        <v>11090</v>
      </c>
      <c r="AB1048" s="85">
        <v>149.36099999999999</v>
      </c>
      <c r="AC1048" s="87">
        <v>11080</v>
      </c>
      <c r="AD1048" s="85">
        <v>105.084</v>
      </c>
      <c r="AE1048" s="87">
        <v>11090</v>
      </c>
      <c r="AF1048" s="85">
        <v>106.5</v>
      </c>
      <c r="AG1048" s="87">
        <v>11070</v>
      </c>
      <c r="AH1048" s="85">
        <v>22.018999999999998</v>
      </c>
      <c r="AI1048" s="87">
        <v>11070</v>
      </c>
      <c r="AJ1048" s="85">
        <v>23.771000000000001</v>
      </c>
    </row>
    <row r="1049" spans="1:36" ht="14.25" customHeight="1">
      <c r="A1049" s="88">
        <v>11100</v>
      </c>
      <c r="B1049" s="85">
        <v>48.018999999999998</v>
      </c>
      <c r="C1049" s="88">
        <v>11110</v>
      </c>
      <c r="D1049" s="85">
        <v>47.35</v>
      </c>
      <c r="E1049" s="86">
        <v>11100</v>
      </c>
      <c r="F1049" s="85">
        <v>142.934</v>
      </c>
      <c r="G1049" s="87">
        <v>11100</v>
      </c>
      <c r="H1049" s="85">
        <v>143.05799999999999</v>
      </c>
      <c r="I1049" s="87">
        <v>11100</v>
      </c>
      <c r="J1049" s="85">
        <v>148.76900000000001</v>
      </c>
      <c r="K1049" s="87">
        <v>11100</v>
      </c>
      <c r="L1049" s="85">
        <v>147.52199999999999</v>
      </c>
      <c r="M1049" s="87">
        <v>11100</v>
      </c>
      <c r="N1049" s="85">
        <v>148.53100000000001</v>
      </c>
      <c r="O1049" s="87">
        <v>11080</v>
      </c>
      <c r="P1049" s="85">
        <v>149.529</v>
      </c>
      <c r="Q1049" s="87">
        <v>11100</v>
      </c>
      <c r="R1049" s="85">
        <v>149.25299999999999</v>
      </c>
      <c r="S1049" s="87">
        <v>11100</v>
      </c>
      <c r="T1049" s="85">
        <v>149.83099999999999</v>
      </c>
      <c r="U1049" s="87">
        <v>11090</v>
      </c>
      <c r="V1049" s="85">
        <v>149.92500000000001</v>
      </c>
      <c r="W1049" s="87">
        <v>11100</v>
      </c>
      <c r="X1049" s="85">
        <v>149.15100000000001</v>
      </c>
      <c r="Y1049" s="87">
        <v>11100</v>
      </c>
      <c r="Z1049" s="85">
        <v>147.636</v>
      </c>
      <c r="AA1049" s="87">
        <v>11100</v>
      </c>
      <c r="AB1049" s="85">
        <v>148.15</v>
      </c>
      <c r="AC1049" s="87">
        <v>11090</v>
      </c>
      <c r="AD1049" s="85">
        <v>104.14</v>
      </c>
      <c r="AE1049" s="87">
        <v>11100</v>
      </c>
      <c r="AF1049" s="85">
        <v>105.554</v>
      </c>
      <c r="AG1049" s="87">
        <v>11080</v>
      </c>
      <c r="AH1049" s="85">
        <v>21.817</v>
      </c>
      <c r="AI1049" s="87">
        <v>11080</v>
      </c>
      <c r="AJ1049" s="85">
        <v>23.555</v>
      </c>
    </row>
    <row r="1050" spans="1:36" ht="14.25" customHeight="1">
      <c r="A1050" s="88">
        <v>11110</v>
      </c>
      <c r="B1050" s="85">
        <v>47.554000000000002</v>
      </c>
      <c r="C1050" s="88">
        <v>11120</v>
      </c>
      <c r="D1050" s="85">
        <v>46.89</v>
      </c>
      <c r="E1050" s="86">
        <v>11110</v>
      </c>
      <c r="F1050" s="85">
        <v>141.67099999999999</v>
      </c>
      <c r="G1050" s="87">
        <v>11110</v>
      </c>
      <c r="H1050" s="85">
        <v>141.797</v>
      </c>
      <c r="I1050" s="87">
        <v>11110</v>
      </c>
      <c r="J1050" s="85">
        <v>147.55799999999999</v>
      </c>
      <c r="K1050" s="87">
        <v>11110</v>
      </c>
      <c r="L1050" s="85">
        <v>146.309</v>
      </c>
      <c r="M1050" s="87">
        <v>11110</v>
      </c>
      <c r="N1050" s="85">
        <v>147.32</v>
      </c>
      <c r="O1050" s="87">
        <v>11090</v>
      </c>
      <c r="P1050" s="85">
        <v>148.31800000000001</v>
      </c>
      <c r="Q1050" s="87">
        <v>11110</v>
      </c>
      <c r="R1050" s="85">
        <v>148.041</v>
      </c>
      <c r="S1050" s="87">
        <v>11110</v>
      </c>
      <c r="T1050" s="85">
        <v>148.619</v>
      </c>
      <c r="U1050" s="87">
        <v>11100</v>
      </c>
      <c r="V1050" s="85">
        <v>148.714</v>
      </c>
      <c r="W1050" s="87">
        <v>11110</v>
      </c>
      <c r="X1050" s="85">
        <v>147.94</v>
      </c>
      <c r="Y1050" s="87">
        <v>11110</v>
      </c>
      <c r="Z1050" s="85">
        <v>146.42599999999999</v>
      </c>
      <c r="AA1050" s="87">
        <v>11110</v>
      </c>
      <c r="AB1050" s="85">
        <v>146.94</v>
      </c>
      <c r="AC1050" s="87">
        <v>11100</v>
      </c>
      <c r="AD1050" s="85">
        <v>103.197</v>
      </c>
      <c r="AE1050" s="87">
        <v>11110</v>
      </c>
      <c r="AF1050" s="85">
        <v>104.61</v>
      </c>
      <c r="AG1050" s="87">
        <v>11090</v>
      </c>
      <c r="AH1050" s="85">
        <v>21.616</v>
      </c>
      <c r="AI1050" s="87">
        <v>11090</v>
      </c>
      <c r="AJ1050" s="85">
        <v>23.34</v>
      </c>
    </row>
    <row r="1051" spans="1:36" ht="14.25" customHeight="1">
      <c r="A1051" s="88">
        <v>11120</v>
      </c>
      <c r="B1051" s="85">
        <v>47.091000000000001</v>
      </c>
      <c r="C1051" s="88">
        <v>11130</v>
      </c>
      <c r="D1051" s="85">
        <v>46.430999999999997</v>
      </c>
      <c r="E1051" s="86">
        <v>11120</v>
      </c>
      <c r="F1051" s="85">
        <v>140.411</v>
      </c>
      <c r="G1051" s="87">
        <v>11120</v>
      </c>
      <c r="H1051" s="85">
        <v>140.53700000000001</v>
      </c>
      <c r="I1051" s="87">
        <v>11120</v>
      </c>
      <c r="J1051" s="85">
        <v>146.34700000000001</v>
      </c>
      <c r="K1051" s="87">
        <v>11120</v>
      </c>
      <c r="L1051" s="85">
        <v>145.095</v>
      </c>
      <c r="M1051" s="87">
        <v>11120</v>
      </c>
      <c r="N1051" s="85">
        <v>146.10900000000001</v>
      </c>
      <c r="O1051" s="87">
        <v>11100</v>
      </c>
      <c r="P1051" s="85">
        <v>147.10599999999999</v>
      </c>
      <c r="Q1051" s="87">
        <v>11120</v>
      </c>
      <c r="R1051" s="85">
        <v>146.83000000000001</v>
      </c>
      <c r="S1051" s="87">
        <v>11120</v>
      </c>
      <c r="T1051" s="85">
        <v>147.40700000000001</v>
      </c>
      <c r="U1051" s="87">
        <v>11110</v>
      </c>
      <c r="V1051" s="85">
        <v>147.50399999999999</v>
      </c>
      <c r="W1051" s="87">
        <v>11120</v>
      </c>
      <c r="X1051" s="85">
        <v>146.72900000000001</v>
      </c>
      <c r="Y1051" s="87">
        <v>11120</v>
      </c>
      <c r="Z1051" s="85">
        <v>145.215</v>
      </c>
      <c r="AA1051" s="87">
        <v>11120</v>
      </c>
      <c r="AB1051" s="85">
        <v>145.72999999999999</v>
      </c>
      <c r="AC1051" s="87">
        <v>11110</v>
      </c>
      <c r="AD1051" s="85">
        <v>102.256</v>
      </c>
      <c r="AE1051" s="87">
        <v>11120</v>
      </c>
      <c r="AF1051" s="85">
        <v>103.667</v>
      </c>
      <c r="AG1051" s="87">
        <v>11100</v>
      </c>
      <c r="AH1051" s="85">
        <v>21.414999999999999</v>
      </c>
      <c r="AI1051" s="87">
        <v>11100</v>
      </c>
      <c r="AJ1051" s="85">
        <v>23.125</v>
      </c>
    </row>
    <row r="1052" spans="1:36" ht="14.25" customHeight="1">
      <c r="A1052" s="88">
        <v>11130</v>
      </c>
      <c r="B1052" s="85">
        <v>46.628999999999998</v>
      </c>
      <c r="C1052" s="88">
        <v>11140</v>
      </c>
      <c r="D1052" s="85">
        <v>45.972999999999999</v>
      </c>
      <c r="E1052" s="86">
        <v>11130</v>
      </c>
      <c r="F1052" s="85">
        <v>139.15199999999999</v>
      </c>
      <c r="G1052" s="87">
        <v>11130</v>
      </c>
      <c r="H1052" s="85">
        <v>139.28</v>
      </c>
      <c r="I1052" s="87">
        <v>11130</v>
      </c>
      <c r="J1052" s="85">
        <v>145.136</v>
      </c>
      <c r="K1052" s="87">
        <v>11130</v>
      </c>
      <c r="L1052" s="85">
        <v>143.88200000000001</v>
      </c>
      <c r="M1052" s="87">
        <v>11130</v>
      </c>
      <c r="N1052" s="85">
        <v>144.89699999999999</v>
      </c>
      <c r="O1052" s="87">
        <v>11110</v>
      </c>
      <c r="P1052" s="85">
        <v>145.89500000000001</v>
      </c>
      <c r="Q1052" s="87">
        <v>11130</v>
      </c>
      <c r="R1052" s="85">
        <v>145.619</v>
      </c>
      <c r="S1052" s="87">
        <v>11130</v>
      </c>
      <c r="T1052" s="85">
        <v>146.19499999999999</v>
      </c>
      <c r="U1052" s="87">
        <v>11120</v>
      </c>
      <c r="V1052" s="85">
        <v>146.29300000000001</v>
      </c>
      <c r="W1052" s="87">
        <v>11130</v>
      </c>
      <c r="X1052" s="85">
        <v>145.517</v>
      </c>
      <c r="Y1052" s="87">
        <v>11130</v>
      </c>
      <c r="Z1052" s="85">
        <v>144.005</v>
      </c>
      <c r="AA1052" s="87">
        <v>11130</v>
      </c>
      <c r="AB1052" s="85">
        <v>144.52000000000001</v>
      </c>
      <c r="AC1052" s="87">
        <v>11120</v>
      </c>
      <c r="AD1052" s="85">
        <v>101.316</v>
      </c>
      <c r="AE1052" s="87">
        <v>11130</v>
      </c>
      <c r="AF1052" s="85">
        <v>102.726</v>
      </c>
      <c r="AG1052" s="87">
        <v>11110</v>
      </c>
      <c r="AH1052" s="85">
        <v>21.213999999999999</v>
      </c>
      <c r="AI1052" s="87">
        <v>11110</v>
      </c>
      <c r="AJ1052" s="85">
        <v>22.91</v>
      </c>
    </row>
    <row r="1053" spans="1:36" ht="14.25" customHeight="1">
      <c r="A1053" s="88">
        <v>11140</v>
      </c>
      <c r="B1053" s="85">
        <v>46.167999999999999</v>
      </c>
      <c r="C1053" s="88">
        <v>11150</v>
      </c>
      <c r="D1053" s="85">
        <v>45.515999999999998</v>
      </c>
      <c r="E1053" s="86">
        <v>11140</v>
      </c>
      <c r="F1053" s="85">
        <v>137.89400000000001</v>
      </c>
      <c r="G1053" s="87">
        <v>11140</v>
      </c>
      <c r="H1053" s="85">
        <v>138.023</v>
      </c>
      <c r="I1053" s="87">
        <v>11140</v>
      </c>
      <c r="J1053" s="85">
        <v>143.92500000000001</v>
      </c>
      <c r="K1053" s="87">
        <v>11140</v>
      </c>
      <c r="L1053" s="85">
        <v>142.66900000000001</v>
      </c>
      <c r="M1053" s="87">
        <v>11140</v>
      </c>
      <c r="N1053" s="85">
        <v>143.68600000000001</v>
      </c>
      <c r="O1053" s="87">
        <v>11120</v>
      </c>
      <c r="P1053" s="85">
        <v>144.68299999999999</v>
      </c>
      <c r="Q1053" s="87">
        <v>11140</v>
      </c>
      <c r="R1053" s="85">
        <v>144.40700000000001</v>
      </c>
      <c r="S1053" s="87">
        <v>11140</v>
      </c>
      <c r="T1053" s="85">
        <v>144.983</v>
      </c>
      <c r="U1053" s="87">
        <v>11130</v>
      </c>
      <c r="V1053" s="85">
        <v>145.083</v>
      </c>
      <c r="W1053" s="87">
        <v>11140</v>
      </c>
      <c r="X1053" s="85">
        <v>144.30600000000001</v>
      </c>
      <c r="Y1053" s="87">
        <v>11140</v>
      </c>
      <c r="Z1053" s="85">
        <v>142.79400000000001</v>
      </c>
      <c r="AA1053" s="87">
        <v>11140</v>
      </c>
      <c r="AB1053" s="85">
        <v>143.31</v>
      </c>
      <c r="AC1053" s="87">
        <v>11130</v>
      </c>
      <c r="AD1053" s="85">
        <v>100.378</v>
      </c>
      <c r="AE1053" s="87">
        <v>11140</v>
      </c>
      <c r="AF1053" s="85">
        <v>101.786</v>
      </c>
      <c r="AG1053" s="87">
        <v>11120</v>
      </c>
      <c r="AH1053" s="85">
        <v>21.013999999999999</v>
      </c>
      <c r="AI1053" s="87">
        <v>11120</v>
      </c>
      <c r="AJ1053" s="85">
        <v>22.696000000000002</v>
      </c>
    </row>
    <row r="1054" spans="1:36" ht="14.25" customHeight="1">
      <c r="A1054" s="88">
        <v>11150</v>
      </c>
      <c r="B1054" s="85">
        <v>45.707999999999998</v>
      </c>
      <c r="C1054" s="88">
        <v>11160</v>
      </c>
      <c r="D1054" s="85">
        <v>45.06</v>
      </c>
      <c r="E1054" s="86">
        <v>11150</v>
      </c>
      <c r="F1054" s="85">
        <v>136.63900000000001</v>
      </c>
      <c r="G1054" s="87">
        <v>11150</v>
      </c>
      <c r="H1054" s="85">
        <v>136.76900000000001</v>
      </c>
      <c r="I1054" s="87">
        <v>11150</v>
      </c>
      <c r="J1054" s="85">
        <v>142.714</v>
      </c>
      <c r="K1054" s="87">
        <v>11150</v>
      </c>
      <c r="L1054" s="85">
        <v>141.45500000000001</v>
      </c>
      <c r="M1054" s="87">
        <v>11150</v>
      </c>
      <c r="N1054" s="85">
        <v>142.47499999999999</v>
      </c>
      <c r="O1054" s="87">
        <v>11130</v>
      </c>
      <c r="P1054" s="85">
        <v>143.47200000000001</v>
      </c>
      <c r="Q1054" s="87">
        <v>11150</v>
      </c>
      <c r="R1054" s="85">
        <v>143.196</v>
      </c>
      <c r="S1054" s="87">
        <v>11150</v>
      </c>
      <c r="T1054" s="85">
        <v>143.77099999999999</v>
      </c>
      <c r="U1054" s="87">
        <v>11140</v>
      </c>
      <c r="V1054" s="85">
        <v>143.87200000000001</v>
      </c>
      <c r="W1054" s="87">
        <v>11150</v>
      </c>
      <c r="X1054" s="85">
        <v>143.095</v>
      </c>
      <c r="Y1054" s="87">
        <v>11150</v>
      </c>
      <c r="Z1054" s="85">
        <v>141.583</v>
      </c>
      <c r="AA1054" s="87">
        <v>11150</v>
      </c>
      <c r="AB1054" s="85">
        <v>142.1</v>
      </c>
      <c r="AC1054" s="87">
        <v>11140</v>
      </c>
      <c r="AD1054" s="85">
        <v>99.441999999999993</v>
      </c>
      <c r="AE1054" s="87">
        <v>11150</v>
      </c>
      <c r="AF1054" s="85">
        <v>100.848</v>
      </c>
      <c r="AG1054" s="87">
        <v>11130</v>
      </c>
      <c r="AH1054" s="85">
        <v>20.814</v>
      </c>
      <c r="AI1054" s="87">
        <v>11130</v>
      </c>
      <c r="AJ1054" s="85">
        <v>22.481999999999999</v>
      </c>
    </row>
    <row r="1055" spans="1:36" ht="14.25" customHeight="1">
      <c r="A1055" s="88">
        <v>11160</v>
      </c>
      <c r="B1055" s="85">
        <v>45.249000000000002</v>
      </c>
      <c r="C1055" s="88">
        <v>11170</v>
      </c>
      <c r="D1055" s="85">
        <v>44.606000000000002</v>
      </c>
      <c r="E1055" s="86">
        <v>11160</v>
      </c>
      <c r="F1055" s="85">
        <v>135.38499999999999</v>
      </c>
      <c r="G1055" s="87">
        <v>11160</v>
      </c>
      <c r="H1055" s="85">
        <v>135.51599999999999</v>
      </c>
      <c r="I1055" s="87">
        <v>11160</v>
      </c>
      <c r="J1055" s="85">
        <v>141.50299999999999</v>
      </c>
      <c r="K1055" s="87">
        <v>11160</v>
      </c>
      <c r="L1055" s="85">
        <v>140.24199999999999</v>
      </c>
      <c r="M1055" s="87">
        <v>11160</v>
      </c>
      <c r="N1055" s="85">
        <v>141.26300000000001</v>
      </c>
      <c r="O1055" s="87">
        <v>11140</v>
      </c>
      <c r="P1055" s="85">
        <v>142.26</v>
      </c>
      <c r="Q1055" s="87">
        <v>11160</v>
      </c>
      <c r="R1055" s="85">
        <v>141.98500000000001</v>
      </c>
      <c r="S1055" s="87">
        <v>11160</v>
      </c>
      <c r="T1055" s="85">
        <v>142.559</v>
      </c>
      <c r="U1055" s="87">
        <v>11150</v>
      </c>
      <c r="V1055" s="85">
        <v>142.661</v>
      </c>
      <c r="W1055" s="87">
        <v>11160</v>
      </c>
      <c r="X1055" s="85">
        <v>141.88399999999999</v>
      </c>
      <c r="Y1055" s="87">
        <v>11160</v>
      </c>
      <c r="Z1055" s="85">
        <v>140.37299999999999</v>
      </c>
      <c r="AA1055" s="87">
        <v>11160</v>
      </c>
      <c r="AB1055" s="85">
        <v>140.88999999999999</v>
      </c>
      <c r="AC1055" s="87">
        <v>11150</v>
      </c>
      <c r="AD1055" s="85">
        <v>98.507000000000005</v>
      </c>
      <c r="AE1055" s="87">
        <v>11160</v>
      </c>
      <c r="AF1055" s="85">
        <v>99.911000000000001</v>
      </c>
      <c r="AG1055" s="87">
        <v>11140</v>
      </c>
      <c r="AH1055" s="85">
        <v>20.614999999999998</v>
      </c>
      <c r="AI1055" s="87">
        <v>11140</v>
      </c>
      <c r="AJ1055" s="85">
        <v>22.268999999999998</v>
      </c>
    </row>
    <row r="1056" spans="1:36" ht="14.25" customHeight="1">
      <c r="A1056" s="88">
        <v>11170</v>
      </c>
      <c r="B1056" s="85">
        <v>44.792000000000002</v>
      </c>
      <c r="C1056" s="88">
        <v>11180</v>
      </c>
      <c r="D1056" s="85">
        <v>44.152000000000001</v>
      </c>
      <c r="E1056" s="86">
        <v>11170</v>
      </c>
      <c r="F1056" s="85">
        <v>134.13300000000001</v>
      </c>
      <c r="G1056" s="87">
        <v>11170</v>
      </c>
      <c r="H1056" s="85">
        <v>134.26599999999999</v>
      </c>
      <c r="I1056" s="87">
        <v>11170</v>
      </c>
      <c r="J1056" s="85">
        <v>140.292</v>
      </c>
      <c r="K1056" s="87">
        <v>11170</v>
      </c>
      <c r="L1056" s="85">
        <v>139.029</v>
      </c>
      <c r="M1056" s="87">
        <v>11170</v>
      </c>
      <c r="N1056" s="85">
        <v>140.05199999999999</v>
      </c>
      <c r="O1056" s="87">
        <v>11150</v>
      </c>
      <c r="P1056" s="85">
        <v>141.04900000000001</v>
      </c>
      <c r="Q1056" s="87">
        <v>11170</v>
      </c>
      <c r="R1056" s="85">
        <v>140.774</v>
      </c>
      <c r="S1056" s="87">
        <v>11170</v>
      </c>
      <c r="T1056" s="85">
        <v>141.34800000000001</v>
      </c>
      <c r="U1056" s="87">
        <v>11160</v>
      </c>
      <c r="V1056" s="85">
        <v>141.45099999999999</v>
      </c>
      <c r="W1056" s="87">
        <v>11170</v>
      </c>
      <c r="X1056" s="85">
        <v>140.672</v>
      </c>
      <c r="Y1056" s="87">
        <v>11170</v>
      </c>
      <c r="Z1056" s="85">
        <v>139.16200000000001</v>
      </c>
      <c r="AA1056" s="87">
        <v>11170</v>
      </c>
      <c r="AB1056" s="85">
        <v>139.68</v>
      </c>
      <c r="AC1056" s="87">
        <v>11160</v>
      </c>
      <c r="AD1056" s="85">
        <v>97.572999999999993</v>
      </c>
      <c r="AE1056" s="87">
        <v>11170</v>
      </c>
      <c r="AF1056" s="85">
        <v>98.975999999999999</v>
      </c>
      <c r="AG1056" s="87">
        <v>11150</v>
      </c>
      <c r="AH1056" s="85">
        <v>20.416</v>
      </c>
      <c r="AI1056" s="87">
        <v>11150</v>
      </c>
      <c r="AJ1056" s="85">
        <v>22.056000000000001</v>
      </c>
    </row>
    <row r="1057" spans="1:36" ht="14.25" customHeight="1">
      <c r="A1057" s="88">
        <v>11180</v>
      </c>
      <c r="B1057" s="85">
        <v>44.335999999999999</v>
      </c>
      <c r="C1057" s="88">
        <v>11190</v>
      </c>
      <c r="D1057" s="85">
        <v>43.7</v>
      </c>
      <c r="E1057" s="86">
        <v>11180</v>
      </c>
      <c r="F1057" s="85">
        <v>132.88300000000001</v>
      </c>
      <c r="G1057" s="87">
        <v>11180</v>
      </c>
      <c r="H1057" s="85">
        <v>133.01599999999999</v>
      </c>
      <c r="I1057" s="87">
        <v>11180</v>
      </c>
      <c r="J1057" s="85">
        <v>139.08199999999999</v>
      </c>
      <c r="K1057" s="87">
        <v>11180</v>
      </c>
      <c r="L1057" s="85">
        <v>137.816</v>
      </c>
      <c r="M1057" s="87">
        <v>11180</v>
      </c>
      <c r="N1057" s="85">
        <v>138.84100000000001</v>
      </c>
      <c r="O1057" s="87">
        <v>11160</v>
      </c>
      <c r="P1057" s="85">
        <v>139.83699999999999</v>
      </c>
      <c r="Q1057" s="87">
        <v>11180</v>
      </c>
      <c r="R1057" s="85">
        <v>139.56200000000001</v>
      </c>
      <c r="S1057" s="87">
        <v>11180</v>
      </c>
      <c r="T1057" s="85">
        <v>140.136</v>
      </c>
      <c r="U1057" s="87">
        <v>11170</v>
      </c>
      <c r="V1057" s="85">
        <v>140.24</v>
      </c>
      <c r="W1057" s="87">
        <v>11180</v>
      </c>
      <c r="X1057" s="85">
        <v>139.46100000000001</v>
      </c>
      <c r="Y1057" s="87">
        <v>11180</v>
      </c>
      <c r="Z1057" s="85">
        <v>137.952</v>
      </c>
      <c r="AA1057" s="87">
        <v>11180</v>
      </c>
      <c r="AB1057" s="85">
        <v>138.47</v>
      </c>
      <c r="AC1057" s="87">
        <v>11170</v>
      </c>
      <c r="AD1057" s="85">
        <v>96.641999999999996</v>
      </c>
      <c r="AE1057" s="87">
        <v>11180</v>
      </c>
      <c r="AF1057" s="85">
        <v>98.043000000000006</v>
      </c>
      <c r="AG1057" s="87">
        <v>11160</v>
      </c>
      <c r="AH1057" s="85">
        <v>20.218</v>
      </c>
      <c r="AI1057" s="87">
        <v>11160</v>
      </c>
      <c r="AJ1057" s="85">
        <v>21.843</v>
      </c>
    </row>
    <row r="1058" spans="1:36" ht="14.25" customHeight="1">
      <c r="A1058" s="88">
        <v>11190</v>
      </c>
      <c r="B1058" s="85">
        <v>43.88</v>
      </c>
      <c r="C1058" s="88">
        <v>11200</v>
      </c>
      <c r="D1058" s="85">
        <v>43.249000000000002</v>
      </c>
      <c r="E1058" s="86">
        <v>11190</v>
      </c>
      <c r="F1058" s="85">
        <v>131.63399999999999</v>
      </c>
      <c r="G1058" s="87">
        <v>11190</v>
      </c>
      <c r="H1058" s="85">
        <v>131.76900000000001</v>
      </c>
      <c r="I1058" s="87">
        <v>11190</v>
      </c>
      <c r="J1058" s="85">
        <v>137.87100000000001</v>
      </c>
      <c r="K1058" s="87">
        <v>11190</v>
      </c>
      <c r="L1058" s="85">
        <v>136.602</v>
      </c>
      <c r="M1058" s="87">
        <v>11190</v>
      </c>
      <c r="N1058" s="85">
        <v>137.62899999999999</v>
      </c>
      <c r="O1058" s="87">
        <v>11170</v>
      </c>
      <c r="P1058" s="85">
        <v>138.626</v>
      </c>
      <c r="Q1058" s="87">
        <v>11190</v>
      </c>
      <c r="R1058" s="85">
        <v>138.351</v>
      </c>
      <c r="S1058" s="87">
        <v>11190</v>
      </c>
      <c r="T1058" s="85">
        <v>138.92400000000001</v>
      </c>
      <c r="U1058" s="87">
        <v>11180</v>
      </c>
      <c r="V1058" s="85">
        <v>139.029</v>
      </c>
      <c r="W1058" s="87">
        <v>11190</v>
      </c>
      <c r="X1058" s="85">
        <v>138.25</v>
      </c>
      <c r="Y1058" s="87">
        <v>11190</v>
      </c>
      <c r="Z1058" s="85">
        <v>136.74100000000001</v>
      </c>
      <c r="AA1058" s="87">
        <v>11190</v>
      </c>
      <c r="AB1058" s="85">
        <v>137.26</v>
      </c>
      <c r="AC1058" s="87">
        <v>11180</v>
      </c>
      <c r="AD1058" s="85">
        <v>95.710999999999999</v>
      </c>
      <c r="AE1058" s="87">
        <v>11190</v>
      </c>
      <c r="AF1058" s="85">
        <v>97.11</v>
      </c>
      <c r="AG1058" s="87">
        <v>11170</v>
      </c>
      <c r="AH1058" s="85">
        <v>20.02</v>
      </c>
      <c r="AI1058" s="87">
        <v>11170</v>
      </c>
      <c r="AJ1058" s="85">
        <v>21.631</v>
      </c>
    </row>
    <row r="1059" spans="1:36" ht="14.25" customHeight="1">
      <c r="A1059" s="88">
        <v>11200</v>
      </c>
      <c r="B1059" s="85">
        <v>43.426000000000002</v>
      </c>
      <c r="C1059" s="88">
        <v>11210</v>
      </c>
      <c r="D1059" s="85">
        <v>42.798999999999999</v>
      </c>
      <c r="E1059" s="86">
        <v>11200</v>
      </c>
      <c r="F1059" s="85">
        <v>130.387</v>
      </c>
      <c r="G1059" s="87">
        <v>11200</v>
      </c>
      <c r="H1059" s="85">
        <v>130.523</v>
      </c>
      <c r="I1059" s="87">
        <v>11200</v>
      </c>
      <c r="J1059" s="85">
        <v>136.66</v>
      </c>
      <c r="K1059" s="87">
        <v>11200</v>
      </c>
      <c r="L1059" s="85">
        <v>135.38900000000001</v>
      </c>
      <c r="M1059" s="87">
        <v>11200</v>
      </c>
      <c r="N1059" s="85">
        <v>136.41800000000001</v>
      </c>
      <c r="O1059" s="87">
        <v>11180</v>
      </c>
      <c r="P1059" s="85">
        <v>137.41399999999999</v>
      </c>
      <c r="Q1059" s="87">
        <v>11200</v>
      </c>
      <c r="R1059" s="85">
        <v>137.13999999999999</v>
      </c>
      <c r="S1059" s="87">
        <v>11200</v>
      </c>
      <c r="T1059" s="85">
        <v>137.71199999999999</v>
      </c>
      <c r="U1059" s="87">
        <v>11190</v>
      </c>
      <c r="V1059" s="85">
        <v>137.81899999999999</v>
      </c>
      <c r="W1059" s="87">
        <v>11200</v>
      </c>
      <c r="X1059" s="85">
        <v>137.03899999999999</v>
      </c>
      <c r="Y1059" s="87">
        <v>11200</v>
      </c>
      <c r="Z1059" s="85">
        <v>135.53100000000001</v>
      </c>
      <c r="AA1059" s="87">
        <v>11200</v>
      </c>
      <c r="AB1059" s="85">
        <v>136.05000000000001</v>
      </c>
      <c r="AC1059" s="87">
        <v>11190</v>
      </c>
      <c r="AD1059" s="85">
        <v>94.783000000000001</v>
      </c>
      <c r="AE1059" s="87">
        <v>11200</v>
      </c>
      <c r="AF1059" s="85">
        <v>96.18</v>
      </c>
      <c r="AG1059" s="87">
        <v>11180</v>
      </c>
      <c r="AH1059" s="85">
        <v>19.821999999999999</v>
      </c>
      <c r="AI1059" s="87">
        <v>11180</v>
      </c>
      <c r="AJ1059" s="85">
        <v>21.419</v>
      </c>
    </row>
    <row r="1060" spans="1:36" ht="14.25" customHeight="1">
      <c r="A1060" s="88">
        <v>11210</v>
      </c>
      <c r="B1060" s="85">
        <v>42.972999999999999</v>
      </c>
      <c r="C1060" s="88">
        <v>11220</v>
      </c>
      <c r="D1060" s="85">
        <v>42.35</v>
      </c>
      <c r="E1060" s="86">
        <v>11210</v>
      </c>
      <c r="F1060" s="85">
        <v>129.142</v>
      </c>
      <c r="G1060" s="87">
        <v>11210</v>
      </c>
      <c r="H1060" s="85">
        <v>129.279</v>
      </c>
      <c r="I1060" s="87">
        <v>11210</v>
      </c>
      <c r="J1060" s="85">
        <v>135.44900000000001</v>
      </c>
      <c r="K1060" s="87">
        <v>11210</v>
      </c>
      <c r="L1060" s="85">
        <v>134.17599999999999</v>
      </c>
      <c r="M1060" s="87">
        <v>11210</v>
      </c>
      <c r="N1060" s="85">
        <v>135.20699999999999</v>
      </c>
      <c r="O1060" s="87">
        <v>11190</v>
      </c>
      <c r="P1060" s="85">
        <v>136.203</v>
      </c>
      <c r="Q1060" s="87">
        <v>11210</v>
      </c>
      <c r="R1060" s="85">
        <v>135.928</v>
      </c>
      <c r="S1060" s="87">
        <v>11210</v>
      </c>
      <c r="T1060" s="85">
        <v>136.5</v>
      </c>
      <c r="U1060" s="87">
        <v>11200</v>
      </c>
      <c r="V1060" s="85">
        <v>136.608</v>
      </c>
      <c r="W1060" s="87">
        <v>11210</v>
      </c>
      <c r="X1060" s="85">
        <v>135.827</v>
      </c>
      <c r="Y1060" s="87">
        <v>11210</v>
      </c>
      <c r="Z1060" s="85">
        <v>134.32</v>
      </c>
      <c r="AA1060" s="87">
        <v>11210</v>
      </c>
      <c r="AB1060" s="85">
        <v>134.84</v>
      </c>
      <c r="AC1060" s="87">
        <v>11200</v>
      </c>
      <c r="AD1060" s="85">
        <v>93.855000000000004</v>
      </c>
      <c r="AE1060" s="87">
        <v>11210</v>
      </c>
      <c r="AF1060" s="85">
        <v>95.251000000000005</v>
      </c>
      <c r="AG1060" s="87">
        <v>11190</v>
      </c>
      <c r="AH1060" s="85">
        <v>19.625</v>
      </c>
      <c r="AI1060" s="87">
        <v>11190</v>
      </c>
      <c r="AJ1060" s="85">
        <v>21.207000000000001</v>
      </c>
    </row>
    <row r="1061" spans="1:36" ht="14.25" customHeight="1">
      <c r="A1061" s="88">
        <v>11220</v>
      </c>
      <c r="B1061" s="85">
        <v>42.521999999999998</v>
      </c>
      <c r="C1061" s="88">
        <v>11230</v>
      </c>
      <c r="D1061" s="85">
        <v>41.902999999999999</v>
      </c>
      <c r="E1061" s="86">
        <v>11220</v>
      </c>
      <c r="F1061" s="85">
        <v>127.899</v>
      </c>
      <c r="G1061" s="87">
        <v>11220</v>
      </c>
      <c r="H1061" s="85">
        <v>128.03700000000001</v>
      </c>
      <c r="I1061" s="87">
        <v>11220</v>
      </c>
      <c r="J1061" s="85">
        <v>134.238</v>
      </c>
      <c r="K1061" s="87">
        <v>11220</v>
      </c>
      <c r="L1061" s="85">
        <v>132.96299999999999</v>
      </c>
      <c r="M1061" s="87">
        <v>11220</v>
      </c>
      <c r="N1061" s="85">
        <v>133.99600000000001</v>
      </c>
      <c r="O1061" s="87">
        <v>11200</v>
      </c>
      <c r="P1061" s="85">
        <v>134.99100000000001</v>
      </c>
      <c r="Q1061" s="87">
        <v>11220</v>
      </c>
      <c r="R1061" s="85">
        <v>134.71700000000001</v>
      </c>
      <c r="S1061" s="87">
        <v>11220</v>
      </c>
      <c r="T1061" s="85">
        <v>135.28800000000001</v>
      </c>
      <c r="U1061" s="87">
        <v>11210</v>
      </c>
      <c r="V1061" s="85">
        <v>135.398</v>
      </c>
      <c r="W1061" s="87">
        <v>11220</v>
      </c>
      <c r="X1061" s="85">
        <v>134.61600000000001</v>
      </c>
      <c r="Y1061" s="87">
        <v>11220</v>
      </c>
      <c r="Z1061" s="85">
        <v>133.11000000000001</v>
      </c>
      <c r="AA1061" s="87">
        <v>11220</v>
      </c>
      <c r="AB1061" s="85">
        <v>133.63</v>
      </c>
      <c r="AC1061" s="87">
        <v>11210</v>
      </c>
      <c r="AD1061" s="85">
        <v>92.93</v>
      </c>
      <c r="AE1061" s="87">
        <v>11220</v>
      </c>
      <c r="AF1061" s="85">
        <v>94.322999999999993</v>
      </c>
      <c r="AG1061" s="87">
        <v>11200</v>
      </c>
      <c r="AH1061" s="85">
        <v>19.428000000000001</v>
      </c>
      <c r="AI1061" s="87">
        <v>11200</v>
      </c>
      <c r="AJ1061" s="85">
        <v>20.995999999999999</v>
      </c>
    </row>
    <row r="1062" spans="1:36" ht="14.25" customHeight="1">
      <c r="A1062" s="88">
        <v>11230</v>
      </c>
      <c r="B1062" s="85">
        <v>42.070999999999998</v>
      </c>
      <c r="C1062" s="88">
        <v>11240</v>
      </c>
      <c r="D1062" s="85">
        <v>41.456000000000003</v>
      </c>
      <c r="E1062" s="86">
        <v>11230</v>
      </c>
      <c r="F1062" s="85">
        <v>126.657</v>
      </c>
      <c r="G1062" s="87">
        <v>11230</v>
      </c>
      <c r="H1062" s="85">
        <v>126.797</v>
      </c>
      <c r="I1062" s="87">
        <v>11230</v>
      </c>
      <c r="J1062" s="85">
        <v>133.02699999999999</v>
      </c>
      <c r="K1062" s="87">
        <v>11230</v>
      </c>
      <c r="L1062" s="85">
        <v>131.749</v>
      </c>
      <c r="M1062" s="87">
        <v>11230</v>
      </c>
      <c r="N1062" s="85">
        <v>132.78399999999999</v>
      </c>
      <c r="O1062" s="87">
        <v>11210</v>
      </c>
      <c r="P1062" s="85">
        <v>133.779</v>
      </c>
      <c r="Q1062" s="87">
        <v>11230</v>
      </c>
      <c r="R1062" s="85">
        <v>133.506</v>
      </c>
      <c r="S1062" s="87">
        <v>11230</v>
      </c>
      <c r="T1062" s="85">
        <v>134.07599999999999</v>
      </c>
      <c r="U1062" s="87">
        <v>11220</v>
      </c>
      <c r="V1062" s="85">
        <v>134.18700000000001</v>
      </c>
      <c r="W1062" s="87">
        <v>11230</v>
      </c>
      <c r="X1062" s="85">
        <v>133.405</v>
      </c>
      <c r="Y1062" s="87">
        <v>11230</v>
      </c>
      <c r="Z1062" s="85">
        <v>131.899</v>
      </c>
      <c r="AA1062" s="87">
        <v>11230</v>
      </c>
      <c r="AB1062" s="85">
        <v>132.41999999999999</v>
      </c>
      <c r="AC1062" s="87">
        <v>11220</v>
      </c>
      <c r="AD1062" s="85">
        <v>92.004999999999995</v>
      </c>
      <c r="AE1062" s="87">
        <v>11230</v>
      </c>
      <c r="AF1062" s="85">
        <v>93.397999999999996</v>
      </c>
      <c r="AG1062" s="87">
        <v>11210</v>
      </c>
      <c r="AH1062" s="85">
        <v>19.231000000000002</v>
      </c>
      <c r="AI1062" s="87">
        <v>11210</v>
      </c>
      <c r="AJ1062" s="85">
        <v>20.786000000000001</v>
      </c>
    </row>
    <row r="1063" spans="1:36" ht="14.25" customHeight="1">
      <c r="A1063" s="88">
        <v>11240</v>
      </c>
      <c r="B1063" s="85">
        <v>41.622</v>
      </c>
      <c r="C1063" s="88">
        <v>11250</v>
      </c>
      <c r="D1063" s="85">
        <v>41.011000000000003</v>
      </c>
      <c r="E1063" s="86">
        <v>11240</v>
      </c>
      <c r="F1063" s="85">
        <v>125.417</v>
      </c>
      <c r="G1063" s="87">
        <v>11240</v>
      </c>
      <c r="H1063" s="85">
        <v>125.55800000000001</v>
      </c>
      <c r="I1063" s="87">
        <v>11240</v>
      </c>
      <c r="J1063" s="85">
        <v>131.816</v>
      </c>
      <c r="K1063" s="87">
        <v>11240</v>
      </c>
      <c r="L1063" s="85">
        <v>130.536</v>
      </c>
      <c r="M1063" s="87">
        <v>11240</v>
      </c>
      <c r="N1063" s="85">
        <v>131.57300000000001</v>
      </c>
      <c r="O1063" s="87">
        <v>11220</v>
      </c>
      <c r="P1063" s="85">
        <v>132.56800000000001</v>
      </c>
      <c r="Q1063" s="87">
        <v>11240</v>
      </c>
      <c r="R1063" s="85">
        <v>132.29499999999999</v>
      </c>
      <c r="S1063" s="87">
        <v>11240</v>
      </c>
      <c r="T1063" s="85">
        <v>132.864</v>
      </c>
      <c r="U1063" s="87">
        <v>11230</v>
      </c>
      <c r="V1063" s="85">
        <v>132.976</v>
      </c>
      <c r="W1063" s="87">
        <v>11240</v>
      </c>
      <c r="X1063" s="85">
        <v>132.19399999999999</v>
      </c>
      <c r="Y1063" s="87">
        <v>11240</v>
      </c>
      <c r="Z1063" s="85">
        <v>130.68899999999999</v>
      </c>
      <c r="AA1063" s="87">
        <v>11240</v>
      </c>
      <c r="AB1063" s="85">
        <v>131.21</v>
      </c>
      <c r="AC1063" s="87">
        <v>11230</v>
      </c>
      <c r="AD1063" s="85">
        <v>91.082999999999998</v>
      </c>
      <c r="AE1063" s="87">
        <v>11240</v>
      </c>
      <c r="AF1063" s="85">
        <v>92.472999999999999</v>
      </c>
      <c r="AG1063" s="87">
        <v>11220</v>
      </c>
      <c r="AH1063" s="85">
        <v>19.035</v>
      </c>
      <c r="AI1063" s="87">
        <v>11220</v>
      </c>
      <c r="AJ1063" s="85">
        <v>20.574999999999999</v>
      </c>
    </row>
    <row r="1064" spans="1:36" ht="14.25" customHeight="1">
      <c r="A1064" s="88">
        <v>11250</v>
      </c>
      <c r="B1064" s="85">
        <v>41.173000000000002</v>
      </c>
      <c r="C1064" s="88">
        <v>11260</v>
      </c>
      <c r="D1064" s="85">
        <v>40.567</v>
      </c>
      <c r="E1064" s="86">
        <v>11250</v>
      </c>
      <c r="F1064" s="85">
        <v>124.179</v>
      </c>
      <c r="G1064" s="87">
        <v>11250</v>
      </c>
      <c r="H1064" s="85">
        <v>124.321</v>
      </c>
      <c r="I1064" s="87">
        <v>11250</v>
      </c>
      <c r="J1064" s="85">
        <v>130.60599999999999</v>
      </c>
      <c r="K1064" s="87">
        <v>11250</v>
      </c>
      <c r="L1064" s="85">
        <v>129.32300000000001</v>
      </c>
      <c r="M1064" s="87">
        <v>11250</v>
      </c>
      <c r="N1064" s="85">
        <v>130.36199999999999</v>
      </c>
      <c r="O1064" s="87">
        <v>11230</v>
      </c>
      <c r="P1064" s="85">
        <v>131.35599999999999</v>
      </c>
      <c r="Q1064" s="87">
        <v>11250</v>
      </c>
      <c r="R1064" s="85">
        <v>131.083</v>
      </c>
      <c r="S1064" s="87">
        <v>11250</v>
      </c>
      <c r="T1064" s="85">
        <v>131.65199999999999</v>
      </c>
      <c r="U1064" s="87">
        <v>11240</v>
      </c>
      <c r="V1064" s="85">
        <v>131.76599999999999</v>
      </c>
      <c r="W1064" s="87">
        <v>11250</v>
      </c>
      <c r="X1064" s="85">
        <v>130.982</v>
      </c>
      <c r="Y1064" s="87">
        <v>11250</v>
      </c>
      <c r="Z1064" s="85">
        <v>129.47800000000001</v>
      </c>
      <c r="AA1064" s="87">
        <v>11250</v>
      </c>
      <c r="AB1064" s="85">
        <v>130</v>
      </c>
      <c r="AC1064" s="87">
        <v>11240</v>
      </c>
      <c r="AD1064" s="85">
        <v>90.162000000000006</v>
      </c>
      <c r="AE1064" s="87">
        <v>11250</v>
      </c>
      <c r="AF1064" s="85">
        <v>91.55</v>
      </c>
      <c r="AG1064" s="87">
        <v>11230</v>
      </c>
      <c r="AH1064" s="85">
        <v>18.84</v>
      </c>
      <c r="AI1064" s="87">
        <v>11230</v>
      </c>
      <c r="AJ1064" s="85">
        <v>20.364999999999998</v>
      </c>
    </row>
    <row r="1065" spans="1:36" ht="14.25" customHeight="1">
      <c r="A1065" s="88">
        <v>11260</v>
      </c>
      <c r="B1065" s="85">
        <v>40.725999999999999</v>
      </c>
      <c r="C1065" s="88">
        <v>11270</v>
      </c>
      <c r="D1065" s="85">
        <v>40.124000000000002</v>
      </c>
      <c r="E1065" s="86">
        <v>11260</v>
      </c>
      <c r="F1065" s="85">
        <v>122.943</v>
      </c>
      <c r="G1065" s="87">
        <v>11260</v>
      </c>
      <c r="H1065" s="85">
        <v>123.086</v>
      </c>
      <c r="I1065" s="87">
        <v>11260</v>
      </c>
      <c r="J1065" s="85">
        <v>129.39500000000001</v>
      </c>
      <c r="K1065" s="87">
        <v>11260</v>
      </c>
      <c r="L1065" s="85">
        <v>128.11000000000001</v>
      </c>
      <c r="M1065" s="87">
        <v>11260</v>
      </c>
      <c r="N1065" s="85">
        <v>129.15</v>
      </c>
      <c r="O1065" s="87">
        <v>11240</v>
      </c>
      <c r="P1065" s="85">
        <v>130.14500000000001</v>
      </c>
      <c r="Q1065" s="87">
        <v>11260</v>
      </c>
      <c r="R1065" s="85">
        <v>129.87200000000001</v>
      </c>
      <c r="S1065" s="87">
        <v>11260</v>
      </c>
      <c r="T1065" s="85">
        <v>130.44</v>
      </c>
      <c r="U1065" s="87">
        <v>11250</v>
      </c>
      <c r="V1065" s="85">
        <v>130.55500000000001</v>
      </c>
      <c r="W1065" s="87">
        <v>11260</v>
      </c>
      <c r="X1065" s="85">
        <v>129.77099999999999</v>
      </c>
      <c r="Y1065" s="87">
        <v>11260</v>
      </c>
      <c r="Z1065" s="85">
        <v>128.268</v>
      </c>
      <c r="AA1065" s="87">
        <v>11260</v>
      </c>
      <c r="AB1065" s="85">
        <v>128.79</v>
      </c>
      <c r="AC1065" s="87">
        <v>11250</v>
      </c>
      <c r="AD1065" s="85">
        <v>89.242000000000004</v>
      </c>
      <c r="AE1065" s="87">
        <v>11260</v>
      </c>
      <c r="AF1065" s="85">
        <v>90.629000000000005</v>
      </c>
      <c r="AG1065" s="87">
        <v>11240</v>
      </c>
      <c r="AH1065" s="85">
        <v>18.643999999999998</v>
      </c>
      <c r="AI1065" s="87">
        <v>11240</v>
      </c>
      <c r="AJ1065" s="85">
        <v>20.155999999999999</v>
      </c>
    </row>
    <row r="1066" spans="1:36" ht="14.25" customHeight="1">
      <c r="A1066" s="88">
        <v>11270</v>
      </c>
      <c r="B1066" s="85">
        <v>40.28</v>
      </c>
      <c r="C1066" s="88">
        <v>11280</v>
      </c>
      <c r="D1066" s="85">
        <v>39.682000000000002</v>
      </c>
      <c r="E1066" s="86">
        <v>11270</v>
      </c>
      <c r="F1066" s="85">
        <v>121.708</v>
      </c>
      <c r="G1066" s="87">
        <v>11270</v>
      </c>
      <c r="H1066" s="85">
        <v>121.852</v>
      </c>
      <c r="I1066" s="87">
        <v>11270</v>
      </c>
      <c r="J1066" s="85">
        <v>128.184</v>
      </c>
      <c r="K1066" s="87">
        <v>11270</v>
      </c>
      <c r="L1066" s="85">
        <v>126.89700000000001</v>
      </c>
      <c r="M1066" s="87">
        <v>11270</v>
      </c>
      <c r="N1066" s="85">
        <v>127.93899999999999</v>
      </c>
      <c r="O1066" s="87">
        <v>11250</v>
      </c>
      <c r="P1066" s="85">
        <v>128.93299999999999</v>
      </c>
      <c r="Q1066" s="87">
        <v>11270</v>
      </c>
      <c r="R1066" s="85">
        <v>128.661</v>
      </c>
      <c r="S1066" s="87">
        <v>11270</v>
      </c>
      <c r="T1066" s="85">
        <v>129.22800000000001</v>
      </c>
      <c r="U1066" s="87">
        <v>11260</v>
      </c>
      <c r="V1066" s="85">
        <v>129.345</v>
      </c>
      <c r="W1066" s="87">
        <v>11270</v>
      </c>
      <c r="X1066" s="85">
        <v>128.56</v>
      </c>
      <c r="Y1066" s="87">
        <v>11270</v>
      </c>
      <c r="Z1066" s="85">
        <v>127.05800000000001</v>
      </c>
      <c r="AA1066" s="87">
        <v>11270</v>
      </c>
      <c r="AB1066" s="85">
        <v>127.58</v>
      </c>
      <c r="AC1066" s="87">
        <v>11260</v>
      </c>
      <c r="AD1066" s="85">
        <v>88.323999999999998</v>
      </c>
      <c r="AE1066" s="87">
        <v>11270</v>
      </c>
      <c r="AF1066" s="85">
        <v>89.709000000000003</v>
      </c>
      <c r="AG1066" s="87">
        <v>11250</v>
      </c>
      <c r="AH1066" s="85">
        <v>18.449000000000002</v>
      </c>
      <c r="AI1066" s="87">
        <v>11250</v>
      </c>
      <c r="AJ1066" s="85">
        <v>19.946999999999999</v>
      </c>
    </row>
    <row r="1067" spans="1:36" ht="14.25" customHeight="1">
      <c r="A1067" s="88">
        <v>11280</v>
      </c>
      <c r="B1067" s="85">
        <v>39.835999999999999</v>
      </c>
      <c r="C1067" s="88">
        <v>11290</v>
      </c>
      <c r="D1067" s="85">
        <v>39.241</v>
      </c>
      <c r="E1067" s="86">
        <v>11280</v>
      </c>
      <c r="F1067" s="85">
        <v>120.476</v>
      </c>
      <c r="G1067" s="87">
        <v>11280</v>
      </c>
      <c r="H1067" s="85">
        <v>120.62</v>
      </c>
      <c r="I1067" s="87">
        <v>11280</v>
      </c>
      <c r="J1067" s="85">
        <v>126.973</v>
      </c>
      <c r="K1067" s="87">
        <v>11280</v>
      </c>
      <c r="L1067" s="85">
        <v>125.684</v>
      </c>
      <c r="M1067" s="87">
        <v>11280</v>
      </c>
      <c r="N1067" s="85">
        <v>126.72799999999999</v>
      </c>
      <c r="O1067" s="87">
        <v>11260</v>
      </c>
      <c r="P1067" s="85">
        <v>127.72199999999999</v>
      </c>
      <c r="Q1067" s="87">
        <v>11280</v>
      </c>
      <c r="R1067" s="85">
        <v>127.45</v>
      </c>
      <c r="S1067" s="87">
        <v>11280</v>
      </c>
      <c r="T1067" s="85">
        <v>128.01599999999999</v>
      </c>
      <c r="U1067" s="87">
        <v>11270</v>
      </c>
      <c r="V1067" s="85">
        <v>128.13399999999999</v>
      </c>
      <c r="W1067" s="87">
        <v>11280</v>
      </c>
      <c r="X1067" s="85">
        <v>127.349</v>
      </c>
      <c r="Y1067" s="87">
        <v>11280</v>
      </c>
      <c r="Z1067" s="85">
        <v>125.84699999999999</v>
      </c>
      <c r="AA1067" s="87">
        <v>11280</v>
      </c>
      <c r="AB1067" s="85">
        <v>126.371</v>
      </c>
      <c r="AC1067" s="87">
        <v>11270</v>
      </c>
      <c r="AD1067" s="85">
        <v>87.408000000000001</v>
      </c>
      <c r="AE1067" s="87">
        <v>11280</v>
      </c>
      <c r="AF1067" s="85">
        <v>88.790999999999997</v>
      </c>
      <c r="AG1067" s="87">
        <v>11260</v>
      </c>
      <c r="AH1067" s="85">
        <v>18.254999999999999</v>
      </c>
      <c r="AI1067" s="87">
        <v>11260</v>
      </c>
      <c r="AJ1067" s="85">
        <v>19.738</v>
      </c>
    </row>
    <row r="1068" spans="1:36" ht="14.25" customHeight="1">
      <c r="A1068" s="88">
        <v>11290</v>
      </c>
      <c r="B1068" s="85">
        <v>39.392000000000003</v>
      </c>
      <c r="C1068" s="88">
        <v>11300</v>
      </c>
      <c r="D1068" s="85">
        <v>38.802</v>
      </c>
      <c r="E1068" s="86">
        <v>11290</v>
      </c>
      <c r="F1068" s="85">
        <v>119.245</v>
      </c>
      <c r="G1068" s="87">
        <v>11290</v>
      </c>
      <c r="H1068" s="85">
        <v>119.39</v>
      </c>
      <c r="I1068" s="87">
        <v>11290</v>
      </c>
      <c r="J1068" s="85">
        <v>125.762</v>
      </c>
      <c r="K1068" s="87">
        <v>11290</v>
      </c>
      <c r="L1068" s="85">
        <v>124.471</v>
      </c>
      <c r="M1068" s="87">
        <v>11290</v>
      </c>
      <c r="N1068" s="85">
        <v>125.517</v>
      </c>
      <c r="O1068" s="87">
        <v>11270</v>
      </c>
      <c r="P1068" s="85">
        <v>126.51</v>
      </c>
      <c r="Q1068" s="87">
        <v>11290</v>
      </c>
      <c r="R1068" s="85">
        <v>126.239</v>
      </c>
      <c r="S1068" s="87">
        <v>11290</v>
      </c>
      <c r="T1068" s="85">
        <v>126.80500000000001</v>
      </c>
      <c r="U1068" s="87">
        <v>11280</v>
      </c>
      <c r="V1068" s="85">
        <v>126.923</v>
      </c>
      <c r="W1068" s="87">
        <v>11290</v>
      </c>
      <c r="X1068" s="85">
        <v>126.137</v>
      </c>
      <c r="Y1068" s="87">
        <v>11290</v>
      </c>
      <c r="Z1068" s="85">
        <v>124.637</v>
      </c>
      <c r="AA1068" s="87">
        <v>11290</v>
      </c>
      <c r="AB1068" s="85">
        <v>125.161</v>
      </c>
      <c r="AC1068" s="87">
        <v>11280</v>
      </c>
      <c r="AD1068" s="85">
        <v>86.492999999999995</v>
      </c>
      <c r="AE1068" s="87">
        <v>11290</v>
      </c>
      <c r="AF1068" s="85">
        <v>87.873999999999995</v>
      </c>
      <c r="AG1068" s="87">
        <v>11270</v>
      </c>
      <c r="AH1068" s="85">
        <v>18.061</v>
      </c>
      <c r="AI1068" s="87">
        <v>11270</v>
      </c>
      <c r="AJ1068" s="85">
        <v>19.53</v>
      </c>
    </row>
    <row r="1069" spans="1:36" ht="14.25" customHeight="1">
      <c r="A1069" s="88">
        <v>11300</v>
      </c>
      <c r="B1069" s="85">
        <v>38.950000000000003</v>
      </c>
      <c r="C1069" s="88">
        <v>11310</v>
      </c>
      <c r="D1069" s="85">
        <v>38.363</v>
      </c>
      <c r="E1069" s="86">
        <v>11300</v>
      </c>
      <c r="F1069" s="85">
        <v>118.015</v>
      </c>
      <c r="G1069" s="87">
        <v>11300</v>
      </c>
      <c r="H1069" s="85">
        <v>118.16200000000001</v>
      </c>
      <c r="I1069" s="87">
        <v>11300</v>
      </c>
      <c r="J1069" s="85">
        <v>124.55200000000001</v>
      </c>
      <c r="K1069" s="87">
        <v>11300</v>
      </c>
      <c r="L1069" s="85">
        <v>123.258</v>
      </c>
      <c r="M1069" s="87">
        <v>11300</v>
      </c>
      <c r="N1069" s="85">
        <v>124.30500000000001</v>
      </c>
      <c r="O1069" s="87">
        <v>11280</v>
      </c>
      <c r="P1069" s="85">
        <v>125.29900000000001</v>
      </c>
      <c r="Q1069" s="87">
        <v>11300</v>
      </c>
      <c r="R1069" s="85">
        <v>125.027</v>
      </c>
      <c r="S1069" s="87">
        <v>11300</v>
      </c>
      <c r="T1069" s="85">
        <v>125.593</v>
      </c>
      <c r="U1069" s="87">
        <v>11290</v>
      </c>
      <c r="V1069" s="85">
        <v>125.71299999999999</v>
      </c>
      <c r="W1069" s="87">
        <v>11300</v>
      </c>
      <c r="X1069" s="85">
        <v>124.926</v>
      </c>
      <c r="Y1069" s="87">
        <v>11300</v>
      </c>
      <c r="Z1069" s="85">
        <v>123.42700000000001</v>
      </c>
      <c r="AA1069" s="87">
        <v>11300</v>
      </c>
      <c r="AB1069" s="85">
        <v>123.95099999999999</v>
      </c>
      <c r="AC1069" s="87">
        <v>11290</v>
      </c>
      <c r="AD1069" s="85">
        <v>85.58</v>
      </c>
      <c r="AE1069" s="87">
        <v>11300</v>
      </c>
      <c r="AF1069" s="85">
        <v>86.959000000000003</v>
      </c>
      <c r="AG1069" s="87">
        <v>11280</v>
      </c>
      <c r="AH1069" s="85">
        <v>17.867000000000001</v>
      </c>
      <c r="AI1069" s="87">
        <v>11280</v>
      </c>
      <c r="AJ1069" s="85">
        <v>19.321999999999999</v>
      </c>
    </row>
    <row r="1070" spans="1:36" ht="14.25" customHeight="1">
      <c r="A1070" s="88">
        <v>11310</v>
      </c>
      <c r="B1070" s="85">
        <v>38.508000000000003</v>
      </c>
      <c r="C1070" s="88">
        <v>11320</v>
      </c>
      <c r="D1070" s="85">
        <v>37.926000000000002</v>
      </c>
      <c r="E1070" s="86">
        <v>11310</v>
      </c>
      <c r="F1070" s="85">
        <v>116.788</v>
      </c>
      <c r="G1070" s="87">
        <v>11310</v>
      </c>
      <c r="H1070" s="85">
        <v>116.935</v>
      </c>
      <c r="I1070" s="87">
        <v>11310</v>
      </c>
      <c r="J1070" s="85">
        <v>123.34099999999999</v>
      </c>
      <c r="K1070" s="87">
        <v>11310</v>
      </c>
      <c r="L1070" s="85">
        <v>122.045</v>
      </c>
      <c r="M1070" s="87">
        <v>11310</v>
      </c>
      <c r="N1070" s="85">
        <v>123.09399999999999</v>
      </c>
      <c r="O1070" s="87">
        <v>11290</v>
      </c>
      <c r="P1070" s="85">
        <v>124.087</v>
      </c>
      <c r="Q1070" s="87">
        <v>11310</v>
      </c>
      <c r="R1070" s="85">
        <v>123.816</v>
      </c>
      <c r="S1070" s="87">
        <v>11310</v>
      </c>
      <c r="T1070" s="85">
        <v>124.381</v>
      </c>
      <c r="U1070" s="87">
        <v>11300</v>
      </c>
      <c r="V1070" s="85">
        <v>124.502</v>
      </c>
      <c r="W1070" s="87">
        <v>11310</v>
      </c>
      <c r="X1070" s="85">
        <v>123.715</v>
      </c>
      <c r="Y1070" s="87">
        <v>11310</v>
      </c>
      <c r="Z1070" s="85">
        <v>122.217</v>
      </c>
      <c r="AA1070" s="87">
        <v>11310</v>
      </c>
      <c r="AB1070" s="85">
        <v>122.742</v>
      </c>
      <c r="AC1070" s="87">
        <v>11300</v>
      </c>
      <c r="AD1070" s="85">
        <v>84.668000000000006</v>
      </c>
      <c r="AE1070" s="87">
        <v>11310</v>
      </c>
      <c r="AF1070" s="85">
        <v>86.045000000000002</v>
      </c>
      <c r="AG1070" s="87">
        <v>11290</v>
      </c>
      <c r="AH1070" s="85">
        <v>17.673999999999999</v>
      </c>
      <c r="AI1070" s="87">
        <v>11290</v>
      </c>
      <c r="AJ1070" s="85">
        <v>19.114999999999998</v>
      </c>
    </row>
    <row r="1071" spans="1:36" ht="14.25" customHeight="1">
      <c r="A1071" s="88">
        <v>11320</v>
      </c>
      <c r="B1071" s="85">
        <v>38.067999999999998</v>
      </c>
      <c r="C1071" s="88">
        <v>11330</v>
      </c>
      <c r="D1071" s="85">
        <v>37.49</v>
      </c>
      <c r="E1071" s="86">
        <v>11320</v>
      </c>
      <c r="F1071" s="85">
        <v>115.562</v>
      </c>
      <c r="G1071" s="87">
        <v>11320</v>
      </c>
      <c r="H1071" s="85">
        <v>115.71</v>
      </c>
      <c r="I1071" s="87">
        <v>11320</v>
      </c>
      <c r="J1071" s="85">
        <v>122.13</v>
      </c>
      <c r="K1071" s="87">
        <v>11320</v>
      </c>
      <c r="L1071" s="85">
        <v>120.83199999999999</v>
      </c>
      <c r="M1071" s="87">
        <v>11320</v>
      </c>
      <c r="N1071" s="85">
        <v>121.883</v>
      </c>
      <c r="O1071" s="87">
        <v>11300</v>
      </c>
      <c r="P1071" s="85">
        <v>122.876</v>
      </c>
      <c r="Q1071" s="87">
        <v>11320</v>
      </c>
      <c r="R1071" s="85">
        <v>122.605</v>
      </c>
      <c r="S1071" s="87">
        <v>11320</v>
      </c>
      <c r="T1071" s="85">
        <v>123.169</v>
      </c>
      <c r="U1071" s="87">
        <v>11310</v>
      </c>
      <c r="V1071" s="85">
        <v>123.291</v>
      </c>
      <c r="W1071" s="87">
        <v>11320</v>
      </c>
      <c r="X1071" s="85">
        <v>122.504</v>
      </c>
      <c r="Y1071" s="87">
        <v>11320</v>
      </c>
      <c r="Z1071" s="85">
        <v>121.006</v>
      </c>
      <c r="AA1071" s="87">
        <v>11320</v>
      </c>
      <c r="AB1071" s="85">
        <v>121.532</v>
      </c>
      <c r="AC1071" s="87">
        <v>11310</v>
      </c>
      <c r="AD1071" s="85">
        <v>83.757999999999996</v>
      </c>
      <c r="AE1071" s="87">
        <v>11320</v>
      </c>
      <c r="AF1071" s="85">
        <v>85.132999999999996</v>
      </c>
      <c r="AG1071" s="87">
        <v>11300</v>
      </c>
      <c r="AH1071" s="85">
        <v>17.481000000000002</v>
      </c>
      <c r="AI1071" s="87">
        <v>11300</v>
      </c>
      <c r="AJ1071" s="85">
        <v>18.908000000000001</v>
      </c>
    </row>
    <row r="1072" spans="1:36" ht="14.25" customHeight="1">
      <c r="A1072" s="88">
        <v>11330</v>
      </c>
      <c r="B1072" s="85">
        <v>37.628999999999998</v>
      </c>
      <c r="C1072" s="88">
        <v>11340</v>
      </c>
      <c r="D1072" s="85">
        <v>37.055999999999997</v>
      </c>
      <c r="E1072" s="86">
        <v>11330</v>
      </c>
      <c r="F1072" s="85">
        <v>114.33799999999999</v>
      </c>
      <c r="G1072" s="87">
        <v>11330</v>
      </c>
      <c r="H1072" s="85">
        <v>114.48699999999999</v>
      </c>
      <c r="I1072" s="87">
        <v>11330</v>
      </c>
      <c r="J1072" s="85">
        <v>120.92</v>
      </c>
      <c r="K1072" s="87">
        <v>11330</v>
      </c>
      <c r="L1072" s="85">
        <v>119.619</v>
      </c>
      <c r="M1072" s="87">
        <v>11330</v>
      </c>
      <c r="N1072" s="85">
        <v>120.672</v>
      </c>
      <c r="O1072" s="87">
        <v>11310</v>
      </c>
      <c r="P1072" s="85">
        <v>121.664</v>
      </c>
      <c r="Q1072" s="87">
        <v>11330</v>
      </c>
      <c r="R1072" s="85">
        <v>121.39400000000001</v>
      </c>
      <c r="S1072" s="87">
        <v>11330</v>
      </c>
      <c r="T1072" s="85">
        <v>121.95699999999999</v>
      </c>
      <c r="U1072" s="87">
        <v>11320</v>
      </c>
      <c r="V1072" s="85">
        <v>122.081</v>
      </c>
      <c r="W1072" s="87">
        <v>11330</v>
      </c>
      <c r="X1072" s="85">
        <v>121.29300000000001</v>
      </c>
      <c r="Y1072" s="87">
        <v>11330</v>
      </c>
      <c r="Z1072" s="85">
        <v>119.79600000000001</v>
      </c>
      <c r="AA1072" s="87">
        <v>11330</v>
      </c>
      <c r="AB1072" s="85">
        <v>120.32299999999999</v>
      </c>
      <c r="AC1072" s="87">
        <v>11320</v>
      </c>
      <c r="AD1072" s="85">
        <v>82.849000000000004</v>
      </c>
      <c r="AE1072" s="87">
        <v>11330</v>
      </c>
      <c r="AF1072" s="85">
        <v>84.222999999999999</v>
      </c>
      <c r="AG1072" s="87">
        <v>11310</v>
      </c>
      <c r="AH1072" s="85">
        <v>17.288</v>
      </c>
      <c r="AI1072" s="87">
        <v>11310</v>
      </c>
      <c r="AJ1072" s="85">
        <v>18.701000000000001</v>
      </c>
    </row>
    <row r="1073" spans="1:36" ht="14.25" customHeight="1">
      <c r="A1073" s="88">
        <v>11340</v>
      </c>
      <c r="B1073" s="85">
        <v>37.192</v>
      </c>
      <c r="C1073" s="88">
        <v>11350</v>
      </c>
      <c r="D1073" s="85">
        <v>36.622</v>
      </c>
      <c r="E1073" s="86">
        <v>11340</v>
      </c>
      <c r="F1073" s="85">
        <v>113.116</v>
      </c>
      <c r="G1073" s="87">
        <v>11340</v>
      </c>
      <c r="H1073" s="85">
        <v>113.26600000000001</v>
      </c>
      <c r="I1073" s="87">
        <v>11340</v>
      </c>
      <c r="J1073" s="85">
        <v>119.709</v>
      </c>
      <c r="K1073" s="87">
        <v>11340</v>
      </c>
      <c r="L1073" s="85">
        <v>118.407</v>
      </c>
      <c r="M1073" s="87">
        <v>11340</v>
      </c>
      <c r="N1073" s="85">
        <v>119.46</v>
      </c>
      <c r="O1073" s="87">
        <v>11320</v>
      </c>
      <c r="P1073" s="85">
        <v>120.453</v>
      </c>
      <c r="Q1073" s="87">
        <v>11340</v>
      </c>
      <c r="R1073" s="85">
        <v>120.182</v>
      </c>
      <c r="S1073" s="87">
        <v>11340</v>
      </c>
      <c r="T1073" s="85">
        <v>120.745</v>
      </c>
      <c r="U1073" s="87">
        <v>11330</v>
      </c>
      <c r="V1073" s="85">
        <v>120.87</v>
      </c>
      <c r="W1073" s="87">
        <v>11340</v>
      </c>
      <c r="X1073" s="85">
        <v>120.081</v>
      </c>
      <c r="Y1073" s="87">
        <v>11340</v>
      </c>
      <c r="Z1073" s="85">
        <v>118.586</v>
      </c>
      <c r="AA1073" s="87">
        <v>11340</v>
      </c>
      <c r="AB1073" s="85">
        <v>119.114</v>
      </c>
      <c r="AC1073" s="87">
        <v>11330</v>
      </c>
      <c r="AD1073" s="85">
        <v>81.941999999999993</v>
      </c>
      <c r="AE1073" s="87">
        <v>11340</v>
      </c>
      <c r="AF1073" s="85">
        <v>83.313999999999993</v>
      </c>
      <c r="AG1073" s="87">
        <v>11320</v>
      </c>
      <c r="AH1073" s="85">
        <v>17.096</v>
      </c>
      <c r="AI1073" s="87">
        <v>11320</v>
      </c>
      <c r="AJ1073" s="85">
        <v>18.495000000000001</v>
      </c>
    </row>
    <row r="1074" spans="1:36" ht="14.25" customHeight="1">
      <c r="A1074" s="88">
        <v>11350</v>
      </c>
      <c r="B1074" s="85">
        <v>36.755000000000003</v>
      </c>
      <c r="C1074" s="88">
        <v>11360</v>
      </c>
      <c r="D1074" s="85">
        <v>36.189</v>
      </c>
      <c r="E1074" s="86">
        <v>11350</v>
      </c>
      <c r="F1074" s="85">
        <v>111.895</v>
      </c>
      <c r="G1074" s="87">
        <v>11350</v>
      </c>
      <c r="H1074" s="85">
        <v>112.04600000000001</v>
      </c>
      <c r="I1074" s="87">
        <v>11350</v>
      </c>
      <c r="J1074" s="85">
        <v>118.498</v>
      </c>
      <c r="K1074" s="87">
        <v>11350</v>
      </c>
      <c r="L1074" s="85">
        <v>117.194</v>
      </c>
      <c r="M1074" s="87">
        <v>11350</v>
      </c>
      <c r="N1074" s="85">
        <v>118.249</v>
      </c>
      <c r="O1074" s="87">
        <v>11330</v>
      </c>
      <c r="P1074" s="85">
        <v>119.241</v>
      </c>
      <c r="Q1074" s="87">
        <v>11350</v>
      </c>
      <c r="R1074" s="85">
        <v>118.971</v>
      </c>
      <c r="S1074" s="87">
        <v>11350</v>
      </c>
      <c r="T1074" s="85">
        <v>119.533</v>
      </c>
      <c r="U1074" s="87">
        <v>11340</v>
      </c>
      <c r="V1074" s="85">
        <v>119.65900000000001</v>
      </c>
      <c r="W1074" s="87">
        <v>11350</v>
      </c>
      <c r="X1074" s="85">
        <v>118.87</v>
      </c>
      <c r="Y1074" s="87">
        <v>11350</v>
      </c>
      <c r="Z1074" s="85">
        <v>117.376</v>
      </c>
      <c r="AA1074" s="87">
        <v>11350</v>
      </c>
      <c r="AB1074" s="85">
        <v>117.904</v>
      </c>
      <c r="AC1074" s="87">
        <v>11340</v>
      </c>
      <c r="AD1074" s="85">
        <v>81.036000000000001</v>
      </c>
      <c r="AE1074" s="87">
        <v>11350</v>
      </c>
      <c r="AF1074" s="85">
        <v>82.406000000000006</v>
      </c>
      <c r="AG1074" s="87">
        <v>11330</v>
      </c>
      <c r="AH1074" s="85">
        <v>16.904</v>
      </c>
      <c r="AI1074" s="87">
        <v>11330</v>
      </c>
      <c r="AJ1074" s="85">
        <v>18.289000000000001</v>
      </c>
    </row>
    <row r="1075" spans="1:36" ht="14.25" customHeight="1">
      <c r="A1075" s="88">
        <v>11360</v>
      </c>
      <c r="B1075" s="85">
        <v>36.32</v>
      </c>
      <c r="C1075" s="88">
        <v>11370</v>
      </c>
      <c r="D1075" s="85">
        <v>35.758000000000003</v>
      </c>
      <c r="E1075" s="86">
        <v>11360</v>
      </c>
      <c r="F1075" s="85">
        <v>110.676</v>
      </c>
      <c r="G1075" s="87">
        <v>11360</v>
      </c>
      <c r="H1075" s="85">
        <v>110.828</v>
      </c>
      <c r="I1075" s="87">
        <v>11360</v>
      </c>
      <c r="J1075" s="85">
        <v>117.288</v>
      </c>
      <c r="K1075" s="87">
        <v>11360</v>
      </c>
      <c r="L1075" s="85">
        <v>115.98099999999999</v>
      </c>
      <c r="M1075" s="87">
        <v>11360</v>
      </c>
      <c r="N1075" s="85">
        <v>117.038</v>
      </c>
      <c r="O1075" s="87">
        <v>11340</v>
      </c>
      <c r="P1075" s="85">
        <v>118.03</v>
      </c>
      <c r="Q1075" s="87">
        <v>11360</v>
      </c>
      <c r="R1075" s="85">
        <v>117.76</v>
      </c>
      <c r="S1075" s="87">
        <v>11360</v>
      </c>
      <c r="T1075" s="85">
        <v>118.321</v>
      </c>
      <c r="U1075" s="87">
        <v>11350</v>
      </c>
      <c r="V1075" s="85">
        <v>118.449</v>
      </c>
      <c r="W1075" s="87">
        <v>11360</v>
      </c>
      <c r="X1075" s="85">
        <v>117.65900000000001</v>
      </c>
      <c r="Y1075" s="87">
        <v>11360</v>
      </c>
      <c r="Z1075" s="85">
        <v>116.167</v>
      </c>
      <c r="AA1075" s="87">
        <v>11360</v>
      </c>
      <c r="AB1075" s="85">
        <v>116.69499999999999</v>
      </c>
      <c r="AC1075" s="87">
        <v>11350</v>
      </c>
      <c r="AD1075" s="85">
        <v>80.132000000000005</v>
      </c>
      <c r="AE1075" s="87">
        <v>11360</v>
      </c>
      <c r="AF1075" s="85">
        <v>81.5</v>
      </c>
      <c r="AG1075" s="87">
        <v>11340</v>
      </c>
      <c r="AH1075" s="85">
        <v>16.713000000000001</v>
      </c>
      <c r="AI1075" s="87">
        <v>11340</v>
      </c>
      <c r="AJ1075" s="85">
        <v>18.082999999999998</v>
      </c>
    </row>
    <row r="1076" spans="1:36" ht="14.25" customHeight="1">
      <c r="A1076" s="88">
        <v>11370</v>
      </c>
      <c r="B1076" s="85">
        <v>35.886000000000003</v>
      </c>
      <c r="C1076" s="88">
        <v>11380</v>
      </c>
      <c r="D1076" s="85">
        <v>35.328000000000003</v>
      </c>
      <c r="E1076" s="86">
        <v>11370</v>
      </c>
      <c r="F1076" s="85">
        <v>109.459</v>
      </c>
      <c r="G1076" s="87">
        <v>11370</v>
      </c>
      <c r="H1076" s="85">
        <v>109.611</v>
      </c>
      <c r="I1076" s="87">
        <v>11370</v>
      </c>
      <c r="J1076" s="85">
        <v>116.078</v>
      </c>
      <c r="K1076" s="87">
        <v>11370</v>
      </c>
      <c r="L1076" s="85">
        <v>114.76900000000001</v>
      </c>
      <c r="M1076" s="87">
        <v>11370</v>
      </c>
      <c r="N1076" s="85">
        <v>115.827</v>
      </c>
      <c r="O1076" s="87">
        <v>11350</v>
      </c>
      <c r="P1076" s="85">
        <v>116.818</v>
      </c>
      <c r="Q1076" s="87">
        <v>11370</v>
      </c>
      <c r="R1076" s="85">
        <v>116.54900000000001</v>
      </c>
      <c r="S1076" s="87">
        <v>11370</v>
      </c>
      <c r="T1076" s="85">
        <v>117.10899999999999</v>
      </c>
      <c r="U1076" s="87">
        <v>11360</v>
      </c>
      <c r="V1076" s="85">
        <v>117.238</v>
      </c>
      <c r="W1076" s="87">
        <v>11370</v>
      </c>
      <c r="X1076" s="85">
        <v>116.447</v>
      </c>
      <c r="Y1076" s="87">
        <v>11370</v>
      </c>
      <c r="Z1076" s="85">
        <v>114.95699999999999</v>
      </c>
      <c r="AA1076" s="87">
        <v>11370</v>
      </c>
      <c r="AB1076" s="85">
        <v>115.486</v>
      </c>
      <c r="AC1076" s="87">
        <v>11360</v>
      </c>
      <c r="AD1076" s="85">
        <v>79.228999999999999</v>
      </c>
      <c r="AE1076" s="87">
        <v>11370</v>
      </c>
      <c r="AF1076" s="85">
        <v>80.596000000000004</v>
      </c>
      <c r="AG1076" s="87">
        <v>11350</v>
      </c>
      <c r="AH1076" s="85">
        <v>16.521999999999998</v>
      </c>
      <c r="AI1076" s="87">
        <v>11350</v>
      </c>
      <c r="AJ1076" s="85">
        <v>17.878</v>
      </c>
    </row>
    <row r="1077" spans="1:36" ht="14.25" customHeight="1">
      <c r="A1077" s="88">
        <v>11380</v>
      </c>
      <c r="B1077" s="85">
        <v>35.453000000000003</v>
      </c>
      <c r="C1077" s="88">
        <v>11390</v>
      </c>
      <c r="D1077" s="85">
        <v>34.899000000000001</v>
      </c>
      <c r="E1077" s="86">
        <v>11380</v>
      </c>
      <c r="F1077" s="85">
        <v>108.244</v>
      </c>
      <c r="G1077" s="87">
        <v>11380</v>
      </c>
      <c r="H1077" s="85">
        <v>108.39700000000001</v>
      </c>
      <c r="I1077" s="87">
        <v>11380</v>
      </c>
      <c r="J1077" s="85">
        <v>114.867</v>
      </c>
      <c r="K1077" s="87">
        <v>11380</v>
      </c>
      <c r="L1077" s="85">
        <v>113.557</v>
      </c>
      <c r="M1077" s="87">
        <v>11380</v>
      </c>
      <c r="N1077" s="85">
        <v>114.61499999999999</v>
      </c>
      <c r="O1077" s="87">
        <v>11360</v>
      </c>
      <c r="P1077" s="85">
        <v>115.607</v>
      </c>
      <c r="Q1077" s="87">
        <v>11380</v>
      </c>
      <c r="R1077" s="85">
        <v>115.337</v>
      </c>
      <c r="S1077" s="87">
        <v>11380</v>
      </c>
      <c r="T1077" s="85">
        <v>115.89700000000001</v>
      </c>
      <c r="U1077" s="87">
        <v>11370</v>
      </c>
      <c r="V1077" s="85">
        <v>116.02800000000001</v>
      </c>
      <c r="W1077" s="87">
        <v>11380</v>
      </c>
      <c r="X1077" s="85">
        <v>115.236</v>
      </c>
      <c r="Y1077" s="87">
        <v>11380</v>
      </c>
      <c r="Z1077" s="85">
        <v>113.747</v>
      </c>
      <c r="AA1077" s="87">
        <v>11380</v>
      </c>
      <c r="AB1077" s="85">
        <v>114.277</v>
      </c>
      <c r="AC1077" s="87">
        <v>11370</v>
      </c>
      <c r="AD1077" s="85">
        <v>78.328000000000003</v>
      </c>
      <c r="AE1077" s="87">
        <v>11380</v>
      </c>
      <c r="AF1077" s="85">
        <v>79.692999999999998</v>
      </c>
      <c r="AG1077" s="87">
        <v>11360</v>
      </c>
      <c r="AH1077" s="85">
        <v>16.332000000000001</v>
      </c>
      <c r="AI1077" s="87">
        <v>11360</v>
      </c>
      <c r="AJ1077" s="85">
        <v>17.673999999999999</v>
      </c>
    </row>
    <row r="1078" spans="1:36" ht="14.25" customHeight="1">
      <c r="A1078" s="88">
        <v>11390</v>
      </c>
      <c r="B1078" s="85">
        <v>35.021000000000001</v>
      </c>
      <c r="C1078" s="88">
        <v>11400</v>
      </c>
      <c r="D1078" s="85">
        <v>34.472000000000001</v>
      </c>
      <c r="E1078" s="86">
        <v>11390</v>
      </c>
      <c r="F1078" s="85">
        <v>107.03</v>
      </c>
      <c r="G1078" s="87">
        <v>11390</v>
      </c>
      <c r="H1078" s="85">
        <v>107.184</v>
      </c>
      <c r="I1078" s="87">
        <v>11390</v>
      </c>
      <c r="J1078" s="85">
        <v>113.657</v>
      </c>
      <c r="K1078" s="87">
        <v>11390</v>
      </c>
      <c r="L1078" s="85">
        <v>112.34399999999999</v>
      </c>
      <c r="M1078" s="87">
        <v>11390</v>
      </c>
      <c r="N1078" s="85">
        <v>113.404</v>
      </c>
      <c r="O1078" s="87">
        <v>11370</v>
      </c>
      <c r="P1078" s="85">
        <v>114.395</v>
      </c>
      <c r="Q1078" s="87">
        <v>11390</v>
      </c>
      <c r="R1078" s="85">
        <v>114.126</v>
      </c>
      <c r="S1078" s="87">
        <v>11390</v>
      </c>
      <c r="T1078" s="85">
        <v>114.685</v>
      </c>
      <c r="U1078" s="87">
        <v>11380</v>
      </c>
      <c r="V1078" s="85">
        <v>114.81699999999999</v>
      </c>
      <c r="W1078" s="87">
        <v>11390</v>
      </c>
      <c r="X1078" s="85">
        <v>114.02500000000001</v>
      </c>
      <c r="Y1078" s="87">
        <v>11390</v>
      </c>
      <c r="Z1078" s="85">
        <v>112.53700000000001</v>
      </c>
      <c r="AA1078" s="87">
        <v>11390</v>
      </c>
      <c r="AB1078" s="85">
        <v>113.068</v>
      </c>
      <c r="AC1078" s="87">
        <v>11380</v>
      </c>
      <c r="AD1078" s="85">
        <v>77.429000000000002</v>
      </c>
      <c r="AE1078" s="87">
        <v>11390</v>
      </c>
      <c r="AF1078" s="85">
        <v>78.790999999999997</v>
      </c>
      <c r="AG1078" s="87">
        <v>11370</v>
      </c>
      <c r="AH1078" s="85">
        <v>16.141999999999999</v>
      </c>
      <c r="AI1078" s="87">
        <v>11370</v>
      </c>
      <c r="AJ1078" s="85">
        <v>17.469000000000001</v>
      </c>
    </row>
    <row r="1079" spans="1:36" ht="14.25" customHeight="1">
      <c r="A1079" s="88">
        <v>11400</v>
      </c>
      <c r="B1079" s="85">
        <v>34.590000000000003</v>
      </c>
      <c r="C1079" s="88">
        <v>11410</v>
      </c>
      <c r="D1079" s="85">
        <v>34.045000000000002</v>
      </c>
      <c r="E1079" s="86">
        <v>11400</v>
      </c>
      <c r="F1079" s="85">
        <v>105.818</v>
      </c>
      <c r="G1079" s="87">
        <v>11400</v>
      </c>
      <c r="H1079" s="85">
        <v>105.973</v>
      </c>
      <c r="I1079" s="87">
        <v>11400</v>
      </c>
      <c r="J1079" s="85">
        <v>112.447</v>
      </c>
      <c r="K1079" s="87">
        <v>11400</v>
      </c>
      <c r="L1079" s="85">
        <v>111.13200000000001</v>
      </c>
      <c r="M1079" s="87">
        <v>11400</v>
      </c>
      <c r="N1079" s="85">
        <v>112.193</v>
      </c>
      <c r="O1079" s="87">
        <v>11380</v>
      </c>
      <c r="P1079" s="85">
        <v>113.184</v>
      </c>
      <c r="Q1079" s="87">
        <v>11400</v>
      </c>
      <c r="R1079" s="85">
        <v>112.91500000000001</v>
      </c>
      <c r="S1079" s="87">
        <v>11400</v>
      </c>
      <c r="T1079" s="94">
        <v>113.474</v>
      </c>
      <c r="U1079" s="87">
        <v>11390</v>
      </c>
      <c r="V1079" s="85">
        <v>113.60599999999999</v>
      </c>
      <c r="W1079" s="87">
        <v>11400</v>
      </c>
      <c r="X1079" s="85">
        <v>112.81399999999999</v>
      </c>
      <c r="Y1079" s="87">
        <v>11400</v>
      </c>
      <c r="Z1079" s="85">
        <v>111.328</v>
      </c>
      <c r="AA1079" s="87">
        <v>11400</v>
      </c>
      <c r="AB1079" s="85">
        <v>111.85899999999999</v>
      </c>
      <c r="AC1079" s="87">
        <v>11390</v>
      </c>
      <c r="AD1079" s="85">
        <v>76.531000000000006</v>
      </c>
      <c r="AE1079" s="87">
        <v>11400</v>
      </c>
      <c r="AF1079" s="85">
        <v>77.891999999999996</v>
      </c>
      <c r="AG1079" s="87">
        <v>11380</v>
      </c>
      <c r="AH1079" s="85">
        <v>15.952</v>
      </c>
      <c r="AI1079" s="87">
        <v>11380</v>
      </c>
      <c r="AJ1079" s="85">
        <v>17.265000000000001</v>
      </c>
    </row>
    <row r="1080" spans="1:36" ht="14.25" customHeight="1">
      <c r="A1080" s="88">
        <v>11410</v>
      </c>
      <c r="B1080" s="85">
        <v>34.161000000000001</v>
      </c>
      <c r="C1080" s="88">
        <v>11420</v>
      </c>
      <c r="D1080" s="85">
        <v>33.619999999999997</v>
      </c>
      <c r="E1080" s="86">
        <v>11410</v>
      </c>
      <c r="F1080" s="85">
        <v>104.608</v>
      </c>
      <c r="G1080" s="87">
        <v>11410</v>
      </c>
      <c r="H1080" s="85">
        <v>104.76300000000001</v>
      </c>
      <c r="I1080" s="87">
        <v>11410</v>
      </c>
      <c r="J1080" s="85">
        <v>111.23699999999999</v>
      </c>
      <c r="K1080" s="87">
        <v>11410</v>
      </c>
      <c r="L1080" s="85">
        <v>109.92</v>
      </c>
      <c r="M1080" s="87">
        <v>11410</v>
      </c>
      <c r="N1080" s="85">
        <v>110.982</v>
      </c>
      <c r="O1080" s="87">
        <v>11390</v>
      </c>
      <c r="P1080" s="85">
        <v>111.97199999999999</v>
      </c>
      <c r="Q1080" s="87">
        <v>11410</v>
      </c>
      <c r="R1080" s="85">
        <v>111.70399999999999</v>
      </c>
      <c r="S1080" s="87">
        <v>11410</v>
      </c>
      <c r="T1080" s="85">
        <v>112.262</v>
      </c>
      <c r="U1080" s="87">
        <v>11400</v>
      </c>
      <c r="V1080" s="85">
        <v>112.396</v>
      </c>
      <c r="W1080" s="87">
        <v>11410</v>
      </c>
      <c r="X1080" s="85">
        <v>111.602</v>
      </c>
      <c r="Y1080" s="87">
        <v>11410</v>
      </c>
      <c r="Z1080" s="85">
        <v>110.11799999999999</v>
      </c>
      <c r="AA1080" s="87">
        <v>11410</v>
      </c>
      <c r="AB1080" s="85">
        <v>110.651</v>
      </c>
      <c r="AC1080" s="87">
        <v>11400</v>
      </c>
      <c r="AD1080" s="85">
        <v>75.635000000000005</v>
      </c>
      <c r="AE1080" s="87">
        <v>11410</v>
      </c>
      <c r="AF1080" s="85">
        <v>76.992999999999995</v>
      </c>
      <c r="AG1080" s="87">
        <v>11390</v>
      </c>
      <c r="AH1080" s="85">
        <v>15.763</v>
      </c>
      <c r="AI1080" s="87">
        <v>11390</v>
      </c>
      <c r="AJ1080" s="85">
        <v>17.062000000000001</v>
      </c>
    </row>
    <row r="1081" spans="1:36" ht="14.25" customHeight="1">
      <c r="A1081" s="88">
        <v>11420</v>
      </c>
      <c r="B1081" s="85">
        <v>33.732999999999997</v>
      </c>
      <c r="C1081" s="88">
        <v>11430</v>
      </c>
      <c r="D1081" s="85">
        <v>33.195999999999998</v>
      </c>
      <c r="E1081" s="86">
        <v>11420</v>
      </c>
      <c r="F1081" s="85">
        <v>103.4</v>
      </c>
      <c r="G1081" s="87">
        <v>11420</v>
      </c>
      <c r="H1081" s="85">
        <v>103.55500000000001</v>
      </c>
      <c r="I1081" s="87">
        <v>11420</v>
      </c>
      <c r="J1081" s="85">
        <v>110.027</v>
      </c>
      <c r="K1081" s="87">
        <v>11420</v>
      </c>
      <c r="L1081" s="85">
        <v>108.708</v>
      </c>
      <c r="M1081" s="87">
        <v>11420</v>
      </c>
      <c r="N1081" s="85">
        <v>109.77</v>
      </c>
      <c r="O1081" s="87">
        <v>11400</v>
      </c>
      <c r="P1081" s="85">
        <v>110.761</v>
      </c>
      <c r="Q1081" s="87">
        <v>11420</v>
      </c>
      <c r="R1081" s="85">
        <v>110.49299999999999</v>
      </c>
      <c r="S1081" s="87">
        <v>11420</v>
      </c>
      <c r="T1081" s="85">
        <v>111.05</v>
      </c>
      <c r="U1081" s="87">
        <v>11410</v>
      </c>
      <c r="V1081" s="85">
        <v>111.185</v>
      </c>
      <c r="W1081" s="87">
        <v>11420</v>
      </c>
      <c r="X1081" s="85">
        <v>110.39100000000001</v>
      </c>
      <c r="Y1081" s="87">
        <v>11420</v>
      </c>
      <c r="Z1081" s="85">
        <v>108.90900000000001</v>
      </c>
      <c r="AA1081" s="87">
        <v>11420</v>
      </c>
      <c r="AB1081" s="85">
        <v>109.44199999999999</v>
      </c>
      <c r="AC1081" s="87">
        <v>11410</v>
      </c>
      <c r="AD1081" s="85">
        <v>74.739999999999995</v>
      </c>
      <c r="AE1081" s="87">
        <v>11420</v>
      </c>
      <c r="AF1081" s="85">
        <v>76.096000000000004</v>
      </c>
      <c r="AG1081" s="87">
        <v>11400</v>
      </c>
      <c r="AH1081" s="85">
        <v>15.574</v>
      </c>
      <c r="AI1081" s="87">
        <v>11400</v>
      </c>
      <c r="AJ1081" s="85">
        <v>16.859000000000002</v>
      </c>
    </row>
    <row r="1082" spans="1:36" ht="14.25" customHeight="1">
      <c r="A1082" s="88">
        <v>11430</v>
      </c>
      <c r="B1082" s="85">
        <v>33.305999999999997</v>
      </c>
      <c r="C1082" s="88">
        <v>11440</v>
      </c>
      <c r="D1082" s="85">
        <v>32.773000000000003</v>
      </c>
      <c r="E1082" s="86">
        <v>11430</v>
      </c>
      <c r="F1082" s="85">
        <v>102.193</v>
      </c>
      <c r="G1082" s="87">
        <v>11430</v>
      </c>
      <c r="H1082" s="85">
        <v>102.349</v>
      </c>
      <c r="I1082" s="87">
        <v>11430</v>
      </c>
      <c r="J1082" s="85">
        <v>108.81699999999999</v>
      </c>
      <c r="K1082" s="87">
        <v>11430</v>
      </c>
      <c r="L1082" s="85">
        <v>107.497</v>
      </c>
      <c r="M1082" s="87">
        <v>11430</v>
      </c>
      <c r="N1082" s="85">
        <v>108.559</v>
      </c>
      <c r="O1082" s="87">
        <v>11410</v>
      </c>
      <c r="P1082" s="85">
        <v>109.54900000000001</v>
      </c>
      <c r="Q1082" s="87">
        <v>11430</v>
      </c>
      <c r="R1082" s="85">
        <v>109.28100000000001</v>
      </c>
      <c r="S1082" s="87">
        <v>11430</v>
      </c>
      <c r="T1082" s="85">
        <v>109.83799999999999</v>
      </c>
      <c r="U1082" s="87">
        <v>11420</v>
      </c>
      <c r="V1082" s="85">
        <v>109.974</v>
      </c>
      <c r="W1082" s="87">
        <v>11430</v>
      </c>
      <c r="X1082" s="85">
        <v>109.18</v>
      </c>
      <c r="Y1082" s="87">
        <v>11430</v>
      </c>
      <c r="Z1082" s="85">
        <v>107.7</v>
      </c>
      <c r="AA1082" s="87">
        <v>11430</v>
      </c>
      <c r="AB1082" s="85">
        <v>108.233</v>
      </c>
      <c r="AC1082" s="87">
        <v>11420</v>
      </c>
      <c r="AD1082" s="85">
        <v>73.846999999999994</v>
      </c>
      <c r="AE1082" s="87">
        <v>11430</v>
      </c>
      <c r="AF1082" s="85">
        <v>75.200999999999993</v>
      </c>
      <c r="AG1082" s="87">
        <v>11410</v>
      </c>
      <c r="AH1082" s="85">
        <v>15.385</v>
      </c>
      <c r="AI1082" s="87">
        <v>11410</v>
      </c>
      <c r="AJ1082" s="85">
        <v>16.655999999999999</v>
      </c>
    </row>
    <row r="1083" spans="1:36" ht="14.25" customHeight="1">
      <c r="A1083" s="88">
        <v>11440</v>
      </c>
      <c r="B1083" s="85">
        <v>32.880000000000003</v>
      </c>
      <c r="C1083" s="88">
        <v>11450</v>
      </c>
      <c r="D1083" s="85">
        <v>32.350999999999999</v>
      </c>
      <c r="E1083" s="86">
        <v>11440</v>
      </c>
      <c r="F1083" s="85">
        <v>100.988</v>
      </c>
      <c r="G1083" s="87">
        <v>11440</v>
      </c>
      <c r="H1083" s="85">
        <v>101.145</v>
      </c>
      <c r="I1083" s="87">
        <v>11440</v>
      </c>
      <c r="J1083" s="85">
        <v>107.607</v>
      </c>
      <c r="K1083" s="87">
        <v>11440</v>
      </c>
      <c r="L1083" s="85">
        <v>106.285</v>
      </c>
      <c r="M1083" s="87">
        <v>11440</v>
      </c>
      <c r="N1083" s="85">
        <v>107.348</v>
      </c>
      <c r="O1083" s="87">
        <v>11420</v>
      </c>
      <c r="P1083" s="85">
        <v>108.33799999999999</v>
      </c>
      <c r="Q1083" s="87">
        <v>11440</v>
      </c>
      <c r="R1083" s="85">
        <v>108.07</v>
      </c>
      <c r="S1083" s="87">
        <v>11440</v>
      </c>
      <c r="T1083" s="85">
        <v>108.626</v>
      </c>
      <c r="U1083" s="87">
        <v>11430</v>
      </c>
      <c r="V1083" s="85">
        <v>108.764</v>
      </c>
      <c r="W1083" s="87">
        <v>11440</v>
      </c>
      <c r="X1083" s="85">
        <v>107.96899999999999</v>
      </c>
      <c r="Y1083" s="87">
        <v>11440</v>
      </c>
      <c r="Z1083" s="85">
        <v>106.491</v>
      </c>
      <c r="AA1083" s="87">
        <v>11440</v>
      </c>
      <c r="AB1083" s="85">
        <v>107.02500000000001</v>
      </c>
      <c r="AC1083" s="87">
        <v>11430</v>
      </c>
      <c r="AD1083" s="85">
        <v>72.954999999999998</v>
      </c>
      <c r="AE1083" s="87">
        <v>11440</v>
      </c>
      <c r="AF1083" s="85">
        <v>74.308000000000007</v>
      </c>
      <c r="AG1083" s="87">
        <v>11420</v>
      </c>
      <c r="AH1083" s="85">
        <v>15.196999999999999</v>
      </c>
      <c r="AI1083" s="87">
        <v>11420</v>
      </c>
      <c r="AJ1083" s="85">
        <v>16.454000000000001</v>
      </c>
    </row>
    <row r="1084" spans="1:36" ht="14.25" customHeight="1">
      <c r="A1084" s="88">
        <v>11450</v>
      </c>
      <c r="B1084" s="85">
        <v>32.454999999999998</v>
      </c>
      <c r="C1084" s="88">
        <v>11460</v>
      </c>
      <c r="D1084" s="85">
        <v>31.93</v>
      </c>
      <c r="E1084" s="86">
        <v>11450</v>
      </c>
      <c r="F1084" s="85">
        <v>99.784999999999997</v>
      </c>
      <c r="G1084" s="87">
        <v>11450</v>
      </c>
      <c r="H1084" s="85">
        <v>99.941999999999993</v>
      </c>
      <c r="I1084" s="87">
        <v>11450</v>
      </c>
      <c r="J1084" s="85">
        <v>106.398</v>
      </c>
      <c r="K1084" s="87">
        <v>11450</v>
      </c>
      <c r="L1084" s="85">
        <v>105.07299999999999</v>
      </c>
      <c r="M1084" s="87">
        <v>11450</v>
      </c>
      <c r="N1084" s="85">
        <v>106.137</v>
      </c>
      <c r="O1084" s="87">
        <v>11430</v>
      </c>
      <c r="P1084" s="85">
        <v>107.126</v>
      </c>
      <c r="Q1084" s="87">
        <v>11450</v>
      </c>
      <c r="R1084" s="85">
        <v>106.85899999999999</v>
      </c>
      <c r="S1084" s="87">
        <v>11450</v>
      </c>
      <c r="T1084" s="85">
        <v>107.414</v>
      </c>
      <c r="U1084" s="87">
        <v>11440</v>
      </c>
      <c r="V1084" s="85">
        <v>107.553</v>
      </c>
      <c r="W1084" s="87">
        <v>11450</v>
      </c>
      <c r="X1084" s="85">
        <v>106.75700000000001</v>
      </c>
      <c r="Y1084" s="87">
        <v>11450</v>
      </c>
      <c r="Z1084" s="85">
        <v>105.282</v>
      </c>
      <c r="AA1084" s="87">
        <v>11450</v>
      </c>
      <c r="AB1084" s="85">
        <v>105.81699999999999</v>
      </c>
      <c r="AC1084" s="87">
        <v>11440</v>
      </c>
      <c r="AD1084" s="85">
        <v>72.064999999999998</v>
      </c>
      <c r="AE1084" s="87">
        <v>11450</v>
      </c>
      <c r="AF1084" s="85">
        <v>73.415000000000006</v>
      </c>
      <c r="AG1084" s="87">
        <v>11430</v>
      </c>
      <c r="AH1084" s="85">
        <v>15.009</v>
      </c>
      <c r="AI1084" s="87">
        <v>11430</v>
      </c>
      <c r="AJ1084" s="85">
        <v>16.251999999999999</v>
      </c>
    </row>
    <row r="1085" spans="1:36" ht="14.25" customHeight="1">
      <c r="A1085" s="88">
        <v>11460</v>
      </c>
      <c r="B1085" s="85">
        <v>32.031999999999996</v>
      </c>
      <c r="C1085" s="88">
        <v>11470</v>
      </c>
      <c r="D1085" s="85">
        <v>31.510999999999999</v>
      </c>
      <c r="E1085" s="86">
        <v>11460</v>
      </c>
      <c r="F1085" s="85">
        <v>98.582999999999998</v>
      </c>
      <c r="G1085" s="87">
        <v>11460</v>
      </c>
      <c r="H1085" s="85">
        <v>98.741</v>
      </c>
      <c r="I1085" s="87">
        <v>11460</v>
      </c>
      <c r="J1085" s="85">
        <v>105.188</v>
      </c>
      <c r="K1085" s="87">
        <v>11460</v>
      </c>
      <c r="L1085" s="85">
        <v>103.86199999999999</v>
      </c>
      <c r="M1085" s="87">
        <v>11460</v>
      </c>
      <c r="N1085" s="85">
        <v>104.925</v>
      </c>
      <c r="O1085" s="87">
        <v>11440</v>
      </c>
      <c r="P1085" s="85">
        <v>105.91500000000001</v>
      </c>
      <c r="Q1085" s="87">
        <v>11460</v>
      </c>
      <c r="R1085" s="85">
        <v>105.648</v>
      </c>
      <c r="S1085" s="87">
        <v>11460</v>
      </c>
      <c r="T1085" s="85">
        <v>106.202</v>
      </c>
      <c r="U1085" s="87">
        <v>11450</v>
      </c>
      <c r="V1085" s="85">
        <v>106.342</v>
      </c>
      <c r="W1085" s="87">
        <v>11460</v>
      </c>
      <c r="X1085" s="85">
        <v>105.54600000000001</v>
      </c>
      <c r="Y1085" s="87">
        <v>11460</v>
      </c>
      <c r="Z1085" s="85">
        <v>104.07299999999999</v>
      </c>
      <c r="AA1085" s="87">
        <v>11460</v>
      </c>
      <c r="AB1085" s="85">
        <v>104.60899999999999</v>
      </c>
      <c r="AC1085" s="87">
        <v>11450</v>
      </c>
      <c r="AD1085" s="85">
        <v>71.376000000000005</v>
      </c>
      <c r="AE1085" s="87">
        <v>11460</v>
      </c>
      <c r="AF1085" s="85">
        <v>72.525000000000006</v>
      </c>
      <c r="AG1085" s="87">
        <v>11440</v>
      </c>
      <c r="AH1085" s="85">
        <v>14.821999999999999</v>
      </c>
      <c r="AI1085" s="87">
        <v>11440</v>
      </c>
      <c r="AJ1085" s="85">
        <v>16.050999999999998</v>
      </c>
    </row>
    <row r="1086" spans="1:36" ht="14.25" customHeight="1">
      <c r="A1086" s="88">
        <v>11470</v>
      </c>
      <c r="B1086" s="85">
        <v>31.61</v>
      </c>
      <c r="C1086" s="88">
        <v>11480</v>
      </c>
      <c r="D1086" s="85">
        <v>31.093</v>
      </c>
      <c r="E1086" s="86">
        <v>11470</v>
      </c>
      <c r="F1086" s="85">
        <v>97.382999999999996</v>
      </c>
      <c r="G1086" s="87">
        <v>11470</v>
      </c>
      <c r="H1086" s="85">
        <v>97.542000000000002</v>
      </c>
      <c r="I1086" s="87">
        <v>11470</v>
      </c>
      <c r="J1086" s="85">
        <v>103.979</v>
      </c>
      <c r="K1086" s="87">
        <v>11470</v>
      </c>
      <c r="L1086" s="85">
        <v>102.651</v>
      </c>
      <c r="M1086" s="87">
        <v>11470</v>
      </c>
      <c r="N1086" s="85">
        <v>103.714</v>
      </c>
      <c r="O1086" s="87">
        <v>11450</v>
      </c>
      <c r="P1086" s="85">
        <v>104.703</v>
      </c>
      <c r="Q1086" s="87">
        <v>11470</v>
      </c>
      <c r="R1086" s="85">
        <v>104.437</v>
      </c>
      <c r="S1086" s="87">
        <v>11470</v>
      </c>
      <c r="T1086" s="85">
        <v>104.99</v>
      </c>
      <c r="U1086" s="87">
        <v>11460</v>
      </c>
      <c r="V1086" s="85">
        <v>105.13200000000001</v>
      </c>
      <c r="W1086" s="87">
        <v>11470</v>
      </c>
      <c r="X1086" s="85">
        <v>104.33499999999999</v>
      </c>
      <c r="Y1086" s="87">
        <v>11470</v>
      </c>
      <c r="Z1086" s="85">
        <v>102.864</v>
      </c>
      <c r="AA1086" s="87">
        <v>11470</v>
      </c>
      <c r="AB1086" s="85">
        <v>103.401</v>
      </c>
      <c r="AC1086" s="87">
        <v>11460</v>
      </c>
      <c r="AD1086" s="85">
        <v>70.289000000000001</v>
      </c>
      <c r="AE1086" s="87">
        <v>11470</v>
      </c>
      <c r="AF1086" s="85">
        <v>71.635999999999996</v>
      </c>
      <c r="AG1086" s="87">
        <v>11450</v>
      </c>
      <c r="AH1086" s="85">
        <v>14.635</v>
      </c>
      <c r="AI1086" s="87">
        <v>11450</v>
      </c>
      <c r="AJ1086" s="85">
        <v>15.849</v>
      </c>
    </row>
    <row r="1087" spans="1:36" ht="14.25" customHeight="1">
      <c r="A1087" s="88">
        <v>11480</v>
      </c>
      <c r="B1087" s="85">
        <v>31.189</v>
      </c>
      <c r="C1087" s="88">
        <v>11490</v>
      </c>
      <c r="D1087" s="85">
        <v>30.675999999999998</v>
      </c>
      <c r="E1087" s="86">
        <v>11480</v>
      </c>
      <c r="F1087" s="85">
        <v>96.185000000000002</v>
      </c>
      <c r="G1087" s="87">
        <v>11480</v>
      </c>
      <c r="H1087" s="85">
        <v>96.343999999999994</v>
      </c>
      <c r="I1087" s="87">
        <v>11480</v>
      </c>
      <c r="J1087" s="85">
        <v>102.76900000000001</v>
      </c>
      <c r="K1087" s="87">
        <v>11480</v>
      </c>
      <c r="L1087" s="85">
        <v>101.44</v>
      </c>
      <c r="M1087" s="87">
        <v>11480</v>
      </c>
      <c r="N1087" s="85">
        <v>102.503</v>
      </c>
      <c r="O1087" s="87">
        <v>11460</v>
      </c>
      <c r="P1087" s="85">
        <v>103.492</v>
      </c>
      <c r="Q1087" s="87">
        <v>11480</v>
      </c>
      <c r="R1087" s="85">
        <v>103.22499999999999</v>
      </c>
      <c r="S1087" s="87">
        <v>11480</v>
      </c>
      <c r="T1087" s="85">
        <v>103.77800000000001</v>
      </c>
      <c r="U1087" s="87">
        <v>11470</v>
      </c>
      <c r="V1087" s="85">
        <v>103.92100000000001</v>
      </c>
      <c r="W1087" s="87">
        <v>11480</v>
      </c>
      <c r="X1087" s="85">
        <v>103.124</v>
      </c>
      <c r="Y1087" s="87">
        <v>11480</v>
      </c>
      <c r="Z1087" s="85">
        <v>101.655</v>
      </c>
      <c r="AA1087" s="87">
        <v>11480</v>
      </c>
      <c r="AB1087" s="85">
        <v>102.193</v>
      </c>
      <c r="AC1087" s="87">
        <v>11470</v>
      </c>
      <c r="AD1087" s="85">
        <v>69.403000000000006</v>
      </c>
      <c r="AE1087" s="87">
        <v>11480</v>
      </c>
      <c r="AF1087" s="85">
        <v>70.748000000000005</v>
      </c>
      <c r="AG1087" s="87">
        <v>11460</v>
      </c>
      <c r="AH1087" s="85">
        <v>14.449</v>
      </c>
      <c r="AI1087" s="87">
        <v>11460</v>
      </c>
      <c r="AJ1087" s="85">
        <v>15.648999999999999</v>
      </c>
    </row>
    <row r="1088" spans="1:36" ht="14.25" customHeight="1">
      <c r="A1088" s="88">
        <v>11490</v>
      </c>
      <c r="B1088" s="85">
        <v>30.768999999999998</v>
      </c>
      <c r="C1088" s="88">
        <v>11500</v>
      </c>
      <c r="D1088" s="85">
        <v>30.26</v>
      </c>
      <c r="E1088" s="86">
        <v>11490</v>
      </c>
      <c r="F1088" s="85">
        <v>94.989000000000004</v>
      </c>
      <c r="G1088" s="87">
        <v>11490</v>
      </c>
      <c r="H1088" s="85">
        <v>95.147999999999996</v>
      </c>
      <c r="I1088" s="87">
        <v>11490</v>
      </c>
      <c r="J1088" s="85">
        <v>101.56</v>
      </c>
      <c r="K1088" s="87">
        <v>11490</v>
      </c>
      <c r="L1088" s="85">
        <v>100.229</v>
      </c>
      <c r="M1088" s="87">
        <v>11490</v>
      </c>
      <c r="N1088" s="85">
        <v>101.292</v>
      </c>
      <c r="O1088" s="87">
        <v>11470</v>
      </c>
      <c r="P1088" s="85">
        <v>102.28</v>
      </c>
      <c r="Q1088" s="87">
        <v>11490</v>
      </c>
      <c r="R1088" s="85">
        <v>102.014</v>
      </c>
      <c r="S1088" s="87">
        <v>11490</v>
      </c>
      <c r="T1088" s="85">
        <v>102.566</v>
      </c>
      <c r="U1088" s="87">
        <v>11480</v>
      </c>
      <c r="V1088" s="85">
        <v>102.71</v>
      </c>
      <c r="W1088" s="87">
        <v>11490</v>
      </c>
      <c r="X1088" s="85">
        <v>101.91200000000001</v>
      </c>
      <c r="Y1088" s="87">
        <v>11490</v>
      </c>
      <c r="Z1088" s="85">
        <v>100.447</v>
      </c>
      <c r="AA1088" s="87">
        <v>11490</v>
      </c>
      <c r="AB1088" s="85">
        <v>100.985</v>
      </c>
      <c r="AC1088" s="87">
        <v>11480</v>
      </c>
      <c r="AD1088" s="85">
        <v>68.519000000000005</v>
      </c>
      <c r="AE1088" s="87">
        <v>11490</v>
      </c>
      <c r="AF1088" s="85">
        <v>69.861999999999995</v>
      </c>
      <c r="AG1088" s="87">
        <v>11470</v>
      </c>
      <c r="AH1088" s="85">
        <v>14.262</v>
      </c>
      <c r="AI1088" s="87">
        <v>11470</v>
      </c>
      <c r="AJ1088" s="85">
        <v>15.449</v>
      </c>
    </row>
    <row r="1089" spans="1:36" ht="14.25" customHeight="1">
      <c r="A1089" s="88">
        <v>11500</v>
      </c>
      <c r="B1089" s="85">
        <v>30.350999999999999</v>
      </c>
      <c r="C1089" s="88">
        <v>11510</v>
      </c>
      <c r="D1089" s="85">
        <v>29.846</v>
      </c>
      <c r="E1089" s="86">
        <v>11500</v>
      </c>
      <c r="F1089" s="85">
        <v>93.793999999999997</v>
      </c>
      <c r="G1089" s="87">
        <v>11500</v>
      </c>
      <c r="H1089" s="85">
        <v>93.953999999999994</v>
      </c>
      <c r="I1089" s="87">
        <v>11500</v>
      </c>
      <c r="J1089" s="85">
        <v>100.351</v>
      </c>
      <c r="K1089" s="87">
        <v>11500</v>
      </c>
      <c r="L1089" s="85">
        <v>99.018000000000001</v>
      </c>
      <c r="M1089" s="87">
        <v>11500</v>
      </c>
      <c r="N1089" s="85">
        <v>100.08</v>
      </c>
      <c r="O1089" s="87">
        <v>11480</v>
      </c>
      <c r="P1089" s="85">
        <v>101.069</v>
      </c>
      <c r="Q1089" s="87">
        <v>11500</v>
      </c>
      <c r="R1089" s="85">
        <v>100.803</v>
      </c>
      <c r="S1089" s="87">
        <v>11500</v>
      </c>
      <c r="T1089" s="85">
        <v>101.354</v>
      </c>
      <c r="U1089" s="87">
        <v>11490</v>
      </c>
      <c r="V1089" s="85">
        <v>101.5</v>
      </c>
      <c r="W1089" s="87">
        <v>11500</v>
      </c>
      <c r="X1089" s="85">
        <v>100.70099999999999</v>
      </c>
      <c r="Y1089" s="87">
        <v>11500</v>
      </c>
      <c r="Z1089" s="85">
        <v>99.238</v>
      </c>
      <c r="AA1089" s="87">
        <v>11500</v>
      </c>
      <c r="AB1089" s="85">
        <v>99.778000000000006</v>
      </c>
      <c r="AC1089" s="87">
        <v>11490</v>
      </c>
      <c r="AD1089" s="85">
        <v>67.637</v>
      </c>
      <c r="AE1089" s="87">
        <v>11500</v>
      </c>
      <c r="AF1089" s="85">
        <v>68.977000000000004</v>
      </c>
      <c r="AG1089" s="87">
        <v>11480</v>
      </c>
      <c r="AH1089" s="85">
        <v>14.077</v>
      </c>
      <c r="AI1089" s="87">
        <v>11480</v>
      </c>
      <c r="AJ1089" s="85">
        <v>15.249000000000001</v>
      </c>
    </row>
    <row r="1090" spans="1:36" ht="14.25" customHeight="1">
      <c r="A1090" s="88">
        <v>11510</v>
      </c>
      <c r="B1090" s="85">
        <v>29.933</v>
      </c>
      <c r="C1090" s="88">
        <v>11520</v>
      </c>
      <c r="D1090" s="85">
        <v>29.433</v>
      </c>
      <c r="E1090" s="86">
        <v>11510</v>
      </c>
      <c r="F1090" s="85">
        <v>92.600999999999999</v>
      </c>
      <c r="G1090" s="87">
        <v>11510</v>
      </c>
      <c r="H1090" s="85">
        <v>92.760999999999996</v>
      </c>
      <c r="I1090" s="87">
        <v>11510</v>
      </c>
      <c r="J1090" s="85">
        <v>99.141999999999996</v>
      </c>
      <c r="K1090" s="87">
        <v>11510</v>
      </c>
      <c r="L1090" s="85">
        <v>97.807000000000002</v>
      </c>
      <c r="M1090" s="87">
        <v>11510</v>
      </c>
      <c r="N1090" s="85">
        <v>98.869</v>
      </c>
      <c r="O1090" s="87">
        <v>11490</v>
      </c>
      <c r="P1090" s="85">
        <v>99.858000000000004</v>
      </c>
      <c r="Q1090" s="87">
        <v>11510</v>
      </c>
      <c r="R1090" s="85">
        <v>99.591999999999999</v>
      </c>
      <c r="S1090" s="87">
        <v>11510</v>
      </c>
      <c r="T1090" s="85">
        <v>100.143</v>
      </c>
      <c r="U1090" s="87">
        <v>11500</v>
      </c>
      <c r="V1090" s="85">
        <v>100.289</v>
      </c>
      <c r="W1090" s="87">
        <v>11510</v>
      </c>
      <c r="X1090" s="85">
        <v>99.49</v>
      </c>
      <c r="Y1090" s="87">
        <v>11510</v>
      </c>
      <c r="Z1090" s="85">
        <v>98.03</v>
      </c>
      <c r="AA1090" s="87">
        <v>11510</v>
      </c>
      <c r="AB1090" s="85">
        <v>98.57</v>
      </c>
      <c r="AC1090" s="87">
        <v>11500</v>
      </c>
      <c r="AD1090" s="85">
        <v>66.756</v>
      </c>
      <c r="AE1090" s="87">
        <v>11510</v>
      </c>
      <c r="AF1090" s="85">
        <v>68.094999999999999</v>
      </c>
      <c r="AG1090" s="87">
        <v>11490</v>
      </c>
      <c r="AH1090" s="85">
        <v>13.891</v>
      </c>
      <c r="AI1090" s="87">
        <v>11490</v>
      </c>
      <c r="AJ1090" s="85">
        <v>15.048999999999999</v>
      </c>
    </row>
    <row r="1091" spans="1:36" ht="14.25" customHeight="1">
      <c r="A1091" s="88">
        <v>11520</v>
      </c>
      <c r="B1091" s="85">
        <v>29.516999999999999</v>
      </c>
      <c r="C1091" s="88">
        <v>11530</v>
      </c>
      <c r="D1091" s="85">
        <v>29.021000000000001</v>
      </c>
      <c r="E1091" s="86">
        <v>11520</v>
      </c>
      <c r="F1091" s="85">
        <v>91.41</v>
      </c>
      <c r="G1091" s="87">
        <v>11520</v>
      </c>
      <c r="H1091" s="85">
        <v>91.57</v>
      </c>
      <c r="I1091" s="87">
        <v>11520</v>
      </c>
      <c r="J1091" s="85">
        <v>97.933000000000007</v>
      </c>
      <c r="K1091" s="87">
        <v>11520</v>
      </c>
      <c r="L1091" s="85">
        <v>96.596999999999994</v>
      </c>
      <c r="M1091" s="87">
        <v>11520</v>
      </c>
      <c r="N1091" s="85">
        <v>97.658000000000001</v>
      </c>
      <c r="O1091" s="87">
        <v>11500</v>
      </c>
      <c r="P1091" s="85">
        <v>98.646000000000001</v>
      </c>
      <c r="Q1091" s="87">
        <v>11520</v>
      </c>
      <c r="R1091" s="85">
        <v>98.381</v>
      </c>
      <c r="S1091" s="87">
        <v>11520</v>
      </c>
      <c r="T1091" s="85">
        <v>98.930999999999997</v>
      </c>
      <c r="U1091" s="87">
        <v>11510</v>
      </c>
      <c r="V1091" s="85">
        <v>99.078000000000003</v>
      </c>
      <c r="W1091" s="87">
        <v>11520</v>
      </c>
      <c r="X1091" s="85">
        <v>98.278999999999996</v>
      </c>
      <c r="Y1091" s="87">
        <v>11520</v>
      </c>
      <c r="Z1091" s="85">
        <v>96.822000000000003</v>
      </c>
      <c r="AA1091" s="87">
        <v>11520</v>
      </c>
      <c r="AB1091" s="85">
        <v>97.363</v>
      </c>
      <c r="AC1091" s="87">
        <v>11510</v>
      </c>
      <c r="AD1091" s="85">
        <v>65.876999999999995</v>
      </c>
      <c r="AE1091" s="87">
        <v>11520</v>
      </c>
      <c r="AF1091" s="85">
        <v>67.212999999999994</v>
      </c>
      <c r="AG1091" s="87">
        <v>11500</v>
      </c>
      <c r="AH1091" s="85">
        <v>13.706</v>
      </c>
      <c r="AI1091" s="87">
        <v>11500</v>
      </c>
      <c r="AJ1091" s="85">
        <v>14.85</v>
      </c>
    </row>
    <row r="1092" spans="1:36" ht="14.25" customHeight="1">
      <c r="A1092" s="88">
        <v>11530</v>
      </c>
      <c r="B1092" s="85">
        <v>29.102</v>
      </c>
      <c r="C1092" s="88">
        <v>11540</v>
      </c>
      <c r="D1092" s="85">
        <v>28.61</v>
      </c>
      <c r="E1092" s="86">
        <v>11530</v>
      </c>
      <c r="F1092" s="85">
        <v>90.22</v>
      </c>
      <c r="G1092" s="87">
        <v>11530</v>
      </c>
      <c r="H1092" s="85">
        <v>90.381</v>
      </c>
      <c r="I1092" s="87">
        <v>11530</v>
      </c>
      <c r="J1092" s="85">
        <v>96.724999999999994</v>
      </c>
      <c r="K1092" s="87">
        <v>11530</v>
      </c>
      <c r="L1092" s="85">
        <v>95.387</v>
      </c>
      <c r="M1092" s="87">
        <v>11530</v>
      </c>
      <c r="N1092" s="85">
        <v>96.447000000000003</v>
      </c>
      <c r="O1092" s="87">
        <v>11510</v>
      </c>
      <c r="P1092" s="85">
        <v>97.435000000000002</v>
      </c>
      <c r="Q1092" s="87">
        <v>11530</v>
      </c>
      <c r="R1092" s="85">
        <v>97.17</v>
      </c>
      <c r="S1092" s="87">
        <v>11530</v>
      </c>
      <c r="T1092" s="85">
        <v>97.718999999999994</v>
      </c>
      <c r="U1092" s="87">
        <v>11520</v>
      </c>
      <c r="V1092" s="85">
        <v>97.867999999999995</v>
      </c>
      <c r="W1092" s="87">
        <v>11530</v>
      </c>
      <c r="X1092" s="85">
        <v>97.066999999999993</v>
      </c>
      <c r="Y1092" s="87">
        <v>11530</v>
      </c>
      <c r="Z1092" s="85">
        <v>95.614000000000004</v>
      </c>
      <c r="AA1092" s="87">
        <v>11530</v>
      </c>
      <c r="AB1092" s="85">
        <v>96.156000000000006</v>
      </c>
      <c r="AC1092" s="87">
        <v>11520</v>
      </c>
      <c r="AD1092" s="85">
        <v>64.998999999999995</v>
      </c>
      <c r="AE1092" s="87">
        <v>11530</v>
      </c>
      <c r="AF1092" s="85">
        <v>66.332999999999998</v>
      </c>
      <c r="AG1092" s="87">
        <v>11510</v>
      </c>
      <c r="AH1092" s="85">
        <v>13.522</v>
      </c>
      <c r="AI1092" s="87">
        <v>11510</v>
      </c>
      <c r="AJ1092" s="85">
        <v>14.651</v>
      </c>
    </row>
    <row r="1093" spans="1:36" ht="14.25" customHeight="1">
      <c r="A1093" s="88">
        <v>11540</v>
      </c>
      <c r="B1093" s="85">
        <v>28.689</v>
      </c>
      <c r="C1093" s="88">
        <v>11550</v>
      </c>
      <c r="D1093" s="85">
        <v>28.2</v>
      </c>
      <c r="E1093" s="86">
        <v>11540</v>
      </c>
      <c r="F1093" s="85">
        <v>89.031999999999996</v>
      </c>
      <c r="G1093" s="87">
        <v>11540</v>
      </c>
      <c r="H1093" s="85">
        <v>89.192999999999998</v>
      </c>
      <c r="I1093" s="87">
        <v>11540</v>
      </c>
      <c r="J1093" s="85">
        <v>95.516000000000005</v>
      </c>
      <c r="K1093" s="87">
        <v>11540</v>
      </c>
      <c r="L1093" s="85">
        <v>94.177000000000007</v>
      </c>
      <c r="M1093" s="87">
        <v>11540</v>
      </c>
      <c r="N1093" s="85">
        <v>95.234999999999999</v>
      </c>
      <c r="O1093" s="87">
        <v>11520</v>
      </c>
      <c r="P1093" s="85">
        <v>96.222999999999999</v>
      </c>
      <c r="Q1093" s="87">
        <v>11540</v>
      </c>
      <c r="R1093" s="85">
        <v>95.957999999999998</v>
      </c>
      <c r="S1093" s="87">
        <v>11540</v>
      </c>
      <c r="T1093" s="85">
        <v>96.507000000000005</v>
      </c>
      <c r="U1093" s="87">
        <v>11530</v>
      </c>
      <c r="V1093" s="85">
        <v>96.656999999999996</v>
      </c>
      <c r="W1093" s="87">
        <v>11540</v>
      </c>
      <c r="X1093" s="85">
        <v>95.855999999999995</v>
      </c>
      <c r="Y1093" s="87">
        <v>11540</v>
      </c>
      <c r="Z1093" s="85">
        <v>94.406000000000006</v>
      </c>
      <c r="AA1093" s="87">
        <v>11540</v>
      </c>
      <c r="AB1093" s="85">
        <v>94.95</v>
      </c>
      <c r="AC1093" s="87">
        <v>11530</v>
      </c>
      <c r="AD1093" s="85">
        <v>64.122</v>
      </c>
      <c r="AE1093" s="87">
        <v>11540</v>
      </c>
      <c r="AF1093" s="85">
        <v>65.454999999999998</v>
      </c>
      <c r="AG1093" s="87">
        <v>11520</v>
      </c>
      <c r="AH1093" s="85">
        <v>13.337999999999999</v>
      </c>
      <c r="AI1093" s="87">
        <v>11520</v>
      </c>
      <c r="AJ1093" s="85">
        <v>14.452999999999999</v>
      </c>
    </row>
    <row r="1094" spans="1:36" ht="14.25" customHeight="1">
      <c r="A1094" s="88">
        <v>11550</v>
      </c>
      <c r="B1094" s="85">
        <v>28.276</v>
      </c>
      <c r="C1094" s="88">
        <v>11560</v>
      </c>
      <c r="D1094" s="85">
        <v>27.792000000000002</v>
      </c>
      <c r="E1094" s="86">
        <v>11550</v>
      </c>
      <c r="F1094" s="85">
        <v>87.846000000000004</v>
      </c>
      <c r="G1094" s="87">
        <v>11550</v>
      </c>
      <c r="H1094" s="85">
        <v>88.007000000000005</v>
      </c>
      <c r="I1094" s="87">
        <v>11550</v>
      </c>
      <c r="J1094" s="85">
        <v>94.308000000000007</v>
      </c>
      <c r="K1094" s="87">
        <v>11550</v>
      </c>
      <c r="L1094" s="85">
        <v>92.966999999999999</v>
      </c>
      <c r="M1094" s="87">
        <v>11550</v>
      </c>
      <c r="N1094" s="85">
        <v>94.024000000000001</v>
      </c>
      <c r="O1094" s="87">
        <v>11530</v>
      </c>
      <c r="P1094" s="85">
        <v>95.012</v>
      </c>
      <c r="Q1094" s="87">
        <v>11550</v>
      </c>
      <c r="R1094" s="85">
        <v>94.747</v>
      </c>
      <c r="S1094" s="87">
        <v>11550</v>
      </c>
      <c r="T1094" s="85">
        <v>95.295000000000002</v>
      </c>
      <c r="U1094" s="87">
        <v>11540</v>
      </c>
      <c r="V1094" s="85">
        <v>95.445999999999998</v>
      </c>
      <c r="W1094" s="87">
        <v>11550</v>
      </c>
      <c r="X1094" s="85">
        <v>94.644999999999996</v>
      </c>
      <c r="Y1094" s="87">
        <v>11550</v>
      </c>
      <c r="Z1094" s="85">
        <v>93.198999999999998</v>
      </c>
      <c r="AA1094" s="87">
        <v>11550</v>
      </c>
      <c r="AB1094" s="85">
        <v>93.742999999999995</v>
      </c>
      <c r="AC1094" s="87">
        <v>11540</v>
      </c>
      <c r="AD1094" s="85">
        <v>63.247999999999998</v>
      </c>
      <c r="AE1094" s="87">
        <v>11550</v>
      </c>
      <c r="AF1094" s="85">
        <v>64.578000000000003</v>
      </c>
      <c r="AG1094" s="87">
        <v>11530</v>
      </c>
      <c r="AH1094" s="85">
        <v>13.154</v>
      </c>
      <c r="AI1094" s="87">
        <v>11530</v>
      </c>
      <c r="AJ1094" s="85">
        <v>14.255000000000001</v>
      </c>
    </row>
    <row r="1095" spans="1:36" ht="14.25" customHeight="1">
      <c r="A1095" s="88">
        <v>11560</v>
      </c>
      <c r="B1095" s="85">
        <v>27.864999999999998</v>
      </c>
      <c r="C1095" s="88">
        <v>11570</v>
      </c>
      <c r="D1095" s="85">
        <v>27.385000000000002</v>
      </c>
      <c r="E1095" s="86">
        <v>11560</v>
      </c>
      <c r="F1095" s="85">
        <v>86.662000000000006</v>
      </c>
      <c r="G1095" s="87">
        <v>11560</v>
      </c>
      <c r="H1095" s="85">
        <v>86.822999999999993</v>
      </c>
      <c r="I1095" s="87">
        <v>11560</v>
      </c>
      <c r="J1095" s="85">
        <v>93.1</v>
      </c>
      <c r="K1095" s="87">
        <v>11560</v>
      </c>
      <c r="L1095" s="85">
        <v>91.757000000000005</v>
      </c>
      <c r="M1095" s="87">
        <v>11560</v>
      </c>
      <c r="N1095" s="85">
        <v>92.813000000000002</v>
      </c>
      <c r="O1095" s="87">
        <v>11540</v>
      </c>
      <c r="P1095" s="85">
        <v>93.8</v>
      </c>
      <c r="Q1095" s="87">
        <v>11560</v>
      </c>
      <c r="R1095" s="85">
        <v>93.536000000000001</v>
      </c>
      <c r="S1095" s="87">
        <v>11560</v>
      </c>
      <c r="T1095" s="85">
        <v>94.082999999999998</v>
      </c>
      <c r="U1095" s="87">
        <v>11550</v>
      </c>
      <c r="V1095" s="85">
        <v>94.236000000000004</v>
      </c>
      <c r="W1095" s="87">
        <v>11560</v>
      </c>
      <c r="X1095" s="85">
        <v>93.433000000000007</v>
      </c>
      <c r="Y1095" s="87">
        <v>11560</v>
      </c>
      <c r="Z1095" s="85">
        <v>91.991</v>
      </c>
      <c r="AA1095" s="87">
        <v>11560</v>
      </c>
      <c r="AB1095" s="85">
        <v>92.537000000000006</v>
      </c>
      <c r="AC1095" s="87">
        <v>11550</v>
      </c>
      <c r="AD1095" s="85">
        <v>62.374000000000002</v>
      </c>
      <c r="AE1095" s="87">
        <v>11560</v>
      </c>
      <c r="AF1095" s="85">
        <v>63.703000000000003</v>
      </c>
      <c r="AG1095" s="87">
        <v>11540</v>
      </c>
      <c r="AH1095" s="85">
        <v>12.971</v>
      </c>
      <c r="AI1095" s="87">
        <v>11540</v>
      </c>
      <c r="AJ1095" s="85">
        <v>14.058</v>
      </c>
    </row>
    <row r="1096" spans="1:36" ht="14.25" customHeight="1">
      <c r="A1096" s="88">
        <v>11570</v>
      </c>
      <c r="B1096" s="85">
        <v>27.454999999999998</v>
      </c>
      <c r="C1096" s="88">
        <v>11580</v>
      </c>
      <c r="D1096" s="85">
        <v>26.978999999999999</v>
      </c>
      <c r="E1096" s="86">
        <v>11570</v>
      </c>
      <c r="F1096" s="85">
        <v>85.478999999999999</v>
      </c>
      <c r="G1096" s="87">
        <v>11570</v>
      </c>
      <c r="H1096" s="85">
        <v>85.64</v>
      </c>
      <c r="I1096" s="87">
        <v>11570</v>
      </c>
      <c r="J1096" s="85">
        <v>91.891999999999996</v>
      </c>
      <c r="K1096" s="87">
        <v>11570</v>
      </c>
      <c r="L1096" s="85">
        <v>90.546999999999997</v>
      </c>
      <c r="M1096" s="87">
        <v>11570</v>
      </c>
      <c r="N1096" s="85">
        <v>91.602000000000004</v>
      </c>
      <c r="O1096" s="87">
        <v>11550</v>
      </c>
      <c r="P1096" s="85">
        <v>92.588999999999999</v>
      </c>
      <c r="Q1096" s="87">
        <v>11570</v>
      </c>
      <c r="R1096" s="85">
        <v>92.325000000000003</v>
      </c>
      <c r="S1096" s="87">
        <v>11570</v>
      </c>
      <c r="T1096" s="85">
        <v>92.870999999999995</v>
      </c>
      <c r="U1096" s="87">
        <v>11560</v>
      </c>
      <c r="V1096" s="85">
        <v>93.025000000000006</v>
      </c>
      <c r="W1096" s="87">
        <v>11570</v>
      </c>
      <c r="X1096" s="85">
        <v>92.221999999999994</v>
      </c>
      <c r="Y1096" s="87">
        <v>11570</v>
      </c>
      <c r="Z1096" s="85">
        <v>90.784000000000006</v>
      </c>
      <c r="AA1096" s="87">
        <v>11570</v>
      </c>
      <c r="AB1096" s="85">
        <v>91.33</v>
      </c>
      <c r="AC1096" s="87">
        <v>11560</v>
      </c>
      <c r="AD1096" s="85">
        <v>61.503</v>
      </c>
      <c r="AE1096" s="87">
        <v>11570</v>
      </c>
      <c r="AF1096" s="85">
        <v>62.829000000000001</v>
      </c>
      <c r="AG1096" s="87">
        <v>11550</v>
      </c>
      <c r="AH1096" s="85">
        <v>12.788</v>
      </c>
      <c r="AI1096" s="87">
        <v>11550</v>
      </c>
      <c r="AJ1096" s="85">
        <v>13.861000000000001</v>
      </c>
    </row>
    <row r="1097" spans="1:36" ht="14.25" customHeight="1">
      <c r="A1097" s="88">
        <v>11580</v>
      </c>
      <c r="B1097" s="85">
        <v>27.045999999999999</v>
      </c>
      <c r="C1097" s="88">
        <v>11590</v>
      </c>
      <c r="D1097" s="85">
        <v>26.574000000000002</v>
      </c>
      <c r="E1097" s="86">
        <v>11580</v>
      </c>
      <c r="F1097" s="85">
        <v>84.298000000000002</v>
      </c>
      <c r="G1097" s="87">
        <v>11580</v>
      </c>
      <c r="H1097" s="85">
        <v>84.459000000000003</v>
      </c>
      <c r="I1097" s="87">
        <v>11580</v>
      </c>
      <c r="J1097" s="85">
        <v>90.683999999999997</v>
      </c>
      <c r="K1097" s="87">
        <v>11580</v>
      </c>
      <c r="L1097" s="85">
        <v>89.337999999999994</v>
      </c>
      <c r="M1097" s="87">
        <v>11580</v>
      </c>
      <c r="N1097" s="85">
        <v>90.391000000000005</v>
      </c>
      <c r="O1097" s="87">
        <v>11560</v>
      </c>
      <c r="P1097" s="85">
        <v>91.376999999999995</v>
      </c>
      <c r="Q1097" s="87">
        <v>11580</v>
      </c>
      <c r="R1097" s="85">
        <v>91.114000000000004</v>
      </c>
      <c r="S1097" s="87">
        <v>11580</v>
      </c>
      <c r="T1097" s="85">
        <v>91.659000000000006</v>
      </c>
      <c r="U1097" s="87">
        <v>11570</v>
      </c>
      <c r="V1097" s="85">
        <v>91.813999999999993</v>
      </c>
      <c r="W1097" s="87">
        <v>11580</v>
      </c>
      <c r="X1097" s="85">
        <v>91.010999999999996</v>
      </c>
      <c r="Y1097" s="87">
        <v>11580</v>
      </c>
      <c r="Z1097" s="85">
        <v>89.576999999999998</v>
      </c>
      <c r="AA1097" s="87">
        <v>11580</v>
      </c>
      <c r="AB1097" s="85">
        <v>90.123999999999995</v>
      </c>
      <c r="AC1097" s="87">
        <v>11570</v>
      </c>
      <c r="AD1097" s="85">
        <v>60.633000000000003</v>
      </c>
      <c r="AE1097" s="87">
        <v>11580</v>
      </c>
      <c r="AF1097" s="85">
        <v>61.957000000000001</v>
      </c>
      <c r="AG1097" s="87">
        <v>11560</v>
      </c>
      <c r="AH1097" s="85">
        <v>12.605</v>
      </c>
      <c r="AI1097" s="87">
        <v>11560</v>
      </c>
      <c r="AJ1097" s="85">
        <v>13.664</v>
      </c>
    </row>
    <row r="1098" spans="1:36" ht="14.25" customHeight="1">
      <c r="A1098" s="88">
        <v>11590</v>
      </c>
      <c r="B1098" s="85">
        <v>26.638999999999999</v>
      </c>
      <c r="C1098" s="88">
        <v>11600</v>
      </c>
      <c r="D1098" s="85">
        <v>26.170999999999999</v>
      </c>
      <c r="E1098" s="86">
        <v>11590</v>
      </c>
      <c r="F1098" s="85">
        <v>83.117999999999995</v>
      </c>
      <c r="G1098" s="87">
        <v>11590</v>
      </c>
      <c r="H1098" s="85">
        <v>83.28</v>
      </c>
      <c r="I1098" s="87">
        <v>11590</v>
      </c>
      <c r="J1098" s="85">
        <v>89.477000000000004</v>
      </c>
      <c r="K1098" s="87">
        <v>11590</v>
      </c>
      <c r="L1098" s="85">
        <v>88.129000000000005</v>
      </c>
      <c r="M1098" s="87">
        <v>11590</v>
      </c>
      <c r="N1098" s="85">
        <v>89.179000000000002</v>
      </c>
      <c r="O1098" s="87">
        <v>11570</v>
      </c>
      <c r="P1098" s="85">
        <v>90.165999999999997</v>
      </c>
      <c r="Q1098" s="87">
        <v>11590</v>
      </c>
      <c r="R1098" s="85">
        <v>89.902000000000001</v>
      </c>
      <c r="S1098" s="87">
        <v>11590</v>
      </c>
      <c r="T1098" s="85">
        <v>90.447000000000003</v>
      </c>
      <c r="U1098" s="87">
        <v>11580</v>
      </c>
      <c r="V1098" s="85">
        <v>90.603999999999999</v>
      </c>
      <c r="W1098" s="87">
        <v>11590</v>
      </c>
      <c r="X1098" s="85">
        <v>89.8</v>
      </c>
      <c r="Y1098" s="87">
        <v>11590</v>
      </c>
      <c r="Z1098" s="85">
        <v>88.370999999999995</v>
      </c>
      <c r="AA1098" s="87">
        <v>11590</v>
      </c>
      <c r="AB1098" s="85">
        <v>88.918999999999997</v>
      </c>
      <c r="AC1098" s="87">
        <v>11580</v>
      </c>
      <c r="AD1098" s="85">
        <v>59.764000000000003</v>
      </c>
      <c r="AE1098" s="87">
        <v>11590</v>
      </c>
      <c r="AF1098" s="85">
        <v>61.085999999999999</v>
      </c>
      <c r="AG1098" s="87">
        <v>11570</v>
      </c>
      <c r="AH1098" s="85">
        <v>12.423</v>
      </c>
      <c r="AI1098" s="87">
        <v>11570</v>
      </c>
      <c r="AJ1098" s="85">
        <v>13.468</v>
      </c>
    </row>
    <row r="1099" spans="1:36" ht="14.25" customHeight="1">
      <c r="A1099" s="88">
        <v>11600</v>
      </c>
      <c r="B1099" s="85">
        <v>26.233000000000001</v>
      </c>
      <c r="C1099" s="88">
        <v>11610</v>
      </c>
      <c r="D1099" s="85">
        <v>25.768000000000001</v>
      </c>
      <c r="E1099" s="86">
        <v>11600</v>
      </c>
      <c r="F1099" s="85">
        <v>81.941000000000003</v>
      </c>
      <c r="G1099" s="87">
        <v>11600</v>
      </c>
      <c r="H1099" s="85">
        <v>82.102999999999994</v>
      </c>
      <c r="I1099" s="87">
        <v>11600</v>
      </c>
      <c r="J1099" s="85">
        <v>88.269000000000005</v>
      </c>
      <c r="K1099" s="87">
        <v>11600</v>
      </c>
      <c r="L1099" s="85">
        <v>86.92</v>
      </c>
      <c r="M1099" s="87">
        <v>11600</v>
      </c>
      <c r="N1099" s="85">
        <v>87.968000000000004</v>
      </c>
      <c r="O1099" s="87">
        <v>11580</v>
      </c>
      <c r="P1099" s="85">
        <v>88.953999999999994</v>
      </c>
      <c r="Q1099" s="87">
        <v>11600</v>
      </c>
      <c r="R1099" s="85">
        <v>88.691000000000003</v>
      </c>
      <c r="S1099" s="87">
        <v>11600</v>
      </c>
      <c r="T1099" s="85">
        <v>89.234999999999999</v>
      </c>
      <c r="U1099" s="87">
        <v>11590</v>
      </c>
      <c r="V1099" s="85">
        <v>89.393000000000001</v>
      </c>
      <c r="W1099" s="87">
        <v>11600</v>
      </c>
      <c r="X1099" s="85">
        <v>88.587999999999994</v>
      </c>
      <c r="Y1099" s="87">
        <v>11600</v>
      </c>
      <c r="Z1099" s="85">
        <v>87.164000000000001</v>
      </c>
      <c r="AA1099" s="87">
        <v>11600</v>
      </c>
      <c r="AB1099" s="85">
        <v>87.712999999999994</v>
      </c>
      <c r="AC1099" s="87">
        <v>11590</v>
      </c>
      <c r="AD1099" s="85">
        <v>58.896999999999998</v>
      </c>
      <c r="AE1099" s="87">
        <v>11600</v>
      </c>
      <c r="AF1099" s="85">
        <v>60.216999999999999</v>
      </c>
      <c r="AG1099" s="87">
        <v>11580</v>
      </c>
      <c r="AH1099" s="85">
        <v>12.241</v>
      </c>
      <c r="AI1099" s="87">
        <v>11580</v>
      </c>
      <c r="AJ1099" s="85">
        <v>13.272</v>
      </c>
    </row>
    <row r="1100" spans="1:36" ht="14.25" customHeight="1">
      <c r="A1100" s="88">
        <v>11610</v>
      </c>
      <c r="B1100" s="85">
        <v>25.827999999999999</v>
      </c>
      <c r="C1100" s="88">
        <v>11620</v>
      </c>
      <c r="D1100" s="85">
        <v>25.367000000000001</v>
      </c>
      <c r="E1100" s="86">
        <v>11610</v>
      </c>
      <c r="F1100" s="85">
        <v>80.765000000000001</v>
      </c>
      <c r="G1100" s="87">
        <v>11610</v>
      </c>
      <c r="H1100" s="85">
        <v>80.927000000000007</v>
      </c>
      <c r="I1100" s="87">
        <v>11610</v>
      </c>
      <c r="J1100" s="85">
        <v>87.061999999999998</v>
      </c>
      <c r="K1100" s="87">
        <v>11610</v>
      </c>
      <c r="L1100" s="85">
        <v>85.712000000000003</v>
      </c>
      <c r="M1100" s="87">
        <v>11610</v>
      </c>
      <c r="N1100" s="85">
        <v>86.757000000000005</v>
      </c>
      <c r="O1100" s="87">
        <v>11590</v>
      </c>
      <c r="P1100" s="85">
        <v>87.742999999999995</v>
      </c>
      <c r="Q1100" s="87">
        <v>11610</v>
      </c>
      <c r="R1100" s="85">
        <v>87.48</v>
      </c>
      <c r="S1100" s="87">
        <v>11610</v>
      </c>
      <c r="T1100" s="85">
        <v>88.024000000000001</v>
      </c>
      <c r="U1100" s="87">
        <v>11600</v>
      </c>
      <c r="V1100" s="85">
        <v>88.182000000000002</v>
      </c>
      <c r="W1100" s="87">
        <v>11610</v>
      </c>
      <c r="X1100" s="85">
        <v>87.376999999999995</v>
      </c>
      <c r="Y1100" s="87">
        <v>11610</v>
      </c>
      <c r="Z1100" s="85">
        <v>85.957999999999998</v>
      </c>
      <c r="AA1100" s="87">
        <v>11610</v>
      </c>
      <c r="AB1100" s="85">
        <v>86.507999999999996</v>
      </c>
      <c r="AC1100" s="87">
        <v>11600</v>
      </c>
      <c r="AD1100" s="85">
        <v>58.031999999999996</v>
      </c>
      <c r="AE1100" s="87">
        <v>11610</v>
      </c>
      <c r="AF1100" s="85">
        <v>59.348999999999997</v>
      </c>
      <c r="AG1100" s="87">
        <v>11590</v>
      </c>
      <c r="AH1100" s="85">
        <v>12.06</v>
      </c>
      <c r="AI1100" s="87">
        <v>11590</v>
      </c>
      <c r="AJ1100" s="85">
        <v>13.076000000000001</v>
      </c>
    </row>
    <row r="1101" spans="1:36" ht="14.25" customHeight="1">
      <c r="A1101" s="88">
        <v>11620</v>
      </c>
      <c r="B1101" s="85">
        <v>25.423999999999999</v>
      </c>
      <c r="C1101" s="88">
        <v>11630</v>
      </c>
      <c r="D1101" s="85">
        <v>24.968</v>
      </c>
      <c r="E1101" s="86">
        <v>11620</v>
      </c>
      <c r="F1101" s="85">
        <v>79.59</v>
      </c>
      <c r="G1101" s="87">
        <v>11620</v>
      </c>
      <c r="H1101" s="85">
        <v>79.751999999999995</v>
      </c>
      <c r="I1101" s="87">
        <v>11620</v>
      </c>
      <c r="J1101" s="85">
        <v>85.855000000000004</v>
      </c>
      <c r="K1101" s="87">
        <v>11620</v>
      </c>
      <c r="L1101" s="85">
        <v>84.503</v>
      </c>
      <c r="M1101" s="87">
        <v>11620</v>
      </c>
      <c r="N1101" s="85">
        <v>85.546000000000006</v>
      </c>
      <c r="O1101" s="87">
        <v>11600</v>
      </c>
      <c r="P1101" s="85">
        <v>86.531999999999996</v>
      </c>
      <c r="Q1101" s="87">
        <v>11620</v>
      </c>
      <c r="R1101" s="85">
        <v>86.269000000000005</v>
      </c>
      <c r="S1101" s="87">
        <v>11620</v>
      </c>
      <c r="T1101" s="85">
        <v>86.811999999999998</v>
      </c>
      <c r="U1101" s="87">
        <v>11610</v>
      </c>
      <c r="V1101" s="85">
        <v>86.971999999999994</v>
      </c>
      <c r="W1101" s="87">
        <v>11620</v>
      </c>
      <c r="X1101" s="85">
        <v>86.165999999999997</v>
      </c>
      <c r="Y1101" s="87">
        <v>11620</v>
      </c>
      <c r="Z1101" s="85">
        <v>84.751999999999995</v>
      </c>
      <c r="AA1101" s="87">
        <v>11620</v>
      </c>
      <c r="AB1101" s="85">
        <v>85.302999999999997</v>
      </c>
      <c r="AC1101" s="87">
        <v>11610</v>
      </c>
      <c r="AD1101" s="85">
        <v>57.167999999999999</v>
      </c>
      <c r="AE1101" s="87">
        <v>11620</v>
      </c>
      <c r="AF1101" s="85">
        <v>58.482999999999997</v>
      </c>
      <c r="AG1101" s="87">
        <v>11600</v>
      </c>
      <c r="AH1101" s="85">
        <v>11.879</v>
      </c>
      <c r="AI1101" s="87">
        <v>11600</v>
      </c>
      <c r="AJ1101" s="85">
        <v>12.881</v>
      </c>
    </row>
    <row r="1102" spans="1:36" ht="14.25" customHeight="1">
      <c r="A1102" s="88">
        <v>11630</v>
      </c>
      <c r="B1102" s="85">
        <v>25.021000000000001</v>
      </c>
      <c r="C1102" s="88">
        <v>11640</v>
      </c>
      <c r="D1102" s="85">
        <v>24.568999999999999</v>
      </c>
      <c r="E1102" s="86">
        <v>11630</v>
      </c>
      <c r="F1102" s="85">
        <v>78.418000000000006</v>
      </c>
      <c r="G1102" s="87">
        <v>11630</v>
      </c>
      <c r="H1102" s="85">
        <v>78.58</v>
      </c>
      <c r="I1102" s="87">
        <v>11630</v>
      </c>
      <c r="J1102" s="85">
        <v>84.649000000000001</v>
      </c>
      <c r="K1102" s="87">
        <v>11630</v>
      </c>
      <c r="L1102" s="85">
        <v>83.295000000000002</v>
      </c>
      <c r="M1102" s="87">
        <v>11630</v>
      </c>
      <c r="N1102" s="85">
        <v>84.334999999999994</v>
      </c>
      <c r="O1102" s="87">
        <v>11610</v>
      </c>
      <c r="P1102" s="85">
        <v>85.32</v>
      </c>
      <c r="Q1102" s="87">
        <v>11630</v>
      </c>
      <c r="R1102" s="85">
        <v>85.058000000000007</v>
      </c>
      <c r="S1102" s="87">
        <v>11630</v>
      </c>
      <c r="T1102" s="85">
        <v>85.6</v>
      </c>
      <c r="U1102" s="87">
        <v>11620</v>
      </c>
      <c r="V1102" s="85">
        <v>85.760999999999996</v>
      </c>
      <c r="W1102" s="87">
        <v>11630</v>
      </c>
      <c r="X1102" s="85">
        <v>84.953999999999994</v>
      </c>
      <c r="Y1102" s="87">
        <v>11630</v>
      </c>
      <c r="Z1102" s="85">
        <v>83.546000000000006</v>
      </c>
      <c r="AA1102" s="87">
        <v>11630</v>
      </c>
      <c r="AB1102" s="85">
        <v>84.097999999999999</v>
      </c>
      <c r="AC1102" s="87">
        <v>11620</v>
      </c>
      <c r="AD1102" s="85">
        <v>56.305</v>
      </c>
      <c r="AE1102" s="87">
        <v>11630</v>
      </c>
      <c r="AF1102" s="85">
        <v>57.619</v>
      </c>
      <c r="AG1102" s="87">
        <v>11610</v>
      </c>
      <c r="AH1102" s="85">
        <v>11.699</v>
      </c>
      <c r="AI1102" s="87">
        <v>11610</v>
      </c>
      <c r="AJ1102" s="85">
        <v>12.686999999999999</v>
      </c>
    </row>
    <row r="1103" spans="1:36" ht="14.25" customHeight="1">
      <c r="A1103" s="88">
        <v>11640</v>
      </c>
      <c r="B1103" s="85">
        <v>24.62</v>
      </c>
      <c r="C1103" s="88">
        <v>11650</v>
      </c>
      <c r="D1103" s="85">
        <v>24.172000000000001</v>
      </c>
      <c r="E1103" s="86">
        <v>11640</v>
      </c>
      <c r="F1103" s="85">
        <v>77.247</v>
      </c>
      <c r="G1103" s="87">
        <v>11640</v>
      </c>
      <c r="H1103" s="85">
        <v>77.409000000000006</v>
      </c>
      <c r="I1103" s="87">
        <v>11640</v>
      </c>
      <c r="J1103" s="85">
        <v>83.441999999999993</v>
      </c>
      <c r="K1103" s="87">
        <v>11640</v>
      </c>
      <c r="L1103" s="85">
        <v>82.087000000000003</v>
      </c>
      <c r="M1103" s="87">
        <v>11640</v>
      </c>
      <c r="N1103" s="85">
        <v>83.123000000000005</v>
      </c>
      <c r="O1103" s="87">
        <v>11620</v>
      </c>
      <c r="P1103" s="85">
        <v>84.108999999999995</v>
      </c>
      <c r="Q1103" s="87">
        <v>11640</v>
      </c>
      <c r="R1103" s="85">
        <v>83.846999999999994</v>
      </c>
      <c r="S1103" s="87">
        <v>11640</v>
      </c>
      <c r="T1103" s="85">
        <v>84.388000000000005</v>
      </c>
      <c r="U1103" s="87">
        <v>11630</v>
      </c>
      <c r="V1103" s="85">
        <v>84.55</v>
      </c>
      <c r="W1103" s="87">
        <v>11640</v>
      </c>
      <c r="X1103" s="85">
        <v>83.742999999999995</v>
      </c>
      <c r="Y1103" s="87">
        <v>11640</v>
      </c>
      <c r="Z1103" s="85">
        <v>82.34</v>
      </c>
      <c r="AA1103" s="87">
        <v>11640</v>
      </c>
      <c r="AB1103" s="85">
        <v>82.894000000000005</v>
      </c>
      <c r="AC1103" s="87">
        <v>11630</v>
      </c>
      <c r="AD1103" s="85">
        <v>55.444000000000003</v>
      </c>
      <c r="AE1103" s="87">
        <v>11640</v>
      </c>
      <c r="AF1103" s="85">
        <v>56.756</v>
      </c>
      <c r="AG1103" s="87">
        <v>11620</v>
      </c>
      <c r="AH1103" s="85">
        <v>11.518000000000001</v>
      </c>
      <c r="AI1103" s="87">
        <v>11620</v>
      </c>
      <c r="AJ1103" s="85">
        <v>12.492000000000001</v>
      </c>
    </row>
    <row r="1104" spans="1:36" ht="14.25" customHeight="1">
      <c r="A1104" s="88">
        <v>11650</v>
      </c>
      <c r="B1104" s="85">
        <v>24.22</v>
      </c>
      <c r="C1104" s="88">
        <v>11660</v>
      </c>
      <c r="D1104" s="85">
        <v>23.776</v>
      </c>
      <c r="E1104" s="86">
        <v>11650</v>
      </c>
      <c r="F1104" s="85">
        <v>76.076999999999998</v>
      </c>
      <c r="G1104" s="87">
        <v>11650</v>
      </c>
      <c r="H1104" s="85">
        <v>76.239000000000004</v>
      </c>
      <c r="I1104" s="87">
        <v>11650</v>
      </c>
      <c r="J1104" s="85">
        <v>82.236000000000004</v>
      </c>
      <c r="K1104" s="87">
        <v>11650</v>
      </c>
      <c r="L1104" s="85">
        <v>80.879000000000005</v>
      </c>
      <c r="M1104" s="87">
        <v>11650</v>
      </c>
      <c r="N1104" s="85">
        <v>81.912000000000006</v>
      </c>
      <c r="O1104" s="87">
        <v>11630</v>
      </c>
      <c r="P1104" s="85">
        <v>82.897000000000006</v>
      </c>
      <c r="Q1104" s="87">
        <v>11650</v>
      </c>
      <c r="R1104" s="85">
        <v>82.635999999999996</v>
      </c>
      <c r="S1104" s="87">
        <v>11650</v>
      </c>
      <c r="T1104" s="85">
        <v>83.176000000000002</v>
      </c>
      <c r="U1104" s="87">
        <v>11640</v>
      </c>
      <c r="V1104" s="85">
        <v>83.34</v>
      </c>
      <c r="W1104" s="87">
        <v>11650</v>
      </c>
      <c r="X1104" s="85">
        <v>82.531999999999996</v>
      </c>
      <c r="Y1104" s="87">
        <v>11650</v>
      </c>
      <c r="Z1104" s="85">
        <v>81.135000000000005</v>
      </c>
      <c r="AA1104" s="87">
        <v>11650</v>
      </c>
      <c r="AB1104" s="85">
        <v>81.69</v>
      </c>
      <c r="AC1104" s="87">
        <v>11640</v>
      </c>
      <c r="AD1104" s="85">
        <v>54.585000000000001</v>
      </c>
      <c r="AE1104" s="87">
        <v>11650</v>
      </c>
      <c r="AF1104" s="85">
        <v>55.893999999999998</v>
      </c>
      <c r="AG1104" s="87">
        <v>11630</v>
      </c>
      <c r="AH1104" s="85">
        <v>11.339</v>
      </c>
      <c r="AI1104" s="87">
        <v>11630</v>
      </c>
      <c r="AJ1104" s="85">
        <v>12.298</v>
      </c>
    </row>
    <row r="1105" spans="1:36" ht="14.25" customHeight="1">
      <c r="A1105" s="88">
        <v>11660</v>
      </c>
      <c r="B1105" s="85">
        <v>23.821000000000002</v>
      </c>
      <c r="C1105" s="88">
        <v>11670</v>
      </c>
      <c r="D1105" s="85">
        <v>23.381</v>
      </c>
      <c r="E1105" s="86">
        <v>11660</v>
      </c>
      <c r="F1105" s="85">
        <v>74.91</v>
      </c>
      <c r="G1105" s="87">
        <v>11660</v>
      </c>
      <c r="H1105" s="85">
        <v>75.072000000000003</v>
      </c>
      <c r="I1105" s="87">
        <v>11660</v>
      </c>
      <c r="J1105" s="85">
        <v>81.03</v>
      </c>
      <c r="K1105" s="87">
        <v>11660</v>
      </c>
      <c r="L1105" s="85">
        <v>79.671999999999997</v>
      </c>
      <c r="M1105" s="87">
        <v>11660</v>
      </c>
      <c r="N1105" s="85">
        <v>80.700999999999993</v>
      </c>
      <c r="O1105" s="87">
        <v>11640</v>
      </c>
      <c r="P1105" s="85">
        <v>81.686000000000007</v>
      </c>
      <c r="Q1105" s="87">
        <v>11660</v>
      </c>
      <c r="R1105" s="85">
        <v>81.424000000000007</v>
      </c>
      <c r="S1105" s="87">
        <v>11660</v>
      </c>
      <c r="T1105" s="85">
        <v>81.963999999999999</v>
      </c>
      <c r="U1105" s="87">
        <v>11650</v>
      </c>
      <c r="V1105" s="85">
        <v>82.129000000000005</v>
      </c>
      <c r="W1105" s="87">
        <v>11660</v>
      </c>
      <c r="X1105" s="85">
        <v>81.320999999999998</v>
      </c>
      <c r="Y1105" s="87">
        <v>11660</v>
      </c>
      <c r="Z1105" s="85">
        <v>79.930000000000007</v>
      </c>
      <c r="AA1105" s="87">
        <v>11660</v>
      </c>
      <c r="AB1105" s="85">
        <v>80.486000000000004</v>
      </c>
      <c r="AC1105" s="87">
        <v>11650</v>
      </c>
      <c r="AD1105" s="85">
        <v>53.726999999999997</v>
      </c>
      <c r="AE1105" s="87">
        <v>11660</v>
      </c>
      <c r="AF1105" s="85">
        <v>55.033999999999999</v>
      </c>
      <c r="AG1105" s="87">
        <v>11640</v>
      </c>
      <c r="AH1105" s="85">
        <v>11.159000000000001</v>
      </c>
      <c r="AI1105" s="87">
        <v>11640</v>
      </c>
      <c r="AJ1105" s="85">
        <v>12.105</v>
      </c>
    </row>
    <row r="1106" spans="1:36" ht="14.25" customHeight="1">
      <c r="A1106" s="88">
        <v>11670</v>
      </c>
      <c r="B1106" s="85">
        <v>23.423999999999999</v>
      </c>
      <c r="C1106" s="88">
        <v>11680</v>
      </c>
      <c r="D1106" s="85">
        <v>22.986999999999998</v>
      </c>
      <c r="E1106" s="86">
        <v>11670</v>
      </c>
      <c r="F1106" s="85">
        <v>73.744</v>
      </c>
      <c r="G1106" s="87">
        <v>11670</v>
      </c>
      <c r="H1106" s="85">
        <v>73.906000000000006</v>
      </c>
      <c r="I1106" s="87">
        <v>11670</v>
      </c>
      <c r="J1106" s="85">
        <v>79.823999999999998</v>
      </c>
      <c r="K1106" s="87">
        <v>11670</v>
      </c>
      <c r="L1106" s="85">
        <v>78.463999999999999</v>
      </c>
      <c r="M1106" s="87">
        <v>11670</v>
      </c>
      <c r="N1106" s="85">
        <v>79.489999999999995</v>
      </c>
      <c r="O1106" s="87">
        <v>11650</v>
      </c>
      <c r="P1106" s="85">
        <v>80.474000000000004</v>
      </c>
      <c r="Q1106" s="87">
        <v>11670</v>
      </c>
      <c r="R1106" s="85">
        <v>80.212999999999994</v>
      </c>
      <c r="S1106" s="87">
        <v>11670</v>
      </c>
      <c r="T1106" s="85">
        <v>80.751999999999995</v>
      </c>
      <c r="U1106" s="87">
        <v>11660</v>
      </c>
      <c r="V1106" s="85">
        <v>80.918000000000006</v>
      </c>
      <c r="W1106" s="87">
        <v>11670</v>
      </c>
      <c r="X1106" s="85">
        <v>80.108999999999995</v>
      </c>
      <c r="Y1106" s="87">
        <v>11670</v>
      </c>
      <c r="Z1106" s="85">
        <v>78.724999999999994</v>
      </c>
      <c r="AA1106" s="87">
        <v>11670</v>
      </c>
      <c r="AB1106" s="85">
        <v>79.281999999999996</v>
      </c>
      <c r="AC1106" s="87">
        <v>11660</v>
      </c>
      <c r="AD1106" s="85">
        <v>52.871000000000002</v>
      </c>
      <c r="AE1106" s="87">
        <v>11670</v>
      </c>
      <c r="AF1106" s="85">
        <v>54.176000000000002</v>
      </c>
      <c r="AG1106" s="87">
        <v>11650</v>
      </c>
      <c r="AH1106" s="85">
        <v>10.98</v>
      </c>
      <c r="AI1106" s="87">
        <v>11650</v>
      </c>
      <c r="AJ1106" s="85">
        <v>11.912000000000001</v>
      </c>
    </row>
    <row r="1107" spans="1:36" ht="14.25" customHeight="1">
      <c r="A1107" s="88">
        <v>11680</v>
      </c>
      <c r="B1107" s="85">
        <v>23.027000000000001</v>
      </c>
      <c r="C1107" s="88">
        <v>11690</v>
      </c>
      <c r="D1107" s="85">
        <v>22.594999999999999</v>
      </c>
      <c r="E1107" s="86">
        <v>11680</v>
      </c>
      <c r="F1107" s="85">
        <v>72.578999999999994</v>
      </c>
      <c r="G1107" s="87">
        <v>11680</v>
      </c>
      <c r="H1107" s="85">
        <v>72.741</v>
      </c>
      <c r="I1107" s="87">
        <v>11680</v>
      </c>
      <c r="J1107" s="85">
        <v>78.617999999999995</v>
      </c>
      <c r="K1107" s="87">
        <v>11680</v>
      </c>
      <c r="L1107" s="85">
        <v>77.257000000000005</v>
      </c>
      <c r="M1107" s="87">
        <v>11680</v>
      </c>
      <c r="N1107" s="85">
        <v>78.278999999999996</v>
      </c>
      <c r="O1107" s="87">
        <v>11660</v>
      </c>
      <c r="P1107" s="85">
        <v>79.263000000000005</v>
      </c>
      <c r="Q1107" s="87">
        <v>11680</v>
      </c>
      <c r="R1107" s="85">
        <v>79.001999999999995</v>
      </c>
      <c r="S1107" s="87">
        <v>11680</v>
      </c>
      <c r="T1107" s="85">
        <v>79.540000000000006</v>
      </c>
      <c r="U1107" s="87">
        <v>11670</v>
      </c>
      <c r="V1107" s="85">
        <v>79.707999999999998</v>
      </c>
      <c r="W1107" s="87">
        <v>11680</v>
      </c>
      <c r="X1107" s="85">
        <v>78.897999999999996</v>
      </c>
      <c r="Y1107" s="87">
        <v>11680</v>
      </c>
      <c r="Z1107" s="85">
        <v>77.52</v>
      </c>
      <c r="AA1107" s="87">
        <v>11680</v>
      </c>
      <c r="AB1107" s="85">
        <v>78.078999999999994</v>
      </c>
      <c r="AC1107" s="87">
        <v>11670</v>
      </c>
      <c r="AD1107" s="85">
        <v>52.015999999999998</v>
      </c>
      <c r="AE1107" s="87">
        <v>11680</v>
      </c>
      <c r="AF1107" s="85">
        <v>53.319000000000003</v>
      </c>
      <c r="AG1107" s="87">
        <v>11660</v>
      </c>
      <c r="AH1107" s="85">
        <v>10.802</v>
      </c>
      <c r="AI1107" s="87">
        <v>11660</v>
      </c>
      <c r="AJ1107" s="85">
        <v>11.718999999999999</v>
      </c>
    </row>
    <row r="1108" spans="1:36" ht="14.25" customHeight="1">
      <c r="A1108" s="88">
        <v>11690</v>
      </c>
      <c r="B1108" s="85">
        <v>22.632000000000001</v>
      </c>
      <c r="C1108" s="88">
        <v>11700</v>
      </c>
      <c r="D1108" s="85">
        <v>22.204000000000001</v>
      </c>
      <c r="E1108" s="86">
        <v>11690</v>
      </c>
      <c r="F1108" s="85">
        <v>71.417000000000002</v>
      </c>
      <c r="G1108" s="87">
        <v>11690</v>
      </c>
      <c r="H1108" s="85">
        <v>71.578999999999994</v>
      </c>
      <c r="I1108" s="87">
        <v>11690</v>
      </c>
      <c r="J1108" s="85">
        <v>77.412999999999997</v>
      </c>
      <c r="K1108" s="87">
        <v>11690</v>
      </c>
      <c r="L1108" s="85">
        <v>76.051000000000002</v>
      </c>
      <c r="M1108" s="87">
        <v>11690</v>
      </c>
      <c r="N1108" s="85">
        <v>77.067999999999998</v>
      </c>
      <c r="O1108" s="87">
        <v>11670</v>
      </c>
      <c r="P1108" s="85">
        <v>78.052000000000007</v>
      </c>
      <c r="Q1108" s="87">
        <v>11690</v>
      </c>
      <c r="R1108" s="85">
        <v>77.790999999999997</v>
      </c>
      <c r="S1108" s="87">
        <v>11690</v>
      </c>
      <c r="T1108" s="85">
        <v>78.328000000000003</v>
      </c>
      <c r="U1108" s="87">
        <v>11680</v>
      </c>
      <c r="V1108" s="85">
        <v>78.497</v>
      </c>
      <c r="W1108" s="87">
        <v>11690</v>
      </c>
      <c r="X1108" s="85">
        <v>77.686999999999998</v>
      </c>
      <c r="Y1108" s="87">
        <v>11690</v>
      </c>
      <c r="Z1108" s="85">
        <v>76.316000000000003</v>
      </c>
      <c r="AA1108" s="87">
        <v>11690</v>
      </c>
      <c r="AB1108" s="85">
        <v>76.876000000000005</v>
      </c>
      <c r="AC1108" s="87">
        <v>11680</v>
      </c>
      <c r="AD1108" s="85">
        <v>51.162999999999997</v>
      </c>
      <c r="AE1108" s="87">
        <v>11690</v>
      </c>
      <c r="AF1108" s="85">
        <v>52.463000000000001</v>
      </c>
      <c r="AG1108" s="87">
        <v>11670</v>
      </c>
      <c r="AH1108" s="85">
        <v>10.624000000000001</v>
      </c>
      <c r="AI1108" s="87">
        <v>11670</v>
      </c>
      <c r="AJ1108" s="85">
        <v>11.526999999999999</v>
      </c>
    </row>
    <row r="1109" spans="1:36" ht="14.25" customHeight="1">
      <c r="A1109" s="88">
        <v>11700</v>
      </c>
      <c r="B1109" s="85">
        <v>22.239000000000001</v>
      </c>
      <c r="C1109" s="88">
        <v>11710</v>
      </c>
      <c r="D1109" s="85">
        <v>21.814</v>
      </c>
      <c r="E1109" s="86">
        <v>11700</v>
      </c>
      <c r="F1109" s="85">
        <v>70.256</v>
      </c>
      <c r="G1109" s="87">
        <v>11700</v>
      </c>
      <c r="H1109" s="85">
        <v>70.418000000000006</v>
      </c>
      <c r="I1109" s="87">
        <v>11700</v>
      </c>
      <c r="J1109" s="85">
        <v>76.206999999999994</v>
      </c>
      <c r="K1109" s="87">
        <v>11700</v>
      </c>
      <c r="L1109" s="85">
        <v>74.843999999999994</v>
      </c>
      <c r="M1109" s="87">
        <v>11700</v>
      </c>
      <c r="N1109" s="85">
        <v>75.855999999999995</v>
      </c>
      <c r="O1109" s="87">
        <v>11680</v>
      </c>
      <c r="P1109" s="85">
        <v>76.84</v>
      </c>
      <c r="Q1109" s="87">
        <v>11700</v>
      </c>
      <c r="R1109" s="85">
        <v>76.58</v>
      </c>
      <c r="S1109" s="87">
        <v>11700</v>
      </c>
      <c r="T1109" s="85">
        <v>77.117000000000004</v>
      </c>
      <c r="U1109" s="87">
        <v>11690</v>
      </c>
      <c r="V1109" s="85">
        <v>77.286000000000001</v>
      </c>
      <c r="W1109" s="87">
        <v>11700</v>
      </c>
      <c r="X1109" s="85">
        <v>76.475999999999999</v>
      </c>
      <c r="Y1109" s="87">
        <v>11700</v>
      </c>
      <c r="Z1109" s="85">
        <v>75.111999999999995</v>
      </c>
      <c r="AA1109" s="87">
        <v>11700</v>
      </c>
      <c r="AB1109" s="85">
        <v>75.673000000000002</v>
      </c>
      <c r="AC1109" s="87">
        <v>11690</v>
      </c>
      <c r="AD1109" s="85">
        <v>50.311999999999998</v>
      </c>
      <c r="AE1109" s="87">
        <v>11700</v>
      </c>
      <c r="AF1109" s="85">
        <v>51.61</v>
      </c>
      <c r="AG1109" s="87">
        <v>11680</v>
      </c>
      <c r="AH1109" s="85">
        <v>10.446</v>
      </c>
      <c r="AI1109" s="87">
        <v>11680</v>
      </c>
      <c r="AJ1109" s="85">
        <v>11.335000000000001</v>
      </c>
    </row>
    <row r="1110" spans="1:36" ht="14.25" customHeight="1">
      <c r="A1110" s="88">
        <v>11710</v>
      </c>
      <c r="B1110" s="85">
        <v>21.846</v>
      </c>
      <c r="C1110" s="88">
        <v>11720</v>
      </c>
      <c r="D1110" s="85">
        <v>21.425999999999998</v>
      </c>
      <c r="E1110" s="86">
        <v>11710</v>
      </c>
      <c r="F1110" s="85">
        <v>69.096000000000004</v>
      </c>
      <c r="G1110" s="87">
        <v>11710</v>
      </c>
      <c r="H1110" s="85">
        <v>69.257999999999996</v>
      </c>
      <c r="I1110" s="87">
        <v>11710</v>
      </c>
      <c r="J1110" s="85">
        <v>75.003</v>
      </c>
      <c r="K1110" s="87">
        <v>11710</v>
      </c>
      <c r="L1110" s="85">
        <v>73.638000000000005</v>
      </c>
      <c r="M1110" s="87">
        <v>11710</v>
      </c>
      <c r="N1110" s="85">
        <v>74.644999999999996</v>
      </c>
      <c r="O1110" s="87">
        <v>11690</v>
      </c>
      <c r="P1110" s="85">
        <v>75.629000000000005</v>
      </c>
      <c r="Q1110" s="87">
        <v>11710</v>
      </c>
      <c r="R1110" s="85">
        <v>75.369</v>
      </c>
      <c r="S1110" s="87">
        <v>11710</v>
      </c>
      <c r="T1110" s="85">
        <v>75.905000000000001</v>
      </c>
      <c r="U1110" s="87">
        <v>11700</v>
      </c>
      <c r="V1110" s="85">
        <v>76.075000000000003</v>
      </c>
      <c r="W1110" s="87">
        <v>11710</v>
      </c>
      <c r="X1110" s="85">
        <v>75.263999999999996</v>
      </c>
      <c r="Y1110" s="87">
        <v>11710</v>
      </c>
      <c r="Z1110" s="85">
        <v>73.908000000000001</v>
      </c>
      <c r="AA1110" s="87">
        <v>11710</v>
      </c>
      <c r="AB1110" s="85">
        <v>74.471000000000004</v>
      </c>
      <c r="AC1110" s="87">
        <v>11700</v>
      </c>
      <c r="AD1110" s="85">
        <v>49.460999999999999</v>
      </c>
      <c r="AE1110" s="87">
        <v>11710</v>
      </c>
      <c r="AF1110" s="85">
        <v>50.756999999999998</v>
      </c>
      <c r="AG1110" s="87">
        <v>11690</v>
      </c>
      <c r="AH1110" s="85">
        <v>10.269</v>
      </c>
      <c r="AI1110" s="87">
        <v>11690</v>
      </c>
      <c r="AJ1110" s="85">
        <v>11.144</v>
      </c>
    </row>
    <row r="1111" spans="1:36" ht="14.25" customHeight="1">
      <c r="A1111" s="88">
        <v>11720</v>
      </c>
      <c r="B1111" s="85">
        <v>21.454999999999998</v>
      </c>
      <c r="C1111" s="88">
        <v>11730</v>
      </c>
      <c r="D1111" s="85">
        <v>21.038</v>
      </c>
      <c r="E1111" s="86">
        <v>11720</v>
      </c>
      <c r="F1111" s="85">
        <v>67.938999999999993</v>
      </c>
      <c r="G1111" s="87">
        <v>11720</v>
      </c>
      <c r="H1111" s="85">
        <v>68.099999999999994</v>
      </c>
      <c r="I1111" s="87">
        <v>11720</v>
      </c>
      <c r="J1111" s="85">
        <v>73.798000000000002</v>
      </c>
      <c r="K1111" s="87">
        <v>11720</v>
      </c>
      <c r="L1111" s="85">
        <v>72.432000000000002</v>
      </c>
      <c r="M1111" s="87">
        <v>11720</v>
      </c>
      <c r="N1111" s="85">
        <v>73.433999999999997</v>
      </c>
      <c r="O1111" s="87">
        <v>11700</v>
      </c>
      <c r="P1111" s="85">
        <v>74.417000000000002</v>
      </c>
      <c r="Q1111" s="87">
        <v>11720</v>
      </c>
      <c r="R1111" s="85">
        <v>74.158000000000001</v>
      </c>
      <c r="S1111" s="87">
        <v>11720</v>
      </c>
      <c r="T1111" s="85">
        <v>74.692999999999998</v>
      </c>
      <c r="U1111" s="87">
        <v>11710</v>
      </c>
      <c r="V1111" s="85">
        <v>74.864999999999995</v>
      </c>
      <c r="W1111" s="87">
        <v>11720</v>
      </c>
      <c r="X1111" s="85">
        <v>74.052999999999997</v>
      </c>
      <c r="Y1111" s="87">
        <v>11720</v>
      </c>
      <c r="Z1111" s="85">
        <v>72.704999999999998</v>
      </c>
      <c r="AA1111" s="87">
        <v>11720</v>
      </c>
      <c r="AB1111" s="85">
        <v>73.268000000000001</v>
      </c>
      <c r="AC1111" s="87">
        <v>11710</v>
      </c>
      <c r="AD1111" s="85">
        <v>48.613</v>
      </c>
      <c r="AE1111" s="87">
        <v>11720</v>
      </c>
      <c r="AF1111" s="85">
        <v>49.906999999999996</v>
      </c>
      <c r="AG1111" s="87">
        <v>11700</v>
      </c>
      <c r="AH1111" s="85">
        <v>10.092000000000001</v>
      </c>
      <c r="AI1111" s="87">
        <v>11700</v>
      </c>
      <c r="AJ1111" s="85">
        <v>10.952999999999999</v>
      </c>
    </row>
    <row r="1112" spans="1:36" ht="14.25" customHeight="1">
      <c r="A1112" s="88">
        <v>11730</v>
      </c>
      <c r="B1112" s="85">
        <v>21.065000000000001</v>
      </c>
      <c r="C1112" s="88">
        <v>11740</v>
      </c>
      <c r="D1112" s="85">
        <v>20.652000000000001</v>
      </c>
      <c r="E1112" s="86">
        <v>11730</v>
      </c>
      <c r="F1112" s="85">
        <v>66.783000000000001</v>
      </c>
      <c r="G1112" s="87">
        <v>11730</v>
      </c>
      <c r="H1112" s="85">
        <v>66.944000000000003</v>
      </c>
      <c r="I1112" s="87">
        <v>11730</v>
      </c>
      <c r="J1112" s="85">
        <v>72.593000000000004</v>
      </c>
      <c r="K1112" s="87">
        <v>11730</v>
      </c>
      <c r="L1112" s="85">
        <v>71.225999999999999</v>
      </c>
      <c r="M1112" s="87">
        <v>11730</v>
      </c>
      <c r="N1112" s="85">
        <v>72.222999999999999</v>
      </c>
      <c r="O1112" s="87">
        <v>11710</v>
      </c>
      <c r="P1112" s="85">
        <v>73.206000000000003</v>
      </c>
      <c r="Q1112" s="87">
        <v>11730</v>
      </c>
      <c r="R1112" s="85">
        <v>72.945999999999998</v>
      </c>
      <c r="S1112" s="87">
        <v>11730</v>
      </c>
      <c r="T1112" s="85">
        <v>73.480999999999995</v>
      </c>
      <c r="U1112" s="87">
        <v>11720</v>
      </c>
      <c r="V1112" s="85">
        <v>73.653999999999996</v>
      </c>
      <c r="W1112" s="87">
        <v>11730</v>
      </c>
      <c r="X1112" s="85">
        <v>72.841999999999999</v>
      </c>
      <c r="Y1112" s="87">
        <v>11730</v>
      </c>
      <c r="Z1112" s="85">
        <v>71.501999999999995</v>
      </c>
      <c r="AA1112" s="87">
        <v>11730</v>
      </c>
      <c r="AB1112" s="85">
        <v>72.066999999999993</v>
      </c>
      <c r="AC1112" s="87">
        <v>11720</v>
      </c>
      <c r="AD1112" s="85">
        <v>47.765999999999998</v>
      </c>
      <c r="AE1112" s="87">
        <v>11730</v>
      </c>
      <c r="AF1112" s="85">
        <v>49.057000000000002</v>
      </c>
      <c r="AG1112" s="87">
        <v>11710</v>
      </c>
      <c r="AH1112" s="85">
        <v>9.9149999999999991</v>
      </c>
      <c r="AI1112" s="87">
        <v>11710</v>
      </c>
      <c r="AJ1112" s="85">
        <v>10.762</v>
      </c>
    </row>
    <row r="1113" spans="1:36" ht="14.25" customHeight="1">
      <c r="A1113" s="88">
        <v>11740</v>
      </c>
      <c r="B1113" s="85">
        <v>20.675999999999998</v>
      </c>
      <c r="C1113" s="88">
        <v>11750</v>
      </c>
      <c r="D1113" s="85">
        <v>20.268000000000001</v>
      </c>
      <c r="E1113" s="86">
        <v>11740</v>
      </c>
      <c r="F1113" s="85">
        <v>65.629000000000005</v>
      </c>
      <c r="G1113" s="87">
        <v>11740</v>
      </c>
      <c r="H1113" s="85">
        <v>65.790000000000006</v>
      </c>
      <c r="I1113" s="87">
        <v>11740</v>
      </c>
      <c r="J1113" s="85">
        <v>71.388999999999996</v>
      </c>
      <c r="K1113" s="87">
        <v>11740</v>
      </c>
      <c r="L1113" s="85">
        <v>70.021000000000001</v>
      </c>
      <c r="M1113" s="87">
        <v>11740</v>
      </c>
      <c r="N1113" s="85">
        <v>71.012</v>
      </c>
      <c r="O1113" s="87">
        <v>11720</v>
      </c>
      <c r="P1113" s="85">
        <v>71.995000000000005</v>
      </c>
      <c r="Q1113" s="87">
        <v>11740</v>
      </c>
      <c r="R1113" s="85">
        <v>71.734999999999999</v>
      </c>
      <c r="S1113" s="87">
        <v>11740</v>
      </c>
      <c r="T1113" s="85">
        <v>72.269000000000005</v>
      </c>
      <c r="U1113" s="87">
        <v>11730</v>
      </c>
      <c r="V1113" s="85">
        <v>72.442999999999998</v>
      </c>
      <c r="W1113" s="87">
        <v>11740</v>
      </c>
      <c r="X1113" s="85">
        <v>71.63</v>
      </c>
      <c r="Y1113" s="87">
        <v>11740</v>
      </c>
      <c r="Z1113" s="85">
        <v>70.299000000000007</v>
      </c>
      <c r="AA1113" s="87">
        <v>11740</v>
      </c>
      <c r="AB1113" s="85">
        <v>70.864999999999995</v>
      </c>
      <c r="AC1113" s="87">
        <v>11730</v>
      </c>
      <c r="AD1113" s="85">
        <v>46.920999999999999</v>
      </c>
      <c r="AE1113" s="87">
        <v>11740</v>
      </c>
      <c r="AF1113" s="85">
        <v>48.21</v>
      </c>
      <c r="AG1113" s="87">
        <v>11720</v>
      </c>
      <c r="AH1113" s="85">
        <v>9.7390000000000008</v>
      </c>
      <c r="AI1113" s="87">
        <v>11720</v>
      </c>
      <c r="AJ1113" s="85">
        <v>10.571999999999999</v>
      </c>
    </row>
    <row r="1114" spans="1:36" ht="14.25" customHeight="1">
      <c r="A1114" s="88">
        <v>11750</v>
      </c>
      <c r="B1114" s="85">
        <v>20.289000000000001</v>
      </c>
      <c r="C1114" s="88">
        <v>11760</v>
      </c>
      <c r="D1114" s="85">
        <v>19.884</v>
      </c>
      <c r="E1114" s="86">
        <v>11750</v>
      </c>
      <c r="F1114" s="85">
        <v>64.475999999999999</v>
      </c>
      <c r="G1114" s="87">
        <v>11750</v>
      </c>
      <c r="H1114" s="85">
        <v>64.637</v>
      </c>
      <c r="I1114" s="87">
        <v>11750</v>
      </c>
      <c r="J1114" s="85">
        <v>70.185000000000002</v>
      </c>
      <c r="K1114" s="87">
        <v>11750</v>
      </c>
      <c r="L1114" s="85">
        <v>68.816000000000003</v>
      </c>
      <c r="M1114" s="87">
        <v>11750</v>
      </c>
      <c r="N1114" s="85">
        <v>69.8</v>
      </c>
      <c r="O1114" s="87">
        <v>11730</v>
      </c>
      <c r="P1114" s="85">
        <v>70.783000000000001</v>
      </c>
      <c r="Q1114" s="87">
        <v>11750</v>
      </c>
      <c r="R1114" s="85">
        <v>70.524000000000001</v>
      </c>
      <c r="S1114" s="87">
        <v>11750</v>
      </c>
      <c r="T1114" s="85">
        <v>71.057000000000002</v>
      </c>
      <c r="U1114" s="87">
        <v>11740</v>
      </c>
      <c r="V1114" s="85">
        <v>71.233000000000004</v>
      </c>
      <c r="W1114" s="87">
        <v>11750</v>
      </c>
      <c r="X1114" s="85">
        <v>70.418999999999997</v>
      </c>
      <c r="Y1114" s="87">
        <v>11750</v>
      </c>
      <c r="Z1114" s="85">
        <v>69.096999999999994</v>
      </c>
      <c r="AA1114" s="87">
        <v>11750</v>
      </c>
      <c r="AB1114" s="85">
        <v>69.664000000000001</v>
      </c>
      <c r="AC1114" s="87">
        <v>11740</v>
      </c>
      <c r="AD1114" s="85">
        <v>46.076999999999998</v>
      </c>
      <c r="AE1114" s="87">
        <v>11750</v>
      </c>
      <c r="AF1114" s="85">
        <v>47.363999999999997</v>
      </c>
      <c r="AG1114" s="87">
        <v>11730</v>
      </c>
      <c r="AH1114" s="85">
        <v>9.5630000000000006</v>
      </c>
      <c r="AI1114" s="87">
        <v>11730</v>
      </c>
      <c r="AJ1114" s="85">
        <v>10.382</v>
      </c>
    </row>
    <row r="1115" spans="1:36" ht="14.25" customHeight="1">
      <c r="A1115" s="88">
        <v>11760</v>
      </c>
      <c r="B1115" s="85">
        <v>19.902000000000001</v>
      </c>
      <c r="C1115" s="88">
        <v>11770</v>
      </c>
      <c r="D1115" s="85">
        <v>19.501999999999999</v>
      </c>
      <c r="E1115" s="86">
        <v>11760</v>
      </c>
      <c r="F1115" s="85">
        <v>63.325000000000003</v>
      </c>
      <c r="G1115" s="87">
        <v>11760</v>
      </c>
      <c r="H1115" s="85">
        <v>63.484999999999999</v>
      </c>
      <c r="I1115" s="87">
        <v>11760</v>
      </c>
      <c r="J1115" s="85">
        <v>68.981999999999999</v>
      </c>
      <c r="K1115" s="87">
        <v>11760</v>
      </c>
      <c r="L1115" s="85">
        <v>67.611000000000004</v>
      </c>
      <c r="M1115" s="87">
        <v>11760</v>
      </c>
      <c r="N1115" s="85">
        <v>68.588999999999999</v>
      </c>
      <c r="O1115" s="87">
        <v>11740</v>
      </c>
      <c r="P1115" s="85">
        <v>69.572000000000003</v>
      </c>
      <c r="Q1115" s="87">
        <v>11760</v>
      </c>
      <c r="R1115" s="85">
        <v>69.313000000000002</v>
      </c>
      <c r="S1115" s="87">
        <v>11760</v>
      </c>
      <c r="T1115" s="85">
        <v>69.844999999999999</v>
      </c>
      <c r="U1115" s="87">
        <v>11750</v>
      </c>
      <c r="V1115" s="85">
        <v>70.022000000000006</v>
      </c>
      <c r="W1115" s="87">
        <v>11760</v>
      </c>
      <c r="X1115" s="85">
        <v>69.207999999999998</v>
      </c>
      <c r="Y1115" s="87">
        <v>11760</v>
      </c>
      <c r="Z1115" s="85">
        <v>67.894999999999996</v>
      </c>
      <c r="AA1115" s="87">
        <v>11760</v>
      </c>
      <c r="AB1115" s="85">
        <v>68.462999999999994</v>
      </c>
      <c r="AC1115" s="87">
        <v>11750</v>
      </c>
      <c r="AD1115" s="85">
        <v>45.234000000000002</v>
      </c>
      <c r="AE1115" s="87">
        <v>11760</v>
      </c>
      <c r="AF1115" s="85">
        <v>46.518999999999998</v>
      </c>
      <c r="AG1115" s="87">
        <v>11740</v>
      </c>
      <c r="AH1115" s="85">
        <v>9.3879999999999999</v>
      </c>
      <c r="AI1115" s="87">
        <v>11740</v>
      </c>
      <c r="AJ1115" s="85">
        <v>10.192</v>
      </c>
    </row>
    <row r="1116" spans="1:36" ht="14.25" customHeight="1">
      <c r="A1116" s="88">
        <v>11770</v>
      </c>
      <c r="B1116" s="85">
        <v>19.518000000000001</v>
      </c>
      <c r="C1116" s="88">
        <v>11780</v>
      </c>
      <c r="D1116" s="85">
        <v>19.120999999999999</v>
      </c>
      <c r="E1116" s="86">
        <v>11770</v>
      </c>
      <c r="F1116" s="85">
        <v>62.176000000000002</v>
      </c>
      <c r="G1116" s="87">
        <v>11770</v>
      </c>
      <c r="H1116" s="85">
        <v>62.335999999999999</v>
      </c>
      <c r="I1116" s="87">
        <v>11770</v>
      </c>
      <c r="J1116" s="85">
        <v>67.778999999999996</v>
      </c>
      <c r="K1116" s="87">
        <v>11770</v>
      </c>
      <c r="L1116" s="85">
        <v>66.406000000000006</v>
      </c>
      <c r="M1116" s="87">
        <v>11770</v>
      </c>
      <c r="N1116" s="85">
        <v>67.378</v>
      </c>
      <c r="O1116" s="87">
        <v>11750</v>
      </c>
      <c r="P1116" s="85">
        <v>68.36</v>
      </c>
      <c r="Q1116" s="87">
        <v>11770</v>
      </c>
      <c r="R1116" s="85">
        <v>68.102000000000004</v>
      </c>
      <c r="S1116" s="87">
        <v>11770</v>
      </c>
      <c r="T1116" s="85">
        <v>68.632999999999996</v>
      </c>
      <c r="U1116" s="87">
        <v>11760</v>
      </c>
      <c r="V1116" s="85">
        <v>68.811000000000007</v>
      </c>
      <c r="W1116" s="87">
        <v>11770</v>
      </c>
      <c r="X1116" s="85">
        <v>67.995999999999995</v>
      </c>
      <c r="Y1116" s="87">
        <v>11770</v>
      </c>
      <c r="Z1116" s="85">
        <v>66.692999999999998</v>
      </c>
      <c r="AA1116" s="87">
        <v>11770</v>
      </c>
      <c r="AB1116" s="85">
        <v>67.263000000000005</v>
      </c>
      <c r="AC1116" s="87">
        <v>11760</v>
      </c>
      <c r="AD1116" s="85">
        <v>44.393999999999998</v>
      </c>
      <c r="AE1116" s="87">
        <v>11770</v>
      </c>
      <c r="AF1116" s="85">
        <v>45.676000000000002</v>
      </c>
      <c r="AG1116" s="87">
        <v>11750</v>
      </c>
      <c r="AH1116" s="85">
        <v>9.2129999999999992</v>
      </c>
      <c r="AI1116" s="87">
        <v>11750</v>
      </c>
      <c r="AJ1116" s="85">
        <v>10.003</v>
      </c>
    </row>
    <row r="1117" spans="1:36" ht="14.25" customHeight="1">
      <c r="A1117" s="88">
        <v>11780</v>
      </c>
      <c r="B1117" s="85">
        <v>19.134</v>
      </c>
      <c r="C1117" s="88">
        <v>11790</v>
      </c>
      <c r="D1117" s="85">
        <v>18.741</v>
      </c>
      <c r="E1117" s="86">
        <v>11780</v>
      </c>
      <c r="F1117" s="85">
        <v>61.027999999999999</v>
      </c>
      <c r="G1117" s="87">
        <v>11780</v>
      </c>
      <c r="H1117" s="85">
        <v>61.188000000000002</v>
      </c>
      <c r="I1117" s="87">
        <v>11780</v>
      </c>
      <c r="J1117" s="85">
        <v>66.575999999999993</v>
      </c>
      <c r="K1117" s="87">
        <v>11780</v>
      </c>
      <c r="L1117" s="85">
        <v>65.201999999999998</v>
      </c>
      <c r="M1117" s="87">
        <v>11780</v>
      </c>
      <c r="N1117" s="85">
        <v>66.167000000000002</v>
      </c>
      <c r="O1117" s="87">
        <v>11760</v>
      </c>
      <c r="P1117" s="85">
        <v>67.149000000000001</v>
      </c>
      <c r="Q1117" s="87">
        <v>11780</v>
      </c>
      <c r="R1117" s="85">
        <v>66.891000000000005</v>
      </c>
      <c r="S1117" s="87">
        <v>11780</v>
      </c>
      <c r="T1117" s="85">
        <v>67.421000000000006</v>
      </c>
      <c r="U1117" s="87">
        <v>11770</v>
      </c>
      <c r="V1117" s="85">
        <v>67.600999999999999</v>
      </c>
      <c r="W1117" s="87">
        <v>11780</v>
      </c>
      <c r="X1117" s="85">
        <v>66.784999999999997</v>
      </c>
      <c r="Y1117" s="87">
        <v>11780</v>
      </c>
      <c r="Z1117" s="85">
        <v>65.491</v>
      </c>
      <c r="AA1117" s="87">
        <v>11780</v>
      </c>
      <c r="AB1117" s="85">
        <v>66.063000000000002</v>
      </c>
      <c r="AC1117" s="87">
        <v>11770</v>
      </c>
      <c r="AD1117" s="85">
        <v>43.554000000000002</v>
      </c>
      <c r="AE1117" s="87">
        <v>11780</v>
      </c>
      <c r="AF1117" s="85">
        <v>44.834000000000003</v>
      </c>
      <c r="AG1117" s="87">
        <v>11760</v>
      </c>
      <c r="AH1117" s="85">
        <v>9.0380000000000003</v>
      </c>
      <c r="AI1117" s="87">
        <v>11760</v>
      </c>
      <c r="AJ1117" s="85">
        <v>9.8140000000000001</v>
      </c>
    </row>
    <row r="1118" spans="1:36" ht="14.25" customHeight="1">
      <c r="A1118" s="88">
        <v>11790</v>
      </c>
      <c r="B1118" s="85">
        <v>18.751999999999999</v>
      </c>
      <c r="C1118" s="88">
        <v>11800</v>
      </c>
      <c r="D1118" s="85">
        <v>18.363</v>
      </c>
      <c r="E1118" s="86">
        <v>11790</v>
      </c>
      <c r="F1118" s="85">
        <v>59.881999999999998</v>
      </c>
      <c r="G1118" s="87">
        <v>11790</v>
      </c>
      <c r="H1118" s="85">
        <v>60.040999999999997</v>
      </c>
      <c r="I1118" s="87">
        <v>11790</v>
      </c>
      <c r="J1118" s="85">
        <v>65.373000000000005</v>
      </c>
      <c r="K1118" s="87">
        <v>11790</v>
      </c>
      <c r="L1118" s="85">
        <v>63.997999999999998</v>
      </c>
      <c r="M1118" s="87">
        <v>11790</v>
      </c>
      <c r="N1118" s="85">
        <v>64.956000000000003</v>
      </c>
      <c r="O1118" s="87">
        <v>11770</v>
      </c>
      <c r="P1118" s="85">
        <v>65.938000000000002</v>
      </c>
      <c r="Q1118" s="87">
        <v>11790</v>
      </c>
      <c r="R1118" s="85">
        <v>65.680000000000007</v>
      </c>
      <c r="S1118" s="87">
        <v>11790</v>
      </c>
      <c r="T1118" s="85">
        <v>66.209000000000003</v>
      </c>
      <c r="U1118" s="87">
        <v>11780</v>
      </c>
      <c r="V1118" s="85">
        <v>66.39</v>
      </c>
      <c r="W1118" s="87">
        <v>11790</v>
      </c>
      <c r="X1118" s="85">
        <v>65.573999999999998</v>
      </c>
      <c r="Y1118" s="87">
        <v>11790</v>
      </c>
      <c r="Z1118" s="85">
        <v>64.290000000000006</v>
      </c>
      <c r="AA1118" s="87">
        <v>11790</v>
      </c>
      <c r="AB1118" s="85">
        <v>64.863</v>
      </c>
      <c r="AC1118" s="87">
        <v>11780</v>
      </c>
      <c r="AD1118" s="85">
        <v>42.716999999999999</v>
      </c>
      <c r="AE1118" s="87">
        <v>11790</v>
      </c>
      <c r="AF1118" s="85">
        <v>43.994</v>
      </c>
      <c r="AG1118" s="87">
        <v>11770</v>
      </c>
      <c r="AH1118" s="85">
        <v>8.8640000000000008</v>
      </c>
      <c r="AI1118" s="87">
        <v>11770</v>
      </c>
      <c r="AJ1118" s="85">
        <v>9.6259999999999994</v>
      </c>
    </row>
    <row r="1119" spans="1:36" ht="14.25" customHeight="1">
      <c r="A1119" s="88">
        <v>11800</v>
      </c>
      <c r="B1119" s="85">
        <v>18.37</v>
      </c>
      <c r="C1119" s="88">
        <v>11810</v>
      </c>
      <c r="D1119" s="85">
        <v>17.986000000000001</v>
      </c>
      <c r="E1119" s="86">
        <v>11800</v>
      </c>
      <c r="F1119" s="85">
        <v>58.737000000000002</v>
      </c>
      <c r="G1119" s="87">
        <v>11800</v>
      </c>
      <c r="H1119" s="85">
        <v>58.896999999999998</v>
      </c>
      <c r="I1119" s="87">
        <v>11800</v>
      </c>
      <c r="J1119" s="85">
        <v>64.17</v>
      </c>
      <c r="K1119" s="87">
        <v>11800</v>
      </c>
      <c r="L1119" s="85">
        <v>62.795000000000002</v>
      </c>
      <c r="M1119" s="87">
        <v>11800</v>
      </c>
      <c r="N1119" s="85">
        <v>63.744999999999997</v>
      </c>
      <c r="O1119" s="87">
        <v>11780</v>
      </c>
      <c r="P1119" s="85">
        <v>64.725999999999999</v>
      </c>
      <c r="Q1119" s="87">
        <v>11800</v>
      </c>
      <c r="R1119" s="85">
        <v>64.468999999999994</v>
      </c>
      <c r="S1119" s="87">
        <v>11800</v>
      </c>
      <c r="T1119" s="85">
        <v>64.998000000000005</v>
      </c>
      <c r="U1119" s="87">
        <v>11790</v>
      </c>
      <c r="V1119" s="85">
        <v>65.179000000000002</v>
      </c>
      <c r="W1119" s="87">
        <v>11800</v>
      </c>
      <c r="X1119" s="85">
        <v>64.363</v>
      </c>
      <c r="Y1119" s="87">
        <v>11800</v>
      </c>
      <c r="Z1119" s="85">
        <v>63.088999999999999</v>
      </c>
      <c r="AA1119" s="87">
        <v>11800</v>
      </c>
      <c r="AB1119" s="85">
        <v>63.664000000000001</v>
      </c>
      <c r="AC1119" s="87">
        <v>11790</v>
      </c>
      <c r="AD1119" s="85">
        <v>41.88</v>
      </c>
      <c r="AE1119" s="87">
        <v>11800</v>
      </c>
      <c r="AF1119" s="85">
        <v>43.155999999999999</v>
      </c>
      <c r="AG1119" s="87">
        <v>11780</v>
      </c>
      <c r="AH1119" s="85">
        <v>8.69</v>
      </c>
      <c r="AI1119" s="87">
        <v>11780</v>
      </c>
      <c r="AJ1119" s="85">
        <v>9.4380000000000006</v>
      </c>
    </row>
    <row r="1120" spans="1:36" ht="14.25" customHeight="1">
      <c r="A1120" s="88">
        <v>11810</v>
      </c>
      <c r="B1120" s="85">
        <v>17.991</v>
      </c>
      <c r="C1120" s="88">
        <v>11820</v>
      </c>
      <c r="D1120" s="85">
        <v>17.61</v>
      </c>
      <c r="E1120" s="86">
        <v>11810</v>
      </c>
      <c r="F1120" s="85">
        <v>57.594999999999999</v>
      </c>
      <c r="G1120" s="87">
        <v>11810</v>
      </c>
      <c r="H1120" s="85">
        <v>57.753</v>
      </c>
      <c r="I1120" s="87">
        <v>11810</v>
      </c>
      <c r="J1120" s="85">
        <v>62.968000000000004</v>
      </c>
      <c r="K1120" s="87">
        <v>11810</v>
      </c>
      <c r="L1120" s="85">
        <v>61.591999999999999</v>
      </c>
      <c r="M1120" s="87">
        <v>11810</v>
      </c>
      <c r="N1120" s="85">
        <v>62.533000000000001</v>
      </c>
      <c r="O1120" s="87">
        <v>11790</v>
      </c>
      <c r="P1120" s="85">
        <v>63.515000000000001</v>
      </c>
      <c r="Q1120" s="87">
        <v>11810</v>
      </c>
      <c r="R1120" s="85">
        <v>63.256999999999998</v>
      </c>
      <c r="S1120" s="87">
        <v>11810</v>
      </c>
      <c r="T1120" s="85">
        <v>63.786000000000001</v>
      </c>
      <c r="U1120" s="87">
        <v>11800</v>
      </c>
      <c r="V1120" s="85">
        <v>63.968000000000004</v>
      </c>
      <c r="W1120" s="87">
        <v>11810</v>
      </c>
      <c r="X1120" s="85">
        <v>63.151000000000003</v>
      </c>
      <c r="Y1120" s="87">
        <v>11810</v>
      </c>
      <c r="Z1120" s="85">
        <v>61.889000000000003</v>
      </c>
      <c r="AA1120" s="87">
        <v>11810</v>
      </c>
      <c r="AB1120" s="85">
        <v>62.465000000000003</v>
      </c>
      <c r="AC1120" s="87">
        <v>11800</v>
      </c>
      <c r="AD1120" s="85">
        <v>41.045999999999999</v>
      </c>
      <c r="AE1120" s="87">
        <v>11810</v>
      </c>
      <c r="AF1120" s="85">
        <v>42.319000000000003</v>
      </c>
      <c r="AG1120" s="87">
        <v>11790</v>
      </c>
      <c r="AH1120" s="85">
        <v>8.5169999999999995</v>
      </c>
      <c r="AI1120" s="87">
        <v>11790</v>
      </c>
      <c r="AJ1120" s="85">
        <v>9.2509999999999994</v>
      </c>
    </row>
    <row r="1121" spans="1:36" ht="14.25" customHeight="1">
      <c r="A1121" s="88">
        <v>11820</v>
      </c>
      <c r="B1121" s="85">
        <v>17.611999999999998</v>
      </c>
      <c r="C1121" s="88">
        <v>11830</v>
      </c>
      <c r="D1121" s="85">
        <v>17.234999999999999</v>
      </c>
      <c r="E1121" s="86">
        <v>11820</v>
      </c>
      <c r="F1121" s="85">
        <v>56.453000000000003</v>
      </c>
      <c r="G1121" s="87">
        <v>11820</v>
      </c>
      <c r="H1121" s="85">
        <v>56.612000000000002</v>
      </c>
      <c r="I1121" s="87">
        <v>11820</v>
      </c>
      <c r="J1121" s="85">
        <v>61.765999999999998</v>
      </c>
      <c r="K1121" s="87">
        <v>11820</v>
      </c>
      <c r="L1121" s="85">
        <v>60.389000000000003</v>
      </c>
      <c r="M1121" s="87">
        <v>11820</v>
      </c>
      <c r="N1121" s="85">
        <v>61.322000000000003</v>
      </c>
      <c r="O1121" s="87">
        <v>11800</v>
      </c>
      <c r="P1121" s="85">
        <v>62.302999999999997</v>
      </c>
      <c r="Q1121" s="87">
        <v>11820</v>
      </c>
      <c r="R1121" s="85">
        <v>62.045999999999999</v>
      </c>
      <c r="S1121" s="87">
        <v>11820</v>
      </c>
      <c r="T1121" s="85">
        <v>62.573999999999998</v>
      </c>
      <c r="U1121" s="87">
        <v>11810</v>
      </c>
      <c r="V1121" s="85">
        <v>62.758000000000003</v>
      </c>
      <c r="W1121" s="87">
        <v>11820</v>
      </c>
      <c r="X1121" s="85">
        <v>61.94</v>
      </c>
      <c r="Y1121" s="87">
        <v>11820</v>
      </c>
      <c r="Z1121" s="85">
        <v>60.689</v>
      </c>
      <c r="AA1121" s="87">
        <v>11820</v>
      </c>
      <c r="AB1121" s="85">
        <v>61.267000000000003</v>
      </c>
      <c r="AC1121" s="87">
        <v>11810</v>
      </c>
      <c r="AD1121" s="85">
        <v>40.213000000000001</v>
      </c>
      <c r="AE1121" s="87">
        <v>11820</v>
      </c>
      <c r="AF1121" s="85">
        <v>41.482999999999997</v>
      </c>
      <c r="AG1121" s="87">
        <v>11800</v>
      </c>
      <c r="AH1121" s="85">
        <v>8.3439999999999994</v>
      </c>
      <c r="AI1121" s="87">
        <v>11800</v>
      </c>
      <c r="AJ1121" s="85">
        <v>9.0640000000000001</v>
      </c>
    </row>
    <row r="1122" spans="1:36" ht="14.25" customHeight="1">
      <c r="A1122" s="88">
        <v>11830</v>
      </c>
      <c r="B1122" s="85">
        <v>17.234999999999999</v>
      </c>
      <c r="C1122" s="88">
        <v>11840</v>
      </c>
      <c r="D1122" s="85">
        <v>16.861999999999998</v>
      </c>
      <c r="E1122" s="86">
        <v>11830</v>
      </c>
      <c r="F1122" s="85">
        <v>55.314</v>
      </c>
      <c r="G1122" s="87">
        <v>11830</v>
      </c>
      <c r="H1122" s="85">
        <v>55.472000000000001</v>
      </c>
      <c r="I1122" s="87">
        <v>11830</v>
      </c>
      <c r="J1122" s="85">
        <v>60.564999999999998</v>
      </c>
      <c r="K1122" s="87">
        <v>11830</v>
      </c>
      <c r="L1122" s="85">
        <v>59.186</v>
      </c>
      <c r="M1122" s="87">
        <v>11830</v>
      </c>
      <c r="N1122" s="85">
        <v>60.110999999999997</v>
      </c>
      <c r="O1122" s="87">
        <v>11810</v>
      </c>
      <c r="P1122" s="85">
        <v>61.091999999999999</v>
      </c>
      <c r="Q1122" s="87">
        <v>11830</v>
      </c>
      <c r="R1122" s="85">
        <v>60.835000000000001</v>
      </c>
      <c r="S1122" s="87">
        <v>11830</v>
      </c>
      <c r="T1122" s="85">
        <v>61.362000000000002</v>
      </c>
      <c r="U1122" s="87">
        <v>11820</v>
      </c>
      <c r="V1122" s="85">
        <v>61.546999999999997</v>
      </c>
      <c r="W1122" s="87">
        <v>11830</v>
      </c>
      <c r="X1122" s="85">
        <v>60.728999999999999</v>
      </c>
      <c r="Y1122" s="87">
        <v>11830</v>
      </c>
      <c r="Z1122" s="85">
        <v>59.488999999999997</v>
      </c>
      <c r="AA1122" s="87">
        <v>11830</v>
      </c>
      <c r="AB1122" s="85">
        <v>60.067999999999998</v>
      </c>
      <c r="AC1122" s="87">
        <v>11820</v>
      </c>
      <c r="AD1122" s="85">
        <v>39.381</v>
      </c>
      <c r="AE1122" s="87">
        <v>11830</v>
      </c>
      <c r="AF1122" s="85">
        <v>40.65</v>
      </c>
      <c r="AG1122" s="87">
        <v>11810</v>
      </c>
      <c r="AH1122" s="85">
        <v>8.1709999999999994</v>
      </c>
      <c r="AI1122" s="87">
        <v>11810</v>
      </c>
      <c r="AJ1122" s="85">
        <v>8.8770000000000007</v>
      </c>
    </row>
    <row r="1123" spans="1:36" ht="14.25" customHeight="1">
      <c r="A1123" s="88">
        <v>11840</v>
      </c>
      <c r="B1123" s="85">
        <v>16.859000000000002</v>
      </c>
      <c r="C1123" s="88">
        <v>11850</v>
      </c>
      <c r="D1123" s="85">
        <v>16.489999999999998</v>
      </c>
      <c r="E1123" s="86">
        <v>11840</v>
      </c>
      <c r="F1123" s="85">
        <v>54.176000000000002</v>
      </c>
      <c r="G1123" s="87">
        <v>11840</v>
      </c>
      <c r="H1123" s="85">
        <v>54.334000000000003</v>
      </c>
      <c r="I1123" s="87">
        <v>11840</v>
      </c>
      <c r="J1123" s="85">
        <v>59.363999999999997</v>
      </c>
      <c r="K1123" s="87">
        <v>11840</v>
      </c>
      <c r="L1123" s="85">
        <v>57.984000000000002</v>
      </c>
      <c r="M1123" s="87">
        <v>11840</v>
      </c>
      <c r="N1123" s="85">
        <v>58.9</v>
      </c>
      <c r="O1123" s="87">
        <v>11820</v>
      </c>
      <c r="P1123" s="85">
        <v>59.881</v>
      </c>
      <c r="Q1123" s="87">
        <v>11840</v>
      </c>
      <c r="R1123" s="85">
        <v>59.624000000000002</v>
      </c>
      <c r="S1123" s="87">
        <v>11840</v>
      </c>
      <c r="T1123" s="85">
        <v>60.15</v>
      </c>
      <c r="U1123" s="87">
        <v>11830</v>
      </c>
      <c r="V1123" s="85">
        <v>60.335999999999999</v>
      </c>
      <c r="W1123" s="87">
        <v>11840</v>
      </c>
      <c r="X1123" s="85">
        <v>59.517000000000003</v>
      </c>
      <c r="Y1123" s="87">
        <v>11840</v>
      </c>
      <c r="Z1123" s="85">
        <v>58.29</v>
      </c>
      <c r="AA1123" s="87">
        <v>11840</v>
      </c>
      <c r="AB1123" s="85">
        <v>58.871000000000002</v>
      </c>
      <c r="AC1123" s="87">
        <v>11830</v>
      </c>
      <c r="AD1123" s="85">
        <v>38.551000000000002</v>
      </c>
      <c r="AE1123" s="87">
        <v>11840</v>
      </c>
      <c r="AF1123" s="85">
        <v>39.817</v>
      </c>
      <c r="AG1123" s="87">
        <v>11820</v>
      </c>
      <c r="AH1123" s="85">
        <v>7.9989999999999997</v>
      </c>
      <c r="AI1123" s="87">
        <v>11820</v>
      </c>
      <c r="AJ1123" s="85">
        <v>8.6910000000000007</v>
      </c>
    </row>
    <row r="1124" spans="1:36" ht="14.25" customHeight="1">
      <c r="A1124" s="88">
        <v>11850</v>
      </c>
      <c r="B1124" s="85">
        <v>16.484000000000002</v>
      </c>
      <c r="C1124" s="88">
        <v>11860</v>
      </c>
      <c r="D1124" s="85">
        <v>16.119</v>
      </c>
      <c r="E1124" s="86">
        <v>11850</v>
      </c>
      <c r="F1124" s="85">
        <v>53.04</v>
      </c>
      <c r="G1124" s="87">
        <v>11850</v>
      </c>
      <c r="H1124" s="85">
        <v>53.197000000000003</v>
      </c>
      <c r="I1124" s="87">
        <v>11850</v>
      </c>
      <c r="J1124" s="85">
        <v>58.162999999999997</v>
      </c>
      <c r="K1124" s="87">
        <v>11850</v>
      </c>
      <c r="L1124" s="85">
        <v>56.781999999999996</v>
      </c>
      <c r="M1124" s="87">
        <v>11850</v>
      </c>
      <c r="N1124" s="85">
        <v>57.689</v>
      </c>
      <c r="O1124" s="87">
        <v>11830</v>
      </c>
      <c r="P1124" s="85">
        <v>58.668999999999997</v>
      </c>
      <c r="Q1124" s="87">
        <v>11850</v>
      </c>
      <c r="R1124" s="85">
        <v>58.412999999999997</v>
      </c>
      <c r="S1124" s="87">
        <v>11850</v>
      </c>
      <c r="T1124" s="85">
        <v>58.938000000000002</v>
      </c>
      <c r="U1124" s="87">
        <v>11840</v>
      </c>
      <c r="V1124" s="85">
        <v>59.125999999999998</v>
      </c>
      <c r="W1124" s="87">
        <v>11850</v>
      </c>
      <c r="X1124" s="85">
        <v>58.305999999999997</v>
      </c>
      <c r="Y1124" s="87">
        <v>11850</v>
      </c>
      <c r="Z1124" s="85">
        <v>57.091000000000001</v>
      </c>
      <c r="AA1124" s="87">
        <v>11850</v>
      </c>
      <c r="AB1124" s="85">
        <v>57.673000000000002</v>
      </c>
      <c r="AC1124" s="87">
        <v>11840</v>
      </c>
      <c r="AD1124" s="85">
        <v>37.722000000000001</v>
      </c>
      <c r="AE1124" s="87">
        <v>11850</v>
      </c>
      <c r="AF1124" s="85">
        <v>38.985999999999997</v>
      </c>
      <c r="AG1124" s="87">
        <v>11830</v>
      </c>
      <c r="AH1124" s="85">
        <v>7.827</v>
      </c>
      <c r="AI1124" s="87">
        <v>11830</v>
      </c>
      <c r="AJ1124" s="85">
        <v>8.5050000000000008</v>
      </c>
    </row>
    <row r="1125" spans="1:36" ht="14.25" customHeight="1">
      <c r="A1125" s="88">
        <v>11860</v>
      </c>
      <c r="B1125" s="85">
        <v>16.111000000000001</v>
      </c>
      <c r="C1125" s="88">
        <v>11870</v>
      </c>
      <c r="D1125" s="85">
        <v>15.749000000000001</v>
      </c>
      <c r="E1125" s="86">
        <v>11860</v>
      </c>
      <c r="F1125" s="85">
        <v>51.905999999999999</v>
      </c>
      <c r="G1125" s="87">
        <v>11860</v>
      </c>
      <c r="H1125" s="85">
        <v>52.061999999999998</v>
      </c>
      <c r="I1125" s="87">
        <v>11860</v>
      </c>
      <c r="J1125" s="85">
        <v>56.962000000000003</v>
      </c>
      <c r="K1125" s="87">
        <v>11860</v>
      </c>
      <c r="L1125" s="85">
        <v>55.58</v>
      </c>
      <c r="M1125" s="87">
        <v>11860</v>
      </c>
      <c r="N1125" s="85">
        <v>56.478000000000002</v>
      </c>
      <c r="O1125" s="87">
        <v>11840</v>
      </c>
      <c r="P1125" s="85">
        <v>57.457999999999998</v>
      </c>
      <c r="Q1125" s="87">
        <v>11860</v>
      </c>
      <c r="R1125" s="85">
        <v>57.201999999999998</v>
      </c>
      <c r="S1125" s="87">
        <v>11860</v>
      </c>
      <c r="T1125" s="85">
        <v>57.725999999999999</v>
      </c>
      <c r="U1125" s="87">
        <v>11850</v>
      </c>
      <c r="V1125" s="85">
        <v>57.914999999999999</v>
      </c>
      <c r="W1125" s="87">
        <v>11860</v>
      </c>
      <c r="X1125" s="85">
        <v>57.094999999999999</v>
      </c>
      <c r="Y1125" s="87">
        <v>11860</v>
      </c>
      <c r="Z1125" s="85">
        <v>55.893000000000001</v>
      </c>
      <c r="AA1125" s="87">
        <v>11860</v>
      </c>
      <c r="AB1125" s="85">
        <v>56.476999999999997</v>
      </c>
      <c r="AC1125" s="87">
        <v>11850</v>
      </c>
      <c r="AD1125" s="85">
        <v>36.893999999999998</v>
      </c>
      <c r="AE1125" s="87">
        <v>11860</v>
      </c>
      <c r="AF1125" s="85">
        <v>38.155999999999999</v>
      </c>
      <c r="AG1125" s="87">
        <v>11840</v>
      </c>
      <c r="AH1125" s="85">
        <v>7.6559999999999997</v>
      </c>
      <c r="AI1125" s="87">
        <v>11840</v>
      </c>
      <c r="AJ1125" s="85">
        <v>8.3190000000000008</v>
      </c>
    </row>
    <row r="1126" spans="1:36" ht="14.25" customHeight="1">
      <c r="A1126" s="88">
        <v>11870</v>
      </c>
      <c r="B1126" s="85">
        <v>15.739000000000001</v>
      </c>
      <c r="C1126" s="88">
        <v>11880</v>
      </c>
      <c r="D1126" s="85">
        <v>15.381</v>
      </c>
      <c r="E1126" s="86">
        <v>11870</v>
      </c>
      <c r="F1126" s="85">
        <v>50.773000000000003</v>
      </c>
      <c r="G1126" s="87">
        <v>11870</v>
      </c>
      <c r="H1126" s="85">
        <v>50.929000000000002</v>
      </c>
      <c r="I1126" s="87">
        <v>11870</v>
      </c>
      <c r="J1126" s="85">
        <v>55.762</v>
      </c>
      <c r="K1126" s="87">
        <v>11870</v>
      </c>
      <c r="L1126" s="85">
        <v>54.378999999999998</v>
      </c>
      <c r="M1126" s="87">
        <v>11870</v>
      </c>
      <c r="N1126" s="85">
        <v>55.267000000000003</v>
      </c>
      <c r="O1126" s="87">
        <v>11850</v>
      </c>
      <c r="P1126" s="85">
        <v>56.246000000000002</v>
      </c>
      <c r="Q1126" s="87">
        <v>11870</v>
      </c>
      <c r="R1126" s="85">
        <v>55.991</v>
      </c>
      <c r="S1126" s="87">
        <v>11870</v>
      </c>
      <c r="T1126" s="85">
        <v>56.514000000000003</v>
      </c>
      <c r="U1126" s="87">
        <v>11860</v>
      </c>
      <c r="V1126" s="85">
        <v>56.704000000000001</v>
      </c>
      <c r="W1126" s="87">
        <v>11870</v>
      </c>
      <c r="X1126" s="85">
        <v>55.884</v>
      </c>
      <c r="Y1126" s="87">
        <v>11870</v>
      </c>
      <c r="Z1126" s="85">
        <v>54.695</v>
      </c>
      <c r="AA1126" s="87">
        <v>11870</v>
      </c>
      <c r="AB1126" s="85">
        <v>55.28</v>
      </c>
      <c r="AC1126" s="87">
        <v>11860</v>
      </c>
      <c r="AD1126" s="85">
        <v>36.067999999999998</v>
      </c>
      <c r="AE1126" s="87">
        <v>11870</v>
      </c>
      <c r="AF1126" s="85">
        <v>37.328000000000003</v>
      </c>
      <c r="AG1126" s="87">
        <v>11850</v>
      </c>
      <c r="AH1126" s="85">
        <v>7.4850000000000003</v>
      </c>
      <c r="AI1126" s="87">
        <v>11850</v>
      </c>
      <c r="AJ1126" s="85">
        <v>8.1340000000000003</v>
      </c>
    </row>
    <row r="1127" spans="1:36" ht="14.25" customHeight="1">
      <c r="A1127" s="88">
        <v>11880</v>
      </c>
      <c r="B1127" s="85">
        <v>15.368</v>
      </c>
      <c r="C1127" s="88">
        <v>11890</v>
      </c>
      <c r="D1127" s="85">
        <v>15.013999999999999</v>
      </c>
      <c r="E1127" s="86">
        <v>11880</v>
      </c>
      <c r="F1127" s="85">
        <v>49.642000000000003</v>
      </c>
      <c r="G1127" s="87">
        <v>11880</v>
      </c>
      <c r="H1127" s="85">
        <v>49.796999999999997</v>
      </c>
      <c r="I1127" s="87">
        <v>11880</v>
      </c>
      <c r="J1127" s="85">
        <v>54.561999999999998</v>
      </c>
      <c r="K1127" s="87">
        <v>11880</v>
      </c>
      <c r="L1127" s="85">
        <v>53.177999999999997</v>
      </c>
      <c r="M1127" s="87">
        <v>11880</v>
      </c>
      <c r="N1127" s="85">
        <v>54.055</v>
      </c>
      <c r="O1127" s="87">
        <v>11860</v>
      </c>
      <c r="P1127" s="85">
        <v>55.034999999999997</v>
      </c>
      <c r="Q1127" s="87">
        <v>11880</v>
      </c>
      <c r="R1127" s="85">
        <v>54.78</v>
      </c>
      <c r="S1127" s="87">
        <v>11880</v>
      </c>
      <c r="T1127" s="85">
        <v>55.302</v>
      </c>
      <c r="U1127" s="87">
        <v>11870</v>
      </c>
      <c r="V1127" s="85">
        <v>55.493000000000002</v>
      </c>
      <c r="W1127" s="87">
        <v>11880</v>
      </c>
      <c r="X1127" s="85">
        <v>54.671999999999997</v>
      </c>
      <c r="Y1127" s="87">
        <v>11880</v>
      </c>
      <c r="Z1127" s="85">
        <v>53.497</v>
      </c>
      <c r="AA1127" s="87">
        <v>11880</v>
      </c>
      <c r="AB1127" s="85">
        <v>54.084000000000003</v>
      </c>
      <c r="AC1127" s="87">
        <v>11870</v>
      </c>
      <c r="AD1127" s="85">
        <v>35.244</v>
      </c>
      <c r="AE1127" s="87">
        <v>11880</v>
      </c>
      <c r="AF1127" s="85">
        <v>36.500999999999998</v>
      </c>
      <c r="AG1127" s="87">
        <v>11860</v>
      </c>
      <c r="AH1127" s="85">
        <v>7.3150000000000004</v>
      </c>
      <c r="AI1127" s="87">
        <v>11860</v>
      </c>
      <c r="AJ1127" s="85">
        <v>7.95</v>
      </c>
    </row>
    <row r="1128" spans="1:36" ht="14.25" customHeight="1">
      <c r="A1128" s="88">
        <v>11890</v>
      </c>
      <c r="B1128" s="85">
        <v>14.997999999999999</v>
      </c>
      <c r="C1128" s="88">
        <v>11900</v>
      </c>
      <c r="D1128" s="85">
        <v>14.648999999999999</v>
      </c>
      <c r="E1128" s="86">
        <v>11890</v>
      </c>
      <c r="F1128" s="85">
        <v>48.512</v>
      </c>
      <c r="G1128" s="87">
        <v>11890</v>
      </c>
      <c r="H1128" s="85">
        <v>48.667000000000002</v>
      </c>
      <c r="I1128" s="87">
        <v>11890</v>
      </c>
      <c r="J1128" s="85">
        <v>53.363</v>
      </c>
      <c r="K1128" s="87">
        <v>11890</v>
      </c>
      <c r="L1128" s="85">
        <v>51.978000000000002</v>
      </c>
      <c r="M1128" s="87">
        <v>11890</v>
      </c>
      <c r="N1128" s="85">
        <v>52.844000000000001</v>
      </c>
      <c r="O1128" s="87">
        <v>11870</v>
      </c>
      <c r="P1128" s="85">
        <v>53.823999999999998</v>
      </c>
      <c r="Q1128" s="87">
        <v>11890</v>
      </c>
      <c r="R1128" s="85">
        <v>53.569000000000003</v>
      </c>
      <c r="S1128" s="87">
        <v>11890</v>
      </c>
      <c r="T1128" s="85">
        <v>54.091000000000001</v>
      </c>
      <c r="U1128" s="87">
        <v>11880</v>
      </c>
      <c r="V1128" s="85">
        <v>54.283000000000001</v>
      </c>
      <c r="W1128" s="87">
        <v>11890</v>
      </c>
      <c r="X1128" s="85">
        <v>53.460999999999999</v>
      </c>
      <c r="Y1128" s="87">
        <v>11890</v>
      </c>
      <c r="Z1128" s="85">
        <v>52.3</v>
      </c>
      <c r="AA1128" s="87">
        <v>11890</v>
      </c>
      <c r="AB1128" s="85">
        <v>52.889000000000003</v>
      </c>
      <c r="AC1128" s="87">
        <v>11880</v>
      </c>
      <c r="AD1128" s="85">
        <v>34.420999999999999</v>
      </c>
      <c r="AE1128" s="87">
        <v>11890</v>
      </c>
      <c r="AF1128" s="85">
        <v>35.674999999999997</v>
      </c>
      <c r="AG1128" s="87">
        <v>11870</v>
      </c>
      <c r="AH1128" s="85">
        <v>7.1440000000000001</v>
      </c>
      <c r="AI1128" s="87">
        <v>11870</v>
      </c>
      <c r="AJ1128" s="85">
        <v>7.7649999999999997</v>
      </c>
    </row>
    <row r="1129" spans="1:36" ht="14.25" customHeight="1">
      <c r="A1129" s="88">
        <v>11900</v>
      </c>
      <c r="B1129" s="85">
        <v>14.63</v>
      </c>
      <c r="C1129" s="88">
        <v>11910</v>
      </c>
      <c r="D1129" s="85">
        <v>14.284000000000001</v>
      </c>
      <c r="E1129" s="86">
        <v>11900</v>
      </c>
      <c r="F1129" s="85">
        <v>47.384</v>
      </c>
      <c r="G1129" s="87">
        <v>11900</v>
      </c>
      <c r="H1129" s="85">
        <v>47.537999999999997</v>
      </c>
      <c r="I1129" s="87">
        <v>11900</v>
      </c>
      <c r="J1129" s="85">
        <v>52.164000000000001</v>
      </c>
      <c r="K1129" s="87">
        <v>11900</v>
      </c>
      <c r="L1129" s="85">
        <v>50.777999999999999</v>
      </c>
      <c r="M1129" s="87">
        <v>11900</v>
      </c>
      <c r="N1129" s="85">
        <v>51.633000000000003</v>
      </c>
      <c r="O1129" s="87">
        <v>11880</v>
      </c>
      <c r="P1129" s="85">
        <v>52.612000000000002</v>
      </c>
      <c r="Q1129" s="87">
        <v>11900</v>
      </c>
      <c r="R1129" s="85">
        <v>52.357999999999997</v>
      </c>
      <c r="S1129" s="87">
        <v>11900</v>
      </c>
      <c r="T1129" s="85">
        <v>52.878999999999998</v>
      </c>
      <c r="U1129" s="87">
        <v>11890</v>
      </c>
      <c r="V1129" s="85">
        <v>53.072000000000003</v>
      </c>
      <c r="W1129" s="87">
        <v>11900</v>
      </c>
      <c r="X1129" s="85">
        <v>52.25</v>
      </c>
      <c r="Y1129" s="87">
        <v>11900</v>
      </c>
      <c r="Z1129" s="85">
        <v>51.103999999999999</v>
      </c>
      <c r="AA1129" s="87">
        <v>11900</v>
      </c>
      <c r="AB1129" s="85">
        <v>51.694000000000003</v>
      </c>
      <c r="AC1129" s="87">
        <v>11890</v>
      </c>
      <c r="AD1129" s="85">
        <v>33.598999999999997</v>
      </c>
      <c r="AE1129" s="87">
        <v>11900</v>
      </c>
      <c r="AF1129" s="85">
        <v>34.850999999999999</v>
      </c>
      <c r="AG1129" s="87">
        <v>11880</v>
      </c>
      <c r="AH1129" s="85">
        <v>6.9749999999999996</v>
      </c>
      <c r="AI1129" s="87">
        <v>11880</v>
      </c>
      <c r="AJ1129" s="85">
        <v>7.5810000000000004</v>
      </c>
    </row>
    <row r="1130" spans="1:36" ht="14.25" customHeight="1">
      <c r="A1130" s="88">
        <v>11910</v>
      </c>
      <c r="B1130" s="85">
        <v>14.263</v>
      </c>
      <c r="C1130" s="88">
        <v>11920</v>
      </c>
      <c r="D1130" s="85">
        <v>13.920999999999999</v>
      </c>
      <c r="E1130" s="86">
        <v>11910</v>
      </c>
      <c r="F1130" s="85">
        <v>46.258000000000003</v>
      </c>
      <c r="G1130" s="87">
        <v>11910</v>
      </c>
      <c r="H1130" s="85">
        <v>46.411000000000001</v>
      </c>
      <c r="I1130" s="87">
        <v>11910</v>
      </c>
      <c r="J1130" s="85">
        <v>50.965000000000003</v>
      </c>
      <c r="K1130" s="87">
        <v>11910</v>
      </c>
      <c r="L1130" s="85">
        <v>49.578000000000003</v>
      </c>
      <c r="M1130" s="87">
        <v>11910</v>
      </c>
      <c r="N1130" s="85">
        <v>50.421999999999997</v>
      </c>
      <c r="O1130" s="87">
        <v>11890</v>
      </c>
      <c r="P1130" s="85">
        <v>51.401000000000003</v>
      </c>
      <c r="Q1130" s="87">
        <v>11910</v>
      </c>
      <c r="R1130" s="85">
        <v>51.146999999999998</v>
      </c>
      <c r="S1130" s="87">
        <v>11910</v>
      </c>
      <c r="T1130" s="85">
        <v>51.667000000000002</v>
      </c>
      <c r="U1130" s="87">
        <v>11900</v>
      </c>
      <c r="V1130" s="85">
        <v>51.860999999999997</v>
      </c>
      <c r="W1130" s="87">
        <v>11910</v>
      </c>
      <c r="X1130" s="85">
        <v>51.037999999999997</v>
      </c>
      <c r="Y1130" s="87">
        <v>11910</v>
      </c>
      <c r="Z1130" s="85">
        <v>49.906999999999996</v>
      </c>
      <c r="AA1130" s="87">
        <v>11910</v>
      </c>
      <c r="AB1130" s="85">
        <v>50.5</v>
      </c>
      <c r="AC1130" s="87">
        <v>11900</v>
      </c>
      <c r="AD1130" s="85">
        <v>32.779000000000003</v>
      </c>
      <c r="AE1130" s="87">
        <v>11910</v>
      </c>
      <c r="AF1130" s="85">
        <v>34.029000000000003</v>
      </c>
      <c r="AG1130" s="87">
        <v>11890</v>
      </c>
      <c r="AH1130" s="85">
        <v>6.8049999999999997</v>
      </c>
      <c r="AI1130" s="87">
        <v>11890</v>
      </c>
      <c r="AJ1130" s="85">
        <v>7.3979999999999997</v>
      </c>
    </row>
    <row r="1131" spans="1:36" ht="14.25" customHeight="1">
      <c r="A1131" s="88">
        <v>11920</v>
      </c>
      <c r="B1131" s="85">
        <v>13.898</v>
      </c>
      <c r="C1131" s="88">
        <v>11930</v>
      </c>
      <c r="D1131" s="85">
        <v>13.558999999999999</v>
      </c>
      <c r="E1131" s="86">
        <v>11920</v>
      </c>
      <c r="F1131" s="85">
        <v>45.133000000000003</v>
      </c>
      <c r="G1131" s="87">
        <v>11920</v>
      </c>
      <c r="H1131" s="85">
        <v>45.286000000000001</v>
      </c>
      <c r="I1131" s="87">
        <v>11920</v>
      </c>
      <c r="J1131" s="85">
        <v>49.767000000000003</v>
      </c>
      <c r="K1131" s="87">
        <v>11920</v>
      </c>
      <c r="L1131" s="85">
        <v>48.378999999999998</v>
      </c>
      <c r="M1131" s="87">
        <v>11920</v>
      </c>
      <c r="N1131" s="85">
        <v>49.210999999999999</v>
      </c>
      <c r="O1131" s="87">
        <v>11900</v>
      </c>
      <c r="P1131" s="85">
        <v>50.19</v>
      </c>
      <c r="Q1131" s="87">
        <v>11920</v>
      </c>
      <c r="R1131" s="85">
        <v>49.935000000000002</v>
      </c>
      <c r="S1131" s="87">
        <v>11920</v>
      </c>
      <c r="T1131" s="85">
        <v>50.454999999999998</v>
      </c>
      <c r="U1131" s="87">
        <v>11910</v>
      </c>
      <c r="V1131" s="85">
        <v>50.651000000000003</v>
      </c>
      <c r="W1131" s="87">
        <v>11920</v>
      </c>
      <c r="X1131" s="85">
        <v>49.826999999999998</v>
      </c>
      <c r="Y1131" s="87">
        <v>11920</v>
      </c>
      <c r="Z1131" s="85">
        <v>48.712000000000003</v>
      </c>
      <c r="AA1131" s="87">
        <v>11920</v>
      </c>
      <c r="AB1131" s="85">
        <v>49.307000000000002</v>
      </c>
      <c r="AC1131" s="87">
        <v>11910</v>
      </c>
      <c r="AD1131" s="85">
        <v>31.96</v>
      </c>
      <c r="AE1131" s="87">
        <v>11920</v>
      </c>
      <c r="AF1131" s="85">
        <v>33.207000000000001</v>
      </c>
      <c r="AG1131" s="87">
        <v>11900</v>
      </c>
      <c r="AH1131" s="85">
        <v>6.6360000000000001</v>
      </c>
      <c r="AI1131" s="87">
        <v>11900</v>
      </c>
      <c r="AJ1131" s="85">
        <v>7.2149999999999999</v>
      </c>
    </row>
    <row r="1132" spans="1:36" ht="14.25" customHeight="1">
      <c r="A1132" s="88">
        <v>11930</v>
      </c>
      <c r="B1132" s="85">
        <v>13.532999999999999</v>
      </c>
      <c r="C1132" s="88">
        <v>11940</v>
      </c>
      <c r="D1132" s="85">
        <v>13.199</v>
      </c>
      <c r="E1132" s="86">
        <v>11930</v>
      </c>
      <c r="F1132" s="85">
        <v>44.01</v>
      </c>
      <c r="G1132" s="87">
        <v>11930</v>
      </c>
      <c r="H1132" s="85">
        <v>44.161999999999999</v>
      </c>
      <c r="I1132" s="87">
        <v>11930</v>
      </c>
      <c r="J1132" s="85">
        <v>48.567999999999998</v>
      </c>
      <c r="K1132" s="87">
        <v>11930</v>
      </c>
      <c r="L1132" s="85">
        <v>47.18</v>
      </c>
      <c r="M1132" s="87">
        <v>11930</v>
      </c>
      <c r="N1132" s="85">
        <v>48</v>
      </c>
      <c r="O1132" s="87">
        <v>11910</v>
      </c>
      <c r="P1132" s="85">
        <v>48.978000000000002</v>
      </c>
      <c r="Q1132" s="87">
        <v>11930</v>
      </c>
      <c r="R1132" s="85">
        <v>48.723999999999997</v>
      </c>
      <c r="S1132" s="87">
        <v>11930</v>
      </c>
      <c r="T1132" s="85">
        <v>49.243000000000002</v>
      </c>
      <c r="U1132" s="87">
        <v>11920</v>
      </c>
      <c r="V1132" s="85">
        <v>49.44</v>
      </c>
      <c r="W1132" s="87">
        <v>11930</v>
      </c>
      <c r="X1132" s="85">
        <v>48.616</v>
      </c>
      <c r="Y1132" s="87">
        <v>11930</v>
      </c>
      <c r="Z1132" s="85">
        <v>47.517000000000003</v>
      </c>
      <c r="AA1132" s="87">
        <v>11930</v>
      </c>
      <c r="AB1132" s="85">
        <v>48.113999999999997</v>
      </c>
      <c r="AC1132" s="87">
        <v>11920</v>
      </c>
      <c r="AD1132" s="85">
        <v>31.141999999999999</v>
      </c>
      <c r="AE1132" s="87">
        <v>11930</v>
      </c>
      <c r="AF1132" s="85">
        <v>32.387</v>
      </c>
      <c r="AG1132" s="87">
        <v>11910</v>
      </c>
      <c r="AH1132" s="85">
        <v>6.468</v>
      </c>
      <c r="AI1132" s="87">
        <v>11910</v>
      </c>
      <c r="AJ1132" s="85">
        <v>7.032</v>
      </c>
    </row>
    <row r="1133" spans="1:36" ht="14.25" customHeight="1">
      <c r="A1133" s="88">
        <v>11940</v>
      </c>
      <c r="B1133" s="85">
        <v>13.17</v>
      </c>
      <c r="C1133" s="88">
        <v>11950</v>
      </c>
      <c r="D1133" s="85">
        <v>12.84</v>
      </c>
      <c r="E1133" s="86">
        <v>11940</v>
      </c>
      <c r="F1133" s="85">
        <v>42.889000000000003</v>
      </c>
      <c r="G1133" s="87">
        <v>11940</v>
      </c>
      <c r="H1133" s="85">
        <v>43.04</v>
      </c>
      <c r="I1133" s="87">
        <v>11940</v>
      </c>
      <c r="J1133" s="85">
        <v>47.371000000000002</v>
      </c>
      <c r="K1133" s="87">
        <v>11940</v>
      </c>
      <c r="L1133" s="85">
        <v>45.981000000000002</v>
      </c>
      <c r="M1133" s="87">
        <v>11940</v>
      </c>
      <c r="N1133" s="85">
        <v>46.789000000000001</v>
      </c>
      <c r="O1133" s="87">
        <v>11920</v>
      </c>
      <c r="P1133" s="85">
        <v>47.767000000000003</v>
      </c>
      <c r="Q1133" s="87">
        <v>11940</v>
      </c>
      <c r="R1133" s="85">
        <v>47.512999999999998</v>
      </c>
      <c r="S1133" s="87">
        <v>11940</v>
      </c>
      <c r="T1133" s="85">
        <v>48.030999999999999</v>
      </c>
      <c r="U1133" s="87">
        <v>11930</v>
      </c>
      <c r="V1133" s="85">
        <v>48.228999999999999</v>
      </c>
      <c r="W1133" s="87">
        <v>11940</v>
      </c>
      <c r="X1133" s="85">
        <v>47.404000000000003</v>
      </c>
      <c r="Y1133" s="87">
        <v>11940</v>
      </c>
      <c r="Z1133" s="85">
        <v>46.322000000000003</v>
      </c>
      <c r="AA1133" s="87">
        <v>11940</v>
      </c>
      <c r="AB1133" s="85">
        <v>46.920999999999999</v>
      </c>
      <c r="AC1133" s="87">
        <v>11930</v>
      </c>
      <c r="AD1133" s="85">
        <v>30.326000000000001</v>
      </c>
      <c r="AE1133" s="87">
        <v>11940</v>
      </c>
      <c r="AF1133" s="85">
        <v>31.568999999999999</v>
      </c>
      <c r="AG1133" s="87">
        <v>11920</v>
      </c>
      <c r="AH1133" s="85">
        <v>6.2990000000000004</v>
      </c>
      <c r="AI1133" s="87">
        <v>11920</v>
      </c>
      <c r="AJ1133" s="85">
        <v>6.85</v>
      </c>
    </row>
    <row r="1134" spans="1:36" ht="14.25" customHeight="1">
      <c r="A1134" s="88">
        <v>11950</v>
      </c>
      <c r="B1134" s="85">
        <v>12.808</v>
      </c>
      <c r="C1134" s="88">
        <v>11960</v>
      </c>
      <c r="D1134" s="85">
        <v>12.481999999999999</v>
      </c>
      <c r="E1134" s="86">
        <v>11950</v>
      </c>
      <c r="F1134" s="85">
        <v>41.768999999999998</v>
      </c>
      <c r="G1134" s="87">
        <v>11950</v>
      </c>
      <c r="H1134" s="85">
        <v>41.92</v>
      </c>
      <c r="I1134" s="87">
        <v>11950</v>
      </c>
      <c r="J1134" s="85">
        <v>46.173000000000002</v>
      </c>
      <c r="K1134" s="87">
        <v>11950</v>
      </c>
      <c r="L1134" s="85">
        <v>44.783000000000001</v>
      </c>
      <c r="M1134" s="87">
        <v>11950</v>
      </c>
      <c r="N1134" s="85">
        <v>45.578000000000003</v>
      </c>
      <c r="O1134" s="87">
        <v>11930</v>
      </c>
      <c r="P1134" s="85">
        <v>46.555999999999997</v>
      </c>
      <c r="Q1134" s="87">
        <v>11950</v>
      </c>
      <c r="R1134" s="85">
        <v>46.302</v>
      </c>
      <c r="S1134" s="87">
        <v>11950</v>
      </c>
      <c r="T1134" s="85">
        <v>46.819000000000003</v>
      </c>
      <c r="U1134" s="87">
        <v>11940</v>
      </c>
      <c r="V1134" s="85">
        <v>47.018000000000001</v>
      </c>
      <c r="W1134" s="87">
        <v>11950</v>
      </c>
      <c r="X1134" s="85">
        <v>46.192999999999998</v>
      </c>
      <c r="Y1134" s="87">
        <v>11950</v>
      </c>
      <c r="Z1134" s="85">
        <v>45.128999999999998</v>
      </c>
      <c r="AA1134" s="87">
        <v>11950</v>
      </c>
      <c r="AB1134" s="85">
        <v>45.73</v>
      </c>
      <c r="AC1134" s="87">
        <v>11940</v>
      </c>
      <c r="AD1134" s="85">
        <v>29.510999999999999</v>
      </c>
      <c r="AE1134" s="87">
        <v>11950</v>
      </c>
      <c r="AF1134" s="85">
        <v>30.751999999999999</v>
      </c>
      <c r="AG1134" s="87">
        <v>11930</v>
      </c>
      <c r="AH1134" s="85">
        <v>6.1319999999999997</v>
      </c>
      <c r="AI1134" s="87">
        <v>11930</v>
      </c>
      <c r="AJ1134" s="85">
        <v>6.6680000000000001</v>
      </c>
    </row>
    <row r="1135" spans="1:36" ht="14.25" customHeight="1">
      <c r="A1135" s="88">
        <v>11960</v>
      </c>
      <c r="B1135" s="85">
        <v>12.448</v>
      </c>
      <c r="C1135" s="88">
        <v>11970</v>
      </c>
      <c r="D1135" s="85">
        <v>12.125</v>
      </c>
      <c r="E1135" s="86">
        <v>11960</v>
      </c>
      <c r="F1135" s="85">
        <v>40.651000000000003</v>
      </c>
      <c r="G1135" s="87">
        <v>11960</v>
      </c>
      <c r="H1135" s="85">
        <v>40.801000000000002</v>
      </c>
      <c r="I1135" s="87">
        <v>11960</v>
      </c>
      <c r="J1135" s="85">
        <v>44.975999999999999</v>
      </c>
      <c r="K1135" s="87">
        <v>11960</v>
      </c>
      <c r="L1135" s="85">
        <v>43.585000000000001</v>
      </c>
      <c r="M1135" s="87">
        <v>11960</v>
      </c>
      <c r="N1135" s="85">
        <v>44.366</v>
      </c>
      <c r="O1135" s="87">
        <v>11940</v>
      </c>
      <c r="P1135" s="85">
        <v>45.344000000000001</v>
      </c>
      <c r="Q1135" s="87">
        <v>11960</v>
      </c>
      <c r="R1135" s="85">
        <v>45.091000000000001</v>
      </c>
      <c r="S1135" s="87">
        <v>11960</v>
      </c>
      <c r="T1135" s="85">
        <v>45.606999999999999</v>
      </c>
      <c r="U1135" s="87">
        <v>11950</v>
      </c>
      <c r="V1135" s="85">
        <v>45.808</v>
      </c>
      <c r="W1135" s="87">
        <v>11960</v>
      </c>
      <c r="X1135" s="85">
        <v>44.981999999999999</v>
      </c>
      <c r="Y1135" s="87">
        <v>11960</v>
      </c>
      <c r="Z1135" s="85">
        <v>43.935000000000002</v>
      </c>
      <c r="AA1135" s="87">
        <v>11960</v>
      </c>
      <c r="AB1135" s="85">
        <v>44.539000000000001</v>
      </c>
      <c r="AC1135" s="87">
        <v>11950</v>
      </c>
      <c r="AD1135" s="85">
        <v>28.698</v>
      </c>
      <c r="AE1135" s="87">
        <v>11960</v>
      </c>
      <c r="AF1135" s="85">
        <v>29.936</v>
      </c>
      <c r="AG1135" s="87">
        <v>11940</v>
      </c>
      <c r="AH1135" s="85">
        <v>5.9640000000000004</v>
      </c>
      <c r="AI1135" s="87">
        <v>11940</v>
      </c>
      <c r="AJ1135" s="85">
        <v>6.4859999999999998</v>
      </c>
    </row>
    <row r="1136" spans="1:36" ht="14.25" customHeight="1">
      <c r="A1136" s="88">
        <v>11970</v>
      </c>
      <c r="B1136" s="84">
        <v>12.334</v>
      </c>
      <c r="C1136" s="88">
        <v>11980</v>
      </c>
      <c r="D1136" s="85">
        <v>11.769</v>
      </c>
      <c r="E1136" s="86">
        <v>11970</v>
      </c>
      <c r="F1136" s="85">
        <v>39.534999999999997</v>
      </c>
      <c r="G1136" s="87">
        <v>11970</v>
      </c>
      <c r="H1136" s="85">
        <v>39.683999999999997</v>
      </c>
      <c r="I1136" s="87">
        <v>11970</v>
      </c>
      <c r="J1136" s="85">
        <v>43.78</v>
      </c>
      <c r="K1136" s="87">
        <v>11970</v>
      </c>
      <c r="L1136" s="85">
        <v>42.387999999999998</v>
      </c>
      <c r="M1136" s="87">
        <v>11970</v>
      </c>
      <c r="N1136" s="85">
        <v>43.155000000000001</v>
      </c>
      <c r="O1136" s="87">
        <v>11950</v>
      </c>
      <c r="P1136" s="85">
        <v>44.133000000000003</v>
      </c>
      <c r="Q1136" s="87">
        <v>11970</v>
      </c>
      <c r="R1136" s="85">
        <v>43.88</v>
      </c>
      <c r="S1136" s="87">
        <v>11970</v>
      </c>
      <c r="T1136" s="85">
        <v>44.395000000000003</v>
      </c>
      <c r="U1136" s="87">
        <v>11960</v>
      </c>
      <c r="V1136" s="85">
        <v>44.597000000000001</v>
      </c>
      <c r="W1136" s="87">
        <v>11970</v>
      </c>
      <c r="X1136" s="85">
        <v>43.77</v>
      </c>
      <c r="Y1136" s="87">
        <v>11970</v>
      </c>
      <c r="Z1136" s="85">
        <v>42.743000000000002</v>
      </c>
      <c r="AA1136" s="87">
        <v>11970</v>
      </c>
      <c r="AB1136" s="85">
        <v>43.347999999999999</v>
      </c>
      <c r="AC1136" s="87">
        <v>11960</v>
      </c>
      <c r="AD1136" s="85">
        <v>27.885999999999999</v>
      </c>
      <c r="AE1136" s="87">
        <v>11970</v>
      </c>
      <c r="AF1136" s="85">
        <v>29.122</v>
      </c>
      <c r="AG1136" s="87">
        <v>11950</v>
      </c>
      <c r="AH1136" s="85">
        <v>5.7969999999999997</v>
      </c>
      <c r="AI1136" s="87">
        <v>11950</v>
      </c>
      <c r="AJ1136" s="85">
        <v>6.3049999999999997</v>
      </c>
    </row>
    <row r="1137" spans="1:36" ht="14.25" customHeight="1">
      <c r="A1137" s="88">
        <v>11980</v>
      </c>
      <c r="B1137" s="85">
        <v>11.73</v>
      </c>
      <c r="C1137" s="88">
        <v>11990</v>
      </c>
      <c r="D1137" s="85">
        <v>11.414999999999999</v>
      </c>
      <c r="E1137" s="86">
        <v>11980</v>
      </c>
      <c r="F1137" s="85">
        <v>38.42</v>
      </c>
      <c r="G1137" s="87">
        <v>11980</v>
      </c>
      <c r="H1137" s="85">
        <v>38.567999999999998</v>
      </c>
      <c r="I1137" s="87">
        <v>11980</v>
      </c>
      <c r="J1137" s="85">
        <v>42.584000000000003</v>
      </c>
      <c r="K1137" s="87">
        <v>11980</v>
      </c>
      <c r="L1137" s="85">
        <v>41.19</v>
      </c>
      <c r="M1137" s="87">
        <v>11980</v>
      </c>
      <c r="N1137" s="85">
        <v>41.944000000000003</v>
      </c>
      <c r="O1137" s="87">
        <v>11960</v>
      </c>
      <c r="P1137" s="85">
        <v>42.920999999999999</v>
      </c>
      <c r="Q1137" s="87">
        <v>11980</v>
      </c>
      <c r="R1137" s="85">
        <v>42.668999999999997</v>
      </c>
      <c r="S1137" s="87">
        <v>11980</v>
      </c>
      <c r="T1137" s="85">
        <v>43.183999999999997</v>
      </c>
      <c r="U1137" s="87">
        <v>11970</v>
      </c>
      <c r="V1137" s="85">
        <v>43.386000000000003</v>
      </c>
      <c r="W1137" s="87">
        <v>11980</v>
      </c>
      <c r="X1137" s="85">
        <v>42.558999999999997</v>
      </c>
      <c r="Y1137" s="87">
        <v>11980</v>
      </c>
      <c r="Z1137" s="85">
        <v>41.551000000000002</v>
      </c>
      <c r="AA1137" s="87">
        <v>11980</v>
      </c>
      <c r="AB1137" s="85">
        <v>42.158999999999999</v>
      </c>
      <c r="AC1137" s="87">
        <v>11970</v>
      </c>
      <c r="AD1137" s="85">
        <v>27.076000000000001</v>
      </c>
      <c r="AE1137" s="87">
        <v>11980</v>
      </c>
      <c r="AF1137" s="85">
        <v>28.309000000000001</v>
      </c>
      <c r="AG1137" s="87">
        <v>11960</v>
      </c>
      <c r="AH1137" s="85">
        <v>5.6310000000000002</v>
      </c>
      <c r="AI1137" s="87">
        <v>11960</v>
      </c>
      <c r="AJ1137" s="85">
        <v>6.125</v>
      </c>
    </row>
    <row r="1138" spans="1:36" ht="14.25" customHeight="1">
      <c r="A1138" s="88">
        <v>11990</v>
      </c>
      <c r="B1138" s="85">
        <v>11.374000000000001</v>
      </c>
      <c r="C1138" s="88">
        <v>12000</v>
      </c>
      <c r="D1138" s="85">
        <v>11.061999999999999</v>
      </c>
      <c r="E1138" s="86">
        <v>11990</v>
      </c>
      <c r="F1138" s="85">
        <v>37.307000000000002</v>
      </c>
      <c r="G1138" s="87">
        <v>11990</v>
      </c>
      <c r="H1138" s="85">
        <v>37.454000000000001</v>
      </c>
      <c r="I1138" s="87">
        <v>11990</v>
      </c>
      <c r="J1138" s="85">
        <v>41.387999999999998</v>
      </c>
      <c r="K1138" s="87">
        <v>11990</v>
      </c>
      <c r="L1138" s="85">
        <v>39.994</v>
      </c>
      <c r="M1138" s="87">
        <v>11990</v>
      </c>
      <c r="N1138" s="85">
        <v>40.732999999999997</v>
      </c>
      <c r="O1138" s="87">
        <v>11970</v>
      </c>
      <c r="P1138" s="85">
        <v>41.71</v>
      </c>
      <c r="Q1138" s="87">
        <v>11990</v>
      </c>
      <c r="R1138" s="85">
        <v>41.457999999999998</v>
      </c>
      <c r="S1138" s="87">
        <v>11990</v>
      </c>
      <c r="T1138" s="85">
        <v>41.972000000000001</v>
      </c>
      <c r="U1138" s="87">
        <v>11980</v>
      </c>
      <c r="V1138" s="85">
        <v>42.176000000000002</v>
      </c>
      <c r="W1138" s="87">
        <v>11990</v>
      </c>
      <c r="X1138" s="85">
        <v>41.347999999999999</v>
      </c>
      <c r="Y1138" s="87">
        <v>11990</v>
      </c>
      <c r="Z1138" s="85">
        <v>40.359000000000002</v>
      </c>
      <c r="AA1138" s="87">
        <v>11990</v>
      </c>
      <c r="AB1138" s="85">
        <v>40.969000000000001</v>
      </c>
      <c r="AC1138" s="87">
        <v>11980</v>
      </c>
      <c r="AD1138" s="85">
        <v>26.266999999999999</v>
      </c>
      <c r="AE1138" s="87">
        <v>11990</v>
      </c>
      <c r="AF1138" s="85">
        <v>27.498000000000001</v>
      </c>
      <c r="AG1138" s="87">
        <v>11970</v>
      </c>
      <c r="AH1138" s="85">
        <v>5.4640000000000004</v>
      </c>
      <c r="AI1138" s="87">
        <v>11970</v>
      </c>
      <c r="AJ1138" s="85">
        <v>5.944</v>
      </c>
    </row>
    <row r="1139" spans="1:36" ht="14.25" customHeight="1">
      <c r="A1139" s="88">
        <v>12000</v>
      </c>
      <c r="B1139" s="85">
        <v>11.018000000000001</v>
      </c>
      <c r="C1139" s="88">
        <v>12010</v>
      </c>
      <c r="D1139" s="85">
        <v>10.711</v>
      </c>
      <c r="E1139" s="86">
        <v>12000</v>
      </c>
      <c r="F1139" s="85">
        <v>36.195</v>
      </c>
      <c r="G1139" s="87">
        <v>12000</v>
      </c>
      <c r="H1139" s="85">
        <v>36.341999999999999</v>
      </c>
      <c r="I1139" s="87">
        <v>12000</v>
      </c>
      <c r="J1139" s="85">
        <v>40.192999999999998</v>
      </c>
      <c r="K1139" s="87">
        <v>12000</v>
      </c>
      <c r="L1139" s="85">
        <v>38.798000000000002</v>
      </c>
      <c r="M1139" s="87">
        <v>12000</v>
      </c>
      <c r="N1139" s="85">
        <v>39.521999999999998</v>
      </c>
      <c r="O1139" s="87">
        <v>11980</v>
      </c>
      <c r="P1139" s="85">
        <v>40.499000000000002</v>
      </c>
      <c r="Q1139" s="87">
        <v>12000</v>
      </c>
      <c r="R1139" s="85">
        <v>40.247</v>
      </c>
      <c r="S1139" s="87">
        <v>12000</v>
      </c>
      <c r="T1139" s="85">
        <v>40.76</v>
      </c>
      <c r="U1139" s="87">
        <v>11990</v>
      </c>
      <c r="V1139" s="85">
        <v>40.965000000000003</v>
      </c>
      <c r="W1139" s="87">
        <v>12000</v>
      </c>
      <c r="X1139" s="85">
        <v>40.137</v>
      </c>
      <c r="Y1139" s="87">
        <v>12000</v>
      </c>
      <c r="Z1139" s="85">
        <v>39.168999999999997</v>
      </c>
      <c r="AA1139" s="87">
        <v>12000</v>
      </c>
      <c r="AB1139" s="85">
        <v>39.780999999999999</v>
      </c>
      <c r="AC1139" s="87">
        <v>11990</v>
      </c>
      <c r="AD1139" s="85">
        <v>25.459</v>
      </c>
      <c r="AE1139" s="87">
        <v>12000</v>
      </c>
      <c r="AF1139" s="85">
        <v>26.687000000000001</v>
      </c>
      <c r="AG1139" s="87">
        <v>11980</v>
      </c>
      <c r="AH1139" s="85">
        <v>5.2990000000000004</v>
      </c>
      <c r="AI1139" s="87">
        <v>11980</v>
      </c>
      <c r="AJ1139" s="85">
        <v>5.7640000000000002</v>
      </c>
    </row>
    <row r="1140" spans="1:36" ht="14.25" customHeight="1">
      <c r="A1140" s="88">
        <v>12010</v>
      </c>
      <c r="B1140" s="85">
        <v>10.664</v>
      </c>
      <c r="C1140" s="88">
        <v>12020</v>
      </c>
      <c r="D1140" s="85">
        <v>10.36</v>
      </c>
      <c r="E1140" s="86">
        <v>12010</v>
      </c>
      <c r="F1140" s="85">
        <v>35.085999999999999</v>
      </c>
      <c r="G1140" s="87">
        <v>12010</v>
      </c>
      <c r="H1140" s="85">
        <v>35.231999999999999</v>
      </c>
      <c r="I1140" s="87">
        <v>12010</v>
      </c>
      <c r="J1140" s="85">
        <v>38.997999999999998</v>
      </c>
      <c r="K1140" s="87">
        <v>12010</v>
      </c>
      <c r="L1140" s="85">
        <v>37.601999999999997</v>
      </c>
      <c r="M1140" s="87">
        <v>12010</v>
      </c>
      <c r="N1140" s="85">
        <v>38.311</v>
      </c>
      <c r="O1140" s="87">
        <v>11990</v>
      </c>
      <c r="P1140" s="85">
        <v>39.286999999999999</v>
      </c>
      <c r="Q1140" s="87">
        <v>12010</v>
      </c>
      <c r="R1140" s="85">
        <v>39.036000000000001</v>
      </c>
      <c r="S1140" s="87">
        <v>12010</v>
      </c>
      <c r="T1140" s="85">
        <v>39.548000000000002</v>
      </c>
      <c r="U1140" s="87">
        <v>12000</v>
      </c>
      <c r="V1140" s="85">
        <v>39.753999999999998</v>
      </c>
      <c r="W1140" s="87">
        <v>12010</v>
      </c>
      <c r="X1140" s="85">
        <v>38.924999999999997</v>
      </c>
      <c r="Y1140" s="87">
        <v>12010</v>
      </c>
      <c r="Z1140" s="85">
        <v>37.978000000000002</v>
      </c>
      <c r="AA1140" s="87">
        <v>12010</v>
      </c>
      <c r="AB1140" s="85">
        <v>38.593000000000004</v>
      </c>
      <c r="AC1140" s="87">
        <v>12000</v>
      </c>
      <c r="AD1140" s="85">
        <v>24.652999999999999</v>
      </c>
      <c r="AE1140" s="87">
        <v>12010</v>
      </c>
      <c r="AF1140" s="85">
        <v>25.879000000000001</v>
      </c>
      <c r="AG1140" s="87">
        <v>11990</v>
      </c>
      <c r="AH1140" s="85">
        <v>5.133</v>
      </c>
      <c r="AI1140" s="87">
        <v>11990</v>
      </c>
      <c r="AJ1140" s="85">
        <v>5.585</v>
      </c>
    </row>
    <row r="1141" spans="1:36" ht="14.25" customHeight="1">
      <c r="A1141" s="88">
        <v>12020</v>
      </c>
      <c r="B1141" s="85">
        <v>10.311</v>
      </c>
      <c r="C1141" s="88">
        <v>12030</v>
      </c>
      <c r="D1141" s="85">
        <v>10.010999999999999</v>
      </c>
      <c r="E1141" s="86">
        <v>12020</v>
      </c>
      <c r="F1141" s="85">
        <v>33.978000000000002</v>
      </c>
      <c r="G1141" s="87">
        <v>12020</v>
      </c>
      <c r="H1141" s="85">
        <v>34.122999999999998</v>
      </c>
      <c r="I1141" s="87">
        <v>12020</v>
      </c>
      <c r="J1141" s="85">
        <v>37.802999999999997</v>
      </c>
      <c r="K1141" s="87">
        <v>12020</v>
      </c>
      <c r="L1141" s="85">
        <v>36.405999999999999</v>
      </c>
      <c r="M1141" s="87">
        <v>12020</v>
      </c>
      <c r="N1141" s="85">
        <v>37.1</v>
      </c>
      <c r="O1141" s="87">
        <v>12000</v>
      </c>
      <c r="P1141" s="85">
        <v>38.076000000000001</v>
      </c>
      <c r="Q1141" s="87">
        <v>12020</v>
      </c>
      <c r="R1141" s="85">
        <v>37.825000000000003</v>
      </c>
      <c r="S1141" s="87">
        <v>12020</v>
      </c>
      <c r="T1141" s="85">
        <v>38.335999999999999</v>
      </c>
      <c r="U1141" s="87">
        <v>12010</v>
      </c>
      <c r="V1141" s="85">
        <v>38.542999999999999</v>
      </c>
      <c r="W1141" s="87">
        <v>12020</v>
      </c>
      <c r="X1141" s="85">
        <v>37.713999999999999</v>
      </c>
      <c r="Y1141" s="87">
        <v>12020</v>
      </c>
      <c r="Z1141" s="85">
        <v>36.789000000000001</v>
      </c>
      <c r="AA1141" s="87">
        <v>12020</v>
      </c>
      <c r="AB1141" s="85">
        <v>37.405999999999999</v>
      </c>
      <c r="AC1141" s="87">
        <v>12010</v>
      </c>
      <c r="AD1141" s="85">
        <v>23.847999999999999</v>
      </c>
      <c r="AE1141" s="87">
        <v>12020</v>
      </c>
      <c r="AF1141" s="85">
        <v>25.071999999999999</v>
      </c>
      <c r="AG1141" s="87">
        <v>12000</v>
      </c>
      <c r="AH1141" s="85">
        <v>4.968</v>
      </c>
      <c r="AI1141" s="87">
        <v>12000</v>
      </c>
      <c r="AJ1141" s="85">
        <v>5.4059999999999997</v>
      </c>
    </row>
    <row r="1142" spans="1:36" ht="14.25" customHeight="1">
      <c r="A1142" s="88">
        <v>12030</v>
      </c>
      <c r="B1142" s="85">
        <v>9.9600000000000009</v>
      </c>
      <c r="C1142" s="88">
        <v>12040</v>
      </c>
      <c r="D1142" s="85">
        <v>9.6630000000000003</v>
      </c>
      <c r="E1142" s="86">
        <v>12030</v>
      </c>
      <c r="F1142" s="85">
        <v>32.871000000000002</v>
      </c>
      <c r="G1142" s="87">
        <v>12030</v>
      </c>
      <c r="H1142" s="85">
        <v>33.015000000000001</v>
      </c>
      <c r="I1142" s="87">
        <v>12030</v>
      </c>
      <c r="J1142" s="85">
        <v>36.609000000000002</v>
      </c>
      <c r="K1142" s="87">
        <v>12030</v>
      </c>
      <c r="L1142" s="85">
        <v>35.210999999999999</v>
      </c>
      <c r="M1142" s="87">
        <v>12030</v>
      </c>
      <c r="N1142" s="85">
        <v>35.887999999999998</v>
      </c>
      <c r="O1142" s="87">
        <v>12010</v>
      </c>
      <c r="P1142" s="85">
        <v>36.865000000000002</v>
      </c>
      <c r="Q1142" s="87">
        <v>12030</v>
      </c>
      <c r="R1142" s="85">
        <v>36.613</v>
      </c>
      <c r="S1142" s="87">
        <v>12030</v>
      </c>
      <c r="T1142" s="85">
        <v>37.124000000000002</v>
      </c>
      <c r="U1142" s="87">
        <v>12020</v>
      </c>
      <c r="V1142" s="85">
        <v>37.332000000000001</v>
      </c>
      <c r="W1142" s="87">
        <v>12030</v>
      </c>
      <c r="X1142" s="85">
        <v>36.502000000000002</v>
      </c>
      <c r="Y1142" s="87">
        <v>12030</v>
      </c>
      <c r="Z1142" s="85">
        <v>35.6</v>
      </c>
      <c r="AA1142" s="87">
        <v>12030</v>
      </c>
      <c r="AB1142" s="85">
        <v>36.219000000000001</v>
      </c>
      <c r="AC1142" s="87">
        <v>12020</v>
      </c>
      <c r="AD1142" s="85">
        <v>23.044</v>
      </c>
      <c r="AE1142" s="87">
        <v>12030</v>
      </c>
      <c r="AF1142" s="85">
        <v>24.265999999999998</v>
      </c>
      <c r="AG1142" s="87">
        <v>12010</v>
      </c>
      <c r="AH1142" s="85">
        <v>4.8040000000000003</v>
      </c>
      <c r="AI1142" s="87">
        <v>12010</v>
      </c>
      <c r="AJ1142" s="85">
        <v>5.2270000000000003</v>
      </c>
    </row>
    <row r="1143" spans="1:36" ht="14.25" customHeight="1">
      <c r="A1143" s="88">
        <v>12040</v>
      </c>
      <c r="B1143" s="85">
        <v>9.609</v>
      </c>
      <c r="C1143" s="88">
        <v>12050</v>
      </c>
      <c r="D1143" s="85">
        <v>9.3170000000000002</v>
      </c>
      <c r="E1143" s="86">
        <v>12040</v>
      </c>
      <c r="F1143" s="85">
        <v>31.765999999999998</v>
      </c>
      <c r="G1143" s="87">
        <v>12040</v>
      </c>
      <c r="H1143" s="85">
        <v>31.908999999999999</v>
      </c>
      <c r="I1143" s="87">
        <v>12040</v>
      </c>
      <c r="J1143" s="85">
        <v>35.414999999999999</v>
      </c>
      <c r="K1143" s="87">
        <v>12040</v>
      </c>
      <c r="L1143" s="85">
        <v>34.015999999999998</v>
      </c>
      <c r="M1143" s="87">
        <v>12040</v>
      </c>
      <c r="N1143" s="85">
        <v>34.677</v>
      </c>
      <c r="O1143" s="87">
        <v>12020</v>
      </c>
      <c r="P1143" s="85">
        <v>35.652999999999999</v>
      </c>
      <c r="Q1143" s="87">
        <v>12040</v>
      </c>
      <c r="R1143" s="85">
        <v>35.402000000000001</v>
      </c>
      <c r="S1143" s="87">
        <v>12040</v>
      </c>
      <c r="T1143" s="85">
        <v>35.911999999999999</v>
      </c>
      <c r="U1143" s="87">
        <v>12030</v>
      </c>
      <c r="V1143" s="85">
        <v>36.122</v>
      </c>
      <c r="W1143" s="87">
        <v>12040</v>
      </c>
      <c r="X1143" s="85">
        <v>35.290999999999997</v>
      </c>
      <c r="Y1143" s="87">
        <v>12040</v>
      </c>
      <c r="Z1143" s="85">
        <v>34.411999999999999</v>
      </c>
      <c r="AA1143" s="87">
        <v>12040</v>
      </c>
      <c r="AB1143" s="85">
        <v>35.033000000000001</v>
      </c>
      <c r="AC1143" s="87">
        <v>12030</v>
      </c>
      <c r="AD1143" s="85">
        <v>22.242000000000001</v>
      </c>
      <c r="AE1143" s="87">
        <v>12040</v>
      </c>
      <c r="AF1143" s="85">
        <v>23.460999999999999</v>
      </c>
      <c r="AG1143" s="87">
        <v>12020</v>
      </c>
      <c r="AH1143" s="85">
        <v>4.6390000000000002</v>
      </c>
      <c r="AI1143" s="87">
        <v>12020</v>
      </c>
      <c r="AJ1143" s="85">
        <v>5.0490000000000004</v>
      </c>
    </row>
    <row r="1144" spans="1:36" ht="14.25" customHeight="1">
      <c r="A1144" s="88">
        <v>12050</v>
      </c>
      <c r="B1144" s="85">
        <v>9.26</v>
      </c>
      <c r="C1144" s="88">
        <v>12060</v>
      </c>
      <c r="D1144" s="85">
        <v>8.9710000000000001</v>
      </c>
      <c r="E1144" s="86">
        <v>12050</v>
      </c>
      <c r="F1144" s="85">
        <v>30.663</v>
      </c>
      <c r="G1144" s="87">
        <v>12050</v>
      </c>
      <c r="H1144" s="85">
        <v>30.805</v>
      </c>
      <c r="I1144" s="87">
        <v>12050</v>
      </c>
      <c r="J1144" s="85">
        <v>34.220999999999997</v>
      </c>
      <c r="K1144" s="87">
        <v>12050</v>
      </c>
      <c r="L1144" s="85">
        <v>32.822000000000003</v>
      </c>
      <c r="M1144" s="87">
        <v>12050</v>
      </c>
      <c r="N1144" s="85">
        <v>33.466000000000001</v>
      </c>
      <c r="O1144" s="87">
        <v>12030</v>
      </c>
      <c r="P1144" s="85">
        <v>34.441000000000003</v>
      </c>
      <c r="Q1144" s="87">
        <v>12050</v>
      </c>
      <c r="R1144" s="85">
        <v>34.191000000000003</v>
      </c>
      <c r="S1144" s="87">
        <v>12050</v>
      </c>
      <c r="T1144" s="85">
        <v>34.700000000000003</v>
      </c>
      <c r="U1144" s="87">
        <v>12040</v>
      </c>
      <c r="V1144" s="85">
        <v>34.911000000000001</v>
      </c>
      <c r="W1144" s="87">
        <v>12050</v>
      </c>
      <c r="X1144" s="85">
        <v>34.079000000000001</v>
      </c>
      <c r="Y1144" s="87">
        <v>12050</v>
      </c>
      <c r="Z1144" s="85">
        <v>33.223999999999997</v>
      </c>
      <c r="AA1144" s="87">
        <v>12050</v>
      </c>
      <c r="AB1144" s="85">
        <v>33.847999999999999</v>
      </c>
      <c r="AC1144" s="87">
        <v>12040</v>
      </c>
      <c r="AD1144" s="85">
        <v>21.440999999999999</v>
      </c>
      <c r="AE1144" s="87">
        <v>12050</v>
      </c>
      <c r="AF1144" s="85">
        <v>22.658000000000001</v>
      </c>
      <c r="AG1144" s="87">
        <v>12030</v>
      </c>
      <c r="AH1144" s="85">
        <v>4.4749999999999996</v>
      </c>
      <c r="AI1144" s="87">
        <v>12030</v>
      </c>
      <c r="AJ1144" s="85">
        <v>4.8710000000000004</v>
      </c>
    </row>
    <row r="1145" spans="1:36" ht="14.25" customHeight="1">
      <c r="A1145" s="88">
        <v>12060</v>
      </c>
      <c r="B1145" s="85">
        <v>8.9120000000000008</v>
      </c>
      <c r="C1145" s="88">
        <v>12070</v>
      </c>
      <c r="D1145" s="85">
        <v>8.6270000000000007</v>
      </c>
      <c r="E1145" s="86">
        <v>12060</v>
      </c>
      <c r="F1145" s="85">
        <v>29.561</v>
      </c>
      <c r="G1145" s="87">
        <v>12060</v>
      </c>
      <c r="H1145" s="85">
        <v>29.702000000000002</v>
      </c>
      <c r="I1145" s="87">
        <v>12060</v>
      </c>
      <c r="J1145" s="85">
        <v>33.027999999999999</v>
      </c>
      <c r="K1145" s="87">
        <v>12060</v>
      </c>
      <c r="L1145" s="85">
        <v>31.628</v>
      </c>
      <c r="M1145" s="87">
        <v>12060</v>
      </c>
      <c r="N1145" s="85">
        <v>32.253999999999998</v>
      </c>
      <c r="O1145" s="87">
        <v>12040</v>
      </c>
      <c r="P1145" s="85">
        <v>33.229999999999997</v>
      </c>
      <c r="Q1145" s="87">
        <v>12060</v>
      </c>
      <c r="R1145" s="85">
        <v>32.979999999999997</v>
      </c>
      <c r="S1145" s="87">
        <v>12060</v>
      </c>
      <c r="T1145" s="85">
        <v>33.488</v>
      </c>
      <c r="U1145" s="87">
        <v>12050</v>
      </c>
      <c r="V1145" s="85">
        <v>33.700000000000003</v>
      </c>
      <c r="W1145" s="87">
        <v>12060</v>
      </c>
      <c r="X1145" s="85">
        <v>32.868000000000002</v>
      </c>
      <c r="Y1145" s="87">
        <v>12060</v>
      </c>
      <c r="Z1145" s="85">
        <v>32.036999999999999</v>
      </c>
      <c r="AA1145" s="87">
        <v>12060</v>
      </c>
      <c r="AB1145" s="85">
        <v>32.662999999999997</v>
      </c>
      <c r="AC1145" s="87">
        <v>12050</v>
      </c>
      <c r="AD1145" s="85">
        <v>20.641999999999999</v>
      </c>
      <c r="AE1145" s="87">
        <v>12060</v>
      </c>
      <c r="AF1145" s="85">
        <v>21.856000000000002</v>
      </c>
      <c r="AG1145" s="87">
        <v>12040</v>
      </c>
      <c r="AH1145" s="85">
        <v>4.3120000000000003</v>
      </c>
      <c r="AI1145" s="87">
        <v>12040</v>
      </c>
      <c r="AJ1145" s="85">
        <v>4.6929999999999996</v>
      </c>
    </row>
    <row r="1146" spans="1:36" ht="14.25" customHeight="1">
      <c r="A1146" s="88">
        <v>12070</v>
      </c>
      <c r="B1146" s="85">
        <v>8.5649999999999995</v>
      </c>
      <c r="C1146" s="88">
        <v>12080</v>
      </c>
      <c r="D1146" s="85">
        <v>8.2840000000000007</v>
      </c>
      <c r="E1146" s="86">
        <v>12070</v>
      </c>
      <c r="F1146" s="85">
        <v>28.460999999999999</v>
      </c>
      <c r="G1146" s="87">
        <v>12070</v>
      </c>
      <c r="H1146" s="85">
        <v>28.600999999999999</v>
      </c>
      <c r="I1146" s="87">
        <v>12070</v>
      </c>
      <c r="J1146" s="85">
        <v>31.835000000000001</v>
      </c>
      <c r="K1146" s="87">
        <v>12070</v>
      </c>
      <c r="L1146" s="85">
        <v>30.434000000000001</v>
      </c>
      <c r="M1146" s="87">
        <v>12070</v>
      </c>
      <c r="N1146" s="85">
        <v>31.042999999999999</v>
      </c>
      <c r="O1146" s="87">
        <v>12050</v>
      </c>
      <c r="P1146" s="85">
        <v>32.018000000000001</v>
      </c>
      <c r="Q1146" s="87">
        <v>12070</v>
      </c>
      <c r="R1146" s="85">
        <v>31.768000000000001</v>
      </c>
      <c r="S1146" s="87">
        <v>12070</v>
      </c>
      <c r="T1146" s="85">
        <v>32.276000000000003</v>
      </c>
      <c r="U1146" s="87">
        <v>12060</v>
      </c>
      <c r="V1146" s="85">
        <v>32.488999999999997</v>
      </c>
      <c r="W1146" s="87">
        <v>12070</v>
      </c>
      <c r="X1146" s="85">
        <v>31.655999999999999</v>
      </c>
      <c r="Y1146" s="87">
        <v>12070</v>
      </c>
      <c r="Z1146" s="85">
        <v>30.85</v>
      </c>
      <c r="AA1146" s="87">
        <v>12070</v>
      </c>
      <c r="AB1146" s="85">
        <v>31.478999999999999</v>
      </c>
      <c r="AC1146" s="87">
        <v>12060</v>
      </c>
      <c r="AD1146" s="85">
        <v>19.844000000000001</v>
      </c>
      <c r="AE1146" s="87">
        <v>12070</v>
      </c>
      <c r="AF1146" s="85">
        <v>21.055</v>
      </c>
      <c r="AG1146" s="87">
        <v>12050</v>
      </c>
      <c r="AH1146" s="85">
        <v>4.1479999999999997</v>
      </c>
      <c r="AI1146" s="87">
        <v>12050</v>
      </c>
      <c r="AJ1146" s="85">
        <v>4.516</v>
      </c>
    </row>
    <row r="1147" spans="1:36" ht="14.25" customHeight="1">
      <c r="A1147" s="88">
        <v>12080</v>
      </c>
      <c r="B1147" s="85">
        <v>8.2200000000000006</v>
      </c>
      <c r="C1147" s="88">
        <v>12090</v>
      </c>
      <c r="D1147" s="85">
        <v>7.9420000000000002</v>
      </c>
      <c r="E1147" s="86">
        <v>12080</v>
      </c>
      <c r="F1147" s="85">
        <v>27.363</v>
      </c>
      <c r="G1147" s="87">
        <v>12080</v>
      </c>
      <c r="H1147" s="85">
        <v>27.501999999999999</v>
      </c>
      <c r="I1147" s="87">
        <v>12080</v>
      </c>
      <c r="J1147" s="85">
        <v>30.643000000000001</v>
      </c>
      <c r="K1147" s="87">
        <v>12080</v>
      </c>
      <c r="L1147" s="85">
        <v>29.241</v>
      </c>
      <c r="M1147" s="87">
        <v>12080</v>
      </c>
      <c r="N1147" s="85">
        <v>29.832000000000001</v>
      </c>
      <c r="O1147" s="87">
        <v>12060</v>
      </c>
      <c r="P1147" s="85">
        <v>30.806999999999999</v>
      </c>
      <c r="Q1147" s="87">
        <v>12080</v>
      </c>
      <c r="R1147" s="85">
        <v>30.556999999999999</v>
      </c>
      <c r="S1147" s="87">
        <v>12080</v>
      </c>
      <c r="T1147" s="85">
        <v>31.062999999999999</v>
      </c>
      <c r="U1147" s="87">
        <v>12070</v>
      </c>
      <c r="V1147" s="85">
        <v>31.277999999999999</v>
      </c>
      <c r="W1147" s="87">
        <v>12080</v>
      </c>
      <c r="X1147" s="85">
        <v>30.445</v>
      </c>
      <c r="Y1147" s="87">
        <v>12080</v>
      </c>
      <c r="Z1147" s="85">
        <v>29.664999999999999</v>
      </c>
      <c r="AA1147" s="87">
        <v>12080</v>
      </c>
      <c r="AB1147" s="85">
        <v>30.295999999999999</v>
      </c>
      <c r="AC1147" s="87">
        <v>12070</v>
      </c>
      <c r="AD1147" s="85">
        <v>19.047000000000001</v>
      </c>
      <c r="AE1147" s="87">
        <v>12080</v>
      </c>
      <c r="AF1147" s="85">
        <v>20.256</v>
      </c>
      <c r="AG1147" s="87">
        <v>12060</v>
      </c>
      <c r="AH1147" s="85">
        <v>3.9860000000000002</v>
      </c>
      <c r="AI1147" s="87">
        <v>12060</v>
      </c>
      <c r="AJ1147" s="85">
        <v>4.3390000000000004</v>
      </c>
    </row>
    <row r="1148" spans="1:36" ht="14.25" customHeight="1">
      <c r="A1148" s="88">
        <v>12090</v>
      </c>
      <c r="B1148" s="85">
        <v>7.8760000000000003</v>
      </c>
      <c r="C1148" s="88">
        <v>12100</v>
      </c>
      <c r="D1148" s="85">
        <v>7.6020000000000003</v>
      </c>
      <c r="E1148" s="86">
        <v>12090</v>
      </c>
      <c r="F1148" s="85">
        <v>26.265999999999998</v>
      </c>
      <c r="G1148" s="87">
        <v>12090</v>
      </c>
      <c r="H1148" s="85">
        <v>26.404</v>
      </c>
      <c r="I1148" s="87">
        <v>12090</v>
      </c>
      <c r="J1148" s="85">
        <v>29.451000000000001</v>
      </c>
      <c r="K1148" s="87">
        <v>12090</v>
      </c>
      <c r="L1148" s="85">
        <v>28.047999999999998</v>
      </c>
      <c r="M1148" s="87">
        <v>12090</v>
      </c>
      <c r="N1148" s="85">
        <v>28.62</v>
      </c>
      <c r="O1148" s="87">
        <v>12070</v>
      </c>
      <c r="P1148" s="85">
        <v>29.594999999999999</v>
      </c>
      <c r="Q1148" s="87">
        <v>12090</v>
      </c>
      <c r="R1148" s="85">
        <v>29.346</v>
      </c>
      <c r="S1148" s="87">
        <v>12090</v>
      </c>
      <c r="T1148" s="85">
        <v>29.850999999999999</v>
      </c>
      <c r="U1148" s="87">
        <v>12080</v>
      </c>
      <c r="V1148" s="85">
        <v>30.067</v>
      </c>
      <c r="W1148" s="87">
        <v>12090</v>
      </c>
      <c r="X1148" s="85">
        <v>29.233000000000001</v>
      </c>
      <c r="Y1148" s="87">
        <v>12090</v>
      </c>
      <c r="Z1148" s="85">
        <v>28.48</v>
      </c>
      <c r="AA1148" s="87">
        <v>12090</v>
      </c>
      <c r="AB1148" s="85">
        <v>29.113</v>
      </c>
      <c r="AC1148" s="87">
        <v>12080</v>
      </c>
      <c r="AD1148" s="85">
        <v>18.251999999999999</v>
      </c>
      <c r="AE1148" s="87">
        <v>12090</v>
      </c>
      <c r="AF1148" s="85">
        <v>19.457999999999998</v>
      </c>
      <c r="AG1148" s="87">
        <v>12070</v>
      </c>
      <c r="AH1148" s="85">
        <v>3.8239999999999998</v>
      </c>
      <c r="AI1148" s="87">
        <v>12070</v>
      </c>
      <c r="AJ1148" s="85">
        <v>4.1630000000000003</v>
      </c>
    </row>
    <row r="1149" spans="1:36" ht="14.25" customHeight="1">
      <c r="A1149" s="88">
        <v>12100</v>
      </c>
      <c r="B1149" s="85">
        <v>7.5330000000000004</v>
      </c>
      <c r="C1149" s="88">
        <v>12110</v>
      </c>
      <c r="D1149" s="85">
        <v>7.2629999999999999</v>
      </c>
      <c r="E1149" s="86">
        <v>12100</v>
      </c>
      <c r="F1149" s="85">
        <v>25.170999999999999</v>
      </c>
      <c r="G1149" s="87">
        <v>12100</v>
      </c>
      <c r="H1149" s="85">
        <v>25.308</v>
      </c>
      <c r="I1149" s="87">
        <v>12100</v>
      </c>
      <c r="J1149" s="85">
        <v>28.259</v>
      </c>
      <c r="K1149" s="87">
        <v>12100</v>
      </c>
      <c r="L1149" s="85">
        <v>26.856000000000002</v>
      </c>
      <c r="M1149" s="87">
        <v>12100</v>
      </c>
      <c r="N1149" s="85">
        <v>27.408999999999999</v>
      </c>
      <c r="O1149" s="87">
        <v>12080</v>
      </c>
      <c r="P1149" s="85">
        <v>28.382999999999999</v>
      </c>
      <c r="Q1149" s="87">
        <v>12100</v>
      </c>
      <c r="R1149" s="85">
        <v>28.135000000000002</v>
      </c>
      <c r="S1149" s="87">
        <v>12100</v>
      </c>
      <c r="T1149" s="85">
        <v>28.638999999999999</v>
      </c>
      <c r="U1149" s="87">
        <v>12090</v>
      </c>
      <c r="V1149" s="85">
        <v>28.856000000000002</v>
      </c>
      <c r="W1149" s="87">
        <v>12100</v>
      </c>
      <c r="X1149" s="85">
        <v>28.021999999999998</v>
      </c>
      <c r="Y1149" s="87">
        <v>12100</v>
      </c>
      <c r="Z1149" s="85">
        <v>27.295999999999999</v>
      </c>
      <c r="AA1149" s="87">
        <v>12100</v>
      </c>
      <c r="AB1149" s="85">
        <v>27.931000000000001</v>
      </c>
      <c r="AC1149" s="87">
        <v>12090</v>
      </c>
      <c r="AD1149" s="85">
        <v>17.457999999999998</v>
      </c>
      <c r="AE1149" s="87">
        <v>12100</v>
      </c>
      <c r="AF1149" s="85">
        <v>18.661999999999999</v>
      </c>
      <c r="AG1149" s="87">
        <v>12080</v>
      </c>
      <c r="AH1149" s="85">
        <v>3.6619999999999999</v>
      </c>
      <c r="AI1149" s="87">
        <v>12080</v>
      </c>
      <c r="AJ1149" s="85">
        <v>3.9870000000000001</v>
      </c>
    </row>
    <row r="1150" spans="1:36" ht="14.25" customHeight="1">
      <c r="A1150" s="88">
        <v>12110</v>
      </c>
      <c r="B1150" s="85">
        <v>7.1909999999999998</v>
      </c>
      <c r="C1150" s="88">
        <v>12120</v>
      </c>
      <c r="D1150" s="85">
        <v>6.9249999999999998</v>
      </c>
      <c r="E1150" s="86">
        <v>12110</v>
      </c>
      <c r="F1150" s="85">
        <v>24.077999999999999</v>
      </c>
      <c r="G1150" s="87">
        <v>12110</v>
      </c>
      <c r="H1150" s="85">
        <v>24.213999999999999</v>
      </c>
      <c r="I1150" s="87">
        <v>12110</v>
      </c>
      <c r="J1150" s="85">
        <v>27.068000000000001</v>
      </c>
      <c r="K1150" s="87">
        <v>12110</v>
      </c>
      <c r="L1150" s="85">
        <v>25.664000000000001</v>
      </c>
      <c r="M1150" s="87">
        <v>12110</v>
      </c>
      <c r="N1150" s="85">
        <v>26.198</v>
      </c>
      <c r="O1150" s="87">
        <v>12090</v>
      </c>
      <c r="P1150" s="85">
        <v>27.172000000000001</v>
      </c>
      <c r="Q1150" s="87">
        <v>12110</v>
      </c>
      <c r="R1150" s="85">
        <v>26.922999999999998</v>
      </c>
      <c r="S1150" s="87">
        <v>12110</v>
      </c>
      <c r="T1150" s="85">
        <v>27.427</v>
      </c>
      <c r="U1150" s="87">
        <v>12100</v>
      </c>
      <c r="V1150" s="85">
        <v>27.645</v>
      </c>
      <c r="W1150" s="87">
        <v>12110</v>
      </c>
      <c r="X1150" s="85">
        <v>26.81</v>
      </c>
      <c r="Y1150" s="87">
        <v>12110</v>
      </c>
      <c r="Z1150" s="85">
        <v>26.111999999999998</v>
      </c>
      <c r="AA1150" s="87">
        <v>12110</v>
      </c>
      <c r="AB1150" s="85">
        <v>26.75</v>
      </c>
      <c r="AC1150" s="87">
        <v>12100</v>
      </c>
      <c r="AD1150" s="85">
        <v>16.664999999999999</v>
      </c>
      <c r="AE1150" s="87">
        <v>12110</v>
      </c>
      <c r="AF1150" s="85">
        <v>17.867000000000001</v>
      </c>
      <c r="AG1150" s="87">
        <v>12090</v>
      </c>
      <c r="AH1150" s="85">
        <v>3.5009999999999999</v>
      </c>
      <c r="AI1150" s="87">
        <v>12090</v>
      </c>
      <c r="AJ1150" s="85">
        <v>3.8119999999999998</v>
      </c>
    </row>
    <row r="1151" spans="1:36" ht="14.25" customHeight="1">
      <c r="A1151" s="88">
        <v>12120</v>
      </c>
      <c r="B1151" s="85">
        <v>6.851</v>
      </c>
      <c r="C1151" s="88">
        <v>12130</v>
      </c>
      <c r="D1151" s="85">
        <v>6.5890000000000004</v>
      </c>
      <c r="E1151" s="86">
        <v>12120</v>
      </c>
      <c r="F1151" s="85">
        <v>22.986000000000001</v>
      </c>
      <c r="G1151" s="87">
        <v>12120</v>
      </c>
      <c r="H1151" s="85">
        <v>23.120999999999999</v>
      </c>
      <c r="I1151" s="87">
        <v>12120</v>
      </c>
      <c r="J1151" s="85">
        <v>25.876999999999999</v>
      </c>
      <c r="K1151" s="87">
        <v>12120</v>
      </c>
      <c r="L1151" s="85">
        <v>24.472999999999999</v>
      </c>
      <c r="M1151" s="87">
        <v>12120</v>
      </c>
      <c r="N1151" s="85">
        <v>24.986000000000001</v>
      </c>
      <c r="O1151" s="87">
        <v>12100</v>
      </c>
      <c r="P1151" s="85">
        <v>25.96</v>
      </c>
      <c r="Q1151" s="87">
        <v>12120</v>
      </c>
      <c r="R1151" s="85">
        <v>25.712</v>
      </c>
      <c r="S1151" s="87">
        <v>12120</v>
      </c>
      <c r="T1151" s="85">
        <v>26.215</v>
      </c>
      <c r="U1151" s="87">
        <v>12110</v>
      </c>
      <c r="V1151" s="85">
        <v>26.434000000000001</v>
      </c>
      <c r="W1151" s="87">
        <v>12120</v>
      </c>
      <c r="X1151" s="85">
        <v>25.597999999999999</v>
      </c>
      <c r="Y1151" s="87">
        <v>12120</v>
      </c>
      <c r="Z1151" s="85">
        <v>24.928999999999998</v>
      </c>
      <c r="AA1151" s="87">
        <v>12120</v>
      </c>
      <c r="AB1151" s="85">
        <v>25.57</v>
      </c>
      <c r="AC1151" s="87">
        <v>12110</v>
      </c>
      <c r="AD1151" s="85">
        <v>15.874000000000001</v>
      </c>
      <c r="AE1151" s="87">
        <v>12120</v>
      </c>
      <c r="AF1151" s="85">
        <v>17.073</v>
      </c>
      <c r="AG1151" s="87">
        <v>12100</v>
      </c>
      <c r="AH1151" s="85">
        <v>3.34</v>
      </c>
      <c r="AI1151" s="87">
        <v>12100</v>
      </c>
      <c r="AJ1151" s="85">
        <v>3.637</v>
      </c>
    </row>
    <row r="1152" spans="1:36" ht="14.25" customHeight="1">
      <c r="A1152" s="88">
        <v>12130</v>
      </c>
      <c r="B1152" s="85">
        <v>6.5119999999999996</v>
      </c>
      <c r="C1152" s="88">
        <v>12140</v>
      </c>
      <c r="D1152" s="85">
        <v>6.2539999999999996</v>
      </c>
      <c r="E1152" s="86">
        <v>12130</v>
      </c>
      <c r="F1152" s="85">
        <v>21.896000000000001</v>
      </c>
      <c r="G1152" s="87">
        <v>12130</v>
      </c>
      <c r="H1152" s="85">
        <v>22.03</v>
      </c>
      <c r="I1152" s="87">
        <v>12130</v>
      </c>
      <c r="J1152" s="85">
        <v>24.687000000000001</v>
      </c>
      <c r="K1152" s="87">
        <v>12130</v>
      </c>
      <c r="L1152" s="85">
        <v>23.282</v>
      </c>
      <c r="M1152" s="87">
        <v>12130</v>
      </c>
      <c r="N1152" s="85">
        <v>23.774999999999999</v>
      </c>
      <c r="O1152" s="87">
        <v>12110</v>
      </c>
      <c r="P1152" s="85">
        <v>24.748999999999999</v>
      </c>
      <c r="Q1152" s="87">
        <v>12130</v>
      </c>
      <c r="R1152" s="85">
        <v>24.501000000000001</v>
      </c>
      <c r="S1152" s="87">
        <v>12130</v>
      </c>
      <c r="T1152" s="85">
        <v>25.003</v>
      </c>
      <c r="U1152" s="87">
        <v>12120</v>
      </c>
      <c r="V1152" s="85">
        <v>25.222999999999999</v>
      </c>
      <c r="W1152" s="87">
        <v>12130</v>
      </c>
      <c r="X1152" s="85">
        <v>24.387</v>
      </c>
      <c r="Y1152" s="87">
        <v>12130</v>
      </c>
      <c r="Z1152" s="85">
        <v>23.747</v>
      </c>
      <c r="AA1152" s="87">
        <v>12130</v>
      </c>
      <c r="AB1152" s="85">
        <v>24.39</v>
      </c>
      <c r="AC1152" s="87">
        <v>12120</v>
      </c>
      <c r="AD1152" s="85">
        <v>15.084</v>
      </c>
      <c r="AE1152" s="87">
        <v>12130</v>
      </c>
      <c r="AF1152" s="85">
        <v>16.280999999999999</v>
      </c>
      <c r="AG1152" s="87">
        <v>12110</v>
      </c>
      <c r="AH1152" s="85">
        <v>3.1789999999999998</v>
      </c>
      <c r="AI1152" s="87">
        <v>12110</v>
      </c>
      <c r="AJ1152" s="85">
        <v>3.4620000000000002</v>
      </c>
    </row>
    <row r="1153" spans="1:36" ht="14.25" customHeight="1">
      <c r="A1153" s="88">
        <v>12140</v>
      </c>
      <c r="B1153" s="85">
        <v>6.1749999999999998</v>
      </c>
      <c r="C1153" s="88">
        <v>12150</v>
      </c>
      <c r="D1153" s="85">
        <v>5.92</v>
      </c>
      <c r="E1153" s="86">
        <v>12140</v>
      </c>
      <c r="F1153" s="85">
        <v>20.808</v>
      </c>
      <c r="G1153" s="87">
        <v>12140</v>
      </c>
      <c r="H1153" s="85">
        <v>20.940999999999999</v>
      </c>
      <c r="I1153" s="87">
        <v>12140</v>
      </c>
      <c r="J1153" s="85">
        <v>23.497</v>
      </c>
      <c r="K1153" s="87">
        <v>12140</v>
      </c>
      <c r="L1153" s="85">
        <v>22.091000000000001</v>
      </c>
      <c r="M1153" s="87">
        <v>12140</v>
      </c>
      <c r="N1153" s="85">
        <v>22.564</v>
      </c>
      <c r="O1153" s="87">
        <v>12120</v>
      </c>
      <c r="P1153" s="85">
        <v>23.536999999999999</v>
      </c>
      <c r="Q1153" s="87">
        <v>12140</v>
      </c>
      <c r="R1153" s="85">
        <v>23.289000000000001</v>
      </c>
      <c r="S1153" s="87">
        <v>12140</v>
      </c>
      <c r="T1153" s="85">
        <v>23.791</v>
      </c>
      <c r="U1153" s="87">
        <v>12130</v>
      </c>
      <c r="V1153" s="85">
        <v>24.012</v>
      </c>
      <c r="W1153" s="87">
        <v>12140</v>
      </c>
      <c r="X1153" s="85">
        <v>23.175000000000001</v>
      </c>
      <c r="Y1153" s="87">
        <v>12140</v>
      </c>
      <c r="Z1153" s="85">
        <v>22.565999999999999</v>
      </c>
      <c r="AA1153" s="87">
        <v>12140</v>
      </c>
      <c r="AB1153" s="85">
        <v>23.210999999999999</v>
      </c>
      <c r="AC1153" s="87">
        <v>12130</v>
      </c>
      <c r="AD1153" s="85">
        <v>14.295999999999999</v>
      </c>
      <c r="AE1153" s="87">
        <v>12140</v>
      </c>
      <c r="AF1153" s="85">
        <v>15.49</v>
      </c>
      <c r="AG1153" s="87">
        <v>12120</v>
      </c>
      <c r="AH1153" s="85">
        <v>3.0190000000000001</v>
      </c>
      <c r="AI1153" s="87">
        <v>12120</v>
      </c>
      <c r="AJ1153" s="85">
        <v>3.2879999999999998</v>
      </c>
    </row>
    <row r="1154" spans="1:36" ht="14.25" customHeight="1">
      <c r="A1154" s="88">
        <v>12150</v>
      </c>
      <c r="B1154" s="85">
        <v>5.8380000000000001</v>
      </c>
      <c r="C1154" s="88">
        <v>12160</v>
      </c>
      <c r="D1154" s="85">
        <v>5.5869999999999997</v>
      </c>
      <c r="E1154" s="86">
        <v>12150</v>
      </c>
      <c r="F1154" s="85">
        <v>19.722000000000001</v>
      </c>
      <c r="G1154" s="87">
        <v>12150</v>
      </c>
      <c r="H1154" s="85">
        <v>19.853000000000002</v>
      </c>
      <c r="I1154" s="87">
        <v>12150</v>
      </c>
      <c r="J1154" s="85">
        <v>22.308</v>
      </c>
      <c r="K1154" s="87">
        <v>12150</v>
      </c>
      <c r="L1154" s="85">
        <v>20.901</v>
      </c>
      <c r="M1154" s="87">
        <v>12150</v>
      </c>
      <c r="N1154" s="85">
        <v>21.352</v>
      </c>
      <c r="O1154" s="87">
        <v>12130</v>
      </c>
      <c r="P1154" s="85">
        <v>22.326000000000001</v>
      </c>
      <c r="Q1154" s="87">
        <v>12150</v>
      </c>
      <c r="R1154" s="85">
        <v>22.077999999999999</v>
      </c>
      <c r="S1154" s="87">
        <v>12150</v>
      </c>
      <c r="T1154" s="85">
        <v>22.579000000000001</v>
      </c>
      <c r="U1154" s="87">
        <v>12140</v>
      </c>
      <c r="V1154" s="85">
        <v>22.800999999999998</v>
      </c>
      <c r="W1154" s="87">
        <v>12150</v>
      </c>
      <c r="X1154" s="85">
        <v>21.963999999999999</v>
      </c>
      <c r="Y1154" s="87">
        <v>12150</v>
      </c>
      <c r="Z1154" s="85">
        <v>21.385000000000002</v>
      </c>
      <c r="AA1154" s="87">
        <v>12150</v>
      </c>
      <c r="AB1154" s="85">
        <v>22.033000000000001</v>
      </c>
      <c r="AC1154" s="87">
        <v>12140</v>
      </c>
      <c r="AD1154" s="85">
        <v>13.509</v>
      </c>
      <c r="AE1154" s="87">
        <v>12150</v>
      </c>
      <c r="AF1154" s="85">
        <v>14.7</v>
      </c>
      <c r="AG1154" s="87">
        <v>12130</v>
      </c>
      <c r="AH1154" s="85">
        <v>2.86</v>
      </c>
      <c r="AI1154" s="87">
        <v>12130</v>
      </c>
      <c r="AJ1154" s="85">
        <v>3.1150000000000002</v>
      </c>
    </row>
    <row r="1155" spans="1:36" ht="14.25" customHeight="1">
      <c r="A1155" s="88">
        <v>12160</v>
      </c>
      <c r="B1155" s="85">
        <v>5.5030000000000001</v>
      </c>
      <c r="C1155" s="88">
        <v>12170</v>
      </c>
      <c r="D1155" s="85">
        <v>5.2549999999999999</v>
      </c>
      <c r="E1155" s="86">
        <v>12160</v>
      </c>
      <c r="F1155" s="85">
        <v>18.637</v>
      </c>
      <c r="G1155" s="87">
        <v>12160</v>
      </c>
      <c r="H1155" s="85">
        <v>18.766999999999999</v>
      </c>
      <c r="I1155" s="87">
        <v>12160</v>
      </c>
      <c r="J1155" s="85">
        <v>21.119</v>
      </c>
      <c r="K1155" s="87">
        <v>12160</v>
      </c>
      <c r="L1155" s="85">
        <v>19.712</v>
      </c>
      <c r="M1155" s="87">
        <v>12160</v>
      </c>
      <c r="N1155" s="85">
        <v>20.140999999999998</v>
      </c>
      <c r="O1155" s="87">
        <v>12140</v>
      </c>
      <c r="P1155" s="85">
        <v>21.114000000000001</v>
      </c>
      <c r="Q1155" s="87">
        <v>12160</v>
      </c>
      <c r="R1155" s="85">
        <v>20.867000000000001</v>
      </c>
      <c r="S1155" s="87">
        <v>12160</v>
      </c>
      <c r="T1155" s="85">
        <v>21.367000000000001</v>
      </c>
      <c r="U1155" s="87">
        <v>12150</v>
      </c>
      <c r="V1155" s="85">
        <v>21.59</v>
      </c>
      <c r="W1155" s="87">
        <v>12160</v>
      </c>
      <c r="X1155" s="85">
        <v>20.751999999999999</v>
      </c>
      <c r="Y1155" s="87">
        <v>12160</v>
      </c>
      <c r="Z1155" s="85">
        <v>20.204999999999998</v>
      </c>
      <c r="AA1155" s="87">
        <v>12160</v>
      </c>
      <c r="AB1155" s="85">
        <v>20.856000000000002</v>
      </c>
      <c r="AC1155" s="87">
        <v>12150</v>
      </c>
      <c r="AD1155" s="85">
        <v>12.723000000000001</v>
      </c>
      <c r="AE1155" s="87">
        <v>12160</v>
      </c>
      <c r="AF1155" s="85">
        <v>13.912000000000001</v>
      </c>
      <c r="AG1155" s="87">
        <v>12140</v>
      </c>
      <c r="AH1155" s="85">
        <v>2.7010000000000001</v>
      </c>
      <c r="AI1155" s="87">
        <v>12140</v>
      </c>
      <c r="AJ1155" s="85">
        <v>2.9420000000000002</v>
      </c>
    </row>
    <row r="1156" spans="1:36" ht="14.25" customHeight="1">
      <c r="A1156" s="88">
        <v>12170</v>
      </c>
      <c r="B1156" s="85">
        <v>5.1689999999999996</v>
      </c>
      <c r="C1156" s="88">
        <v>12180</v>
      </c>
      <c r="D1156" s="85">
        <v>4.9249999999999998</v>
      </c>
      <c r="E1156" s="86">
        <v>12170</v>
      </c>
      <c r="F1156" s="85">
        <v>17.553999999999998</v>
      </c>
      <c r="G1156" s="87">
        <v>12170</v>
      </c>
      <c r="H1156" s="85">
        <v>17.683</v>
      </c>
      <c r="I1156" s="87">
        <v>12170</v>
      </c>
      <c r="J1156" s="85">
        <v>19.931000000000001</v>
      </c>
      <c r="K1156" s="87">
        <v>12170</v>
      </c>
      <c r="L1156" s="85">
        <v>18.523</v>
      </c>
      <c r="M1156" s="87">
        <v>12170</v>
      </c>
      <c r="N1156" s="85">
        <v>18.93</v>
      </c>
      <c r="O1156" s="87">
        <v>12150</v>
      </c>
      <c r="P1156" s="85">
        <v>19.902999999999999</v>
      </c>
      <c r="Q1156" s="87">
        <v>12170</v>
      </c>
      <c r="R1156" s="85">
        <v>19.655999999999999</v>
      </c>
      <c r="S1156" s="87">
        <v>12170</v>
      </c>
      <c r="T1156" s="85">
        <v>20.154</v>
      </c>
      <c r="U1156" s="87">
        <v>12160</v>
      </c>
      <c r="V1156" s="85">
        <v>20.379000000000001</v>
      </c>
      <c r="W1156" s="87">
        <v>12170</v>
      </c>
      <c r="X1156" s="85">
        <v>19.541</v>
      </c>
      <c r="Y1156" s="87">
        <v>12170</v>
      </c>
      <c r="Z1156" s="85">
        <v>19.026</v>
      </c>
      <c r="AA1156" s="87">
        <v>12170</v>
      </c>
      <c r="AB1156" s="85">
        <v>19.678999999999998</v>
      </c>
      <c r="AC1156" s="87">
        <v>12160</v>
      </c>
      <c r="AD1156" s="85">
        <v>11.939</v>
      </c>
      <c r="AE1156" s="87">
        <v>12170</v>
      </c>
      <c r="AF1156" s="85">
        <v>13.125999999999999</v>
      </c>
      <c r="AG1156" s="87">
        <v>12150</v>
      </c>
      <c r="AH1156" s="85">
        <v>2.5419999999999998</v>
      </c>
      <c r="AI1156" s="87">
        <v>12150</v>
      </c>
      <c r="AJ1156" s="85">
        <v>2.7690000000000001</v>
      </c>
    </row>
    <row r="1157" spans="1:36" ht="14.25" customHeight="1">
      <c r="A1157" s="88">
        <v>12180</v>
      </c>
      <c r="B1157" s="85">
        <v>4.8369999999999997</v>
      </c>
      <c r="C1157" s="88">
        <v>12190</v>
      </c>
      <c r="D1157" s="85">
        <v>4.5970000000000004</v>
      </c>
      <c r="E1157" s="86">
        <v>12180</v>
      </c>
      <c r="F1157" s="85">
        <v>16.472000000000001</v>
      </c>
      <c r="G1157" s="87">
        <v>12180</v>
      </c>
      <c r="H1157" s="85">
        <v>16.600000000000001</v>
      </c>
      <c r="I1157" s="87">
        <v>12180</v>
      </c>
      <c r="J1157" s="85">
        <v>18.742999999999999</v>
      </c>
      <c r="K1157" s="87">
        <v>12180</v>
      </c>
      <c r="L1157" s="85">
        <v>17.334</v>
      </c>
      <c r="M1157" s="87">
        <v>12180</v>
      </c>
      <c r="N1157" s="85">
        <v>17.718</v>
      </c>
      <c r="O1157" s="87">
        <v>12160</v>
      </c>
      <c r="P1157" s="85">
        <v>18.690999999999999</v>
      </c>
      <c r="Q1157" s="87">
        <v>12180</v>
      </c>
      <c r="R1157" s="85">
        <v>18.443999999999999</v>
      </c>
      <c r="S1157" s="87">
        <v>12180</v>
      </c>
      <c r="T1157" s="85">
        <v>18.942</v>
      </c>
      <c r="U1157" s="87">
        <v>12170</v>
      </c>
      <c r="V1157" s="85">
        <v>19.167999999999999</v>
      </c>
      <c r="W1157" s="87">
        <v>12180</v>
      </c>
      <c r="X1157" s="85">
        <v>18.329000000000001</v>
      </c>
      <c r="Y1157" s="87">
        <v>12180</v>
      </c>
      <c r="Z1157" s="85">
        <v>17.847000000000001</v>
      </c>
      <c r="AA1157" s="87">
        <v>12180</v>
      </c>
      <c r="AB1157" s="85">
        <v>18.503</v>
      </c>
      <c r="AC1157" s="87">
        <v>12170</v>
      </c>
      <c r="AD1157" s="85">
        <v>11.156000000000001</v>
      </c>
      <c r="AE1157" s="87">
        <v>12180</v>
      </c>
      <c r="AF1157" s="85">
        <v>12.34</v>
      </c>
      <c r="AG1157" s="87">
        <v>12160</v>
      </c>
      <c r="AH1157" s="85">
        <v>2.3839999999999999</v>
      </c>
      <c r="AI1157" s="87">
        <v>12160</v>
      </c>
      <c r="AJ1157" s="85">
        <v>2.597</v>
      </c>
    </row>
    <row r="1158" spans="1:36" ht="14.25" customHeight="1">
      <c r="A1158" s="88">
        <v>12190</v>
      </c>
      <c r="B1158" s="85">
        <v>4.5049999999999999</v>
      </c>
      <c r="C1158" s="88">
        <v>12200</v>
      </c>
      <c r="D1158" s="85">
        <v>4.2690000000000001</v>
      </c>
      <c r="E1158" s="86">
        <v>12190</v>
      </c>
      <c r="F1158" s="85">
        <v>15.391999999999999</v>
      </c>
      <c r="G1158" s="87">
        <v>12190</v>
      </c>
      <c r="H1158" s="85">
        <v>15.519</v>
      </c>
      <c r="I1158" s="87">
        <v>12190</v>
      </c>
      <c r="J1158" s="85">
        <v>17.555</v>
      </c>
      <c r="K1158" s="87">
        <v>12190</v>
      </c>
      <c r="L1158" s="85">
        <v>16.146000000000001</v>
      </c>
      <c r="M1158" s="87">
        <v>12190</v>
      </c>
      <c r="N1158" s="85">
        <v>16.507000000000001</v>
      </c>
      <c r="O1158" s="87">
        <v>12170</v>
      </c>
      <c r="P1158" s="85">
        <v>17.478999999999999</v>
      </c>
      <c r="Q1158" s="87">
        <v>12190</v>
      </c>
      <c r="R1158" s="85">
        <v>17.233000000000001</v>
      </c>
      <c r="S1158" s="87">
        <v>12190</v>
      </c>
      <c r="T1158" s="85">
        <v>17.73</v>
      </c>
      <c r="U1158" s="87">
        <v>12180</v>
      </c>
      <c r="V1158" s="85">
        <v>17.957000000000001</v>
      </c>
      <c r="W1158" s="87">
        <v>12190</v>
      </c>
      <c r="X1158" s="85">
        <v>17.117000000000001</v>
      </c>
      <c r="Y1158" s="87">
        <v>12190</v>
      </c>
      <c r="Z1158" s="85">
        <v>16.670000000000002</v>
      </c>
      <c r="AA1158" s="87">
        <v>12190</v>
      </c>
      <c r="AB1158" s="85">
        <v>17.327999999999999</v>
      </c>
      <c r="AC1158" s="87">
        <v>12180</v>
      </c>
      <c r="AD1158" s="85">
        <v>10.375</v>
      </c>
      <c r="AE1158" s="87">
        <v>12190</v>
      </c>
      <c r="AF1158" s="85">
        <v>11.555999999999999</v>
      </c>
      <c r="AG1158" s="87">
        <v>12170</v>
      </c>
      <c r="AH1158" s="85">
        <v>2.226</v>
      </c>
      <c r="AI1158" s="87">
        <v>12170</v>
      </c>
      <c r="AJ1158" s="85">
        <v>2.4249999999999998</v>
      </c>
    </row>
    <row r="1159" spans="1:36" ht="14.25" customHeight="1">
      <c r="A1159" s="88">
        <v>12200</v>
      </c>
      <c r="B1159" s="85">
        <v>4.1749999999999998</v>
      </c>
      <c r="C1159" s="88">
        <v>12210</v>
      </c>
      <c r="D1159" s="85">
        <v>3.9430000000000001</v>
      </c>
      <c r="E1159" s="86">
        <v>12200</v>
      </c>
      <c r="F1159" s="85">
        <v>14.314</v>
      </c>
      <c r="G1159" s="87">
        <v>12200</v>
      </c>
      <c r="H1159" s="85">
        <v>14.44</v>
      </c>
      <c r="I1159" s="87">
        <v>12200</v>
      </c>
      <c r="J1159" s="85">
        <v>16.367999999999999</v>
      </c>
      <c r="K1159" s="87">
        <v>12200</v>
      </c>
      <c r="L1159" s="85">
        <v>14.958</v>
      </c>
      <c r="M1159" s="87">
        <v>12200</v>
      </c>
      <c r="N1159" s="85">
        <v>15.295999999999999</v>
      </c>
      <c r="O1159" s="87">
        <v>12180</v>
      </c>
      <c r="P1159" s="85">
        <v>16.268000000000001</v>
      </c>
      <c r="Q1159" s="87">
        <v>12200</v>
      </c>
      <c r="R1159" s="85">
        <v>16.021999999999998</v>
      </c>
      <c r="S1159" s="87">
        <v>12200</v>
      </c>
      <c r="T1159" s="85">
        <v>16.518000000000001</v>
      </c>
      <c r="U1159" s="87">
        <v>12190</v>
      </c>
      <c r="V1159" s="85">
        <v>16.745999999999999</v>
      </c>
      <c r="W1159" s="87">
        <v>12200</v>
      </c>
      <c r="X1159" s="85">
        <v>15.906000000000001</v>
      </c>
      <c r="Y1159" s="87">
        <v>12200</v>
      </c>
      <c r="Z1159" s="85">
        <v>15.493</v>
      </c>
      <c r="AA1159" s="87">
        <v>12200</v>
      </c>
      <c r="AB1159" s="85">
        <v>16.154</v>
      </c>
      <c r="AC1159" s="87">
        <v>12190</v>
      </c>
      <c r="AD1159" s="85">
        <v>9.5950000000000006</v>
      </c>
      <c r="AE1159" s="87">
        <v>12200</v>
      </c>
      <c r="AF1159" s="85">
        <v>10.773</v>
      </c>
      <c r="AG1159" s="87">
        <v>12180</v>
      </c>
      <c r="AH1159" s="85">
        <v>2.069</v>
      </c>
      <c r="AI1159" s="87">
        <v>12180</v>
      </c>
      <c r="AJ1159" s="85">
        <v>2.2530000000000001</v>
      </c>
    </row>
    <row r="1160" spans="1:36" ht="14.25" customHeight="1">
      <c r="A1160" s="88">
        <v>12210</v>
      </c>
      <c r="B1160" s="85">
        <v>3.847</v>
      </c>
      <c r="C1160" s="88">
        <v>12220</v>
      </c>
      <c r="D1160" s="85">
        <v>3.6179999999999999</v>
      </c>
      <c r="E1160" s="86">
        <v>12210</v>
      </c>
      <c r="F1160" s="85">
        <v>13.238</v>
      </c>
      <c r="G1160" s="87">
        <v>12210</v>
      </c>
      <c r="H1160" s="85">
        <v>13.362</v>
      </c>
      <c r="I1160" s="87">
        <v>12210</v>
      </c>
      <c r="J1160" s="85">
        <v>15.180999999999999</v>
      </c>
      <c r="K1160" s="87">
        <v>12210</v>
      </c>
      <c r="L1160" s="85">
        <v>13.771000000000001</v>
      </c>
      <c r="M1160" s="87">
        <v>12210</v>
      </c>
      <c r="N1160" s="85">
        <v>14.084</v>
      </c>
      <c r="O1160" s="87">
        <v>12190</v>
      </c>
      <c r="P1160" s="85">
        <v>15.055999999999999</v>
      </c>
      <c r="Q1160" s="87">
        <v>12210</v>
      </c>
      <c r="R1160" s="85">
        <v>14.811</v>
      </c>
      <c r="S1160" s="87">
        <v>12210</v>
      </c>
      <c r="T1160" s="85">
        <v>15.305999999999999</v>
      </c>
      <c r="U1160" s="87">
        <v>12200</v>
      </c>
      <c r="V1160" s="85">
        <v>15.535</v>
      </c>
      <c r="W1160" s="87">
        <v>12210</v>
      </c>
      <c r="X1160" s="85">
        <v>14.694000000000001</v>
      </c>
      <c r="Y1160" s="87">
        <v>12210</v>
      </c>
      <c r="Z1160" s="85">
        <v>14.317</v>
      </c>
      <c r="AA1160" s="87">
        <v>12210</v>
      </c>
      <c r="AB1160" s="85">
        <v>14.98</v>
      </c>
      <c r="AC1160" s="87">
        <v>12200</v>
      </c>
      <c r="AD1160" s="85">
        <v>8.8160000000000007</v>
      </c>
      <c r="AE1160" s="87">
        <v>12210</v>
      </c>
      <c r="AF1160" s="85">
        <v>9.9920000000000009</v>
      </c>
      <c r="AG1160" s="87">
        <v>12190</v>
      </c>
      <c r="AH1160" s="85">
        <v>1.9119999999999999</v>
      </c>
      <c r="AI1160" s="87">
        <v>12190</v>
      </c>
      <c r="AJ1160" s="85">
        <v>2.0819999999999999</v>
      </c>
    </row>
    <row r="1161" spans="1:36" ht="14.25" customHeight="1">
      <c r="A1161" s="88">
        <v>12220</v>
      </c>
      <c r="B1161" s="85">
        <v>3.5190000000000001</v>
      </c>
      <c r="C1161" s="88">
        <v>12230</v>
      </c>
      <c r="D1161" s="85">
        <v>3.294</v>
      </c>
      <c r="E1161" s="86">
        <v>12220</v>
      </c>
      <c r="F1161" s="85">
        <v>12.163</v>
      </c>
      <c r="G1161" s="87">
        <v>12220</v>
      </c>
      <c r="H1161" s="85">
        <v>12.286</v>
      </c>
      <c r="I1161" s="87">
        <v>12220</v>
      </c>
      <c r="J1161" s="85">
        <v>13.994999999999999</v>
      </c>
      <c r="K1161" s="87">
        <v>12220</v>
      </c>
      <c r="L1161" s="85">
        <v>12.584</v>
      </c>
      <c r="M1161" s="87">
        <v>12220</v>
      </c>
      <c r="N1161" s="85">
        <v>12.872999999999999</v>
      </c>
      <c r="O1161" s="87">
        <v>12200</v>
      </c>
      <c r="P1161" s="85">
        <v>13.845000000000001</v>
      </c>
      <c r="Q1161" s="87">
        <v>12220</v>
      </c>
      <c r="R1161" s="85">
        <v>13.599</v>
      </c>
      <c r="S1161" s="87">
        <v>12220</v>
      </c>
      <c r="T1161" s="85">
        <v>14.093999999999999</v>
      </c>
      <c r="U1161" s="87">
        <v>12210</v>
      </c>
      <c r="V1161" s="85">
        <v>14.324</v>
      </c>
      <c r="W1161" s="87">
        <v>12220</v>
      </c>
      <c r="X1161" s="85">
        <v>13.483000000000001</v>
      </c>
      <c r="Y1161" s="87">
        <v>12220</v>
      </c>
      <c r="Z1161" s="85">
        <v>13.141999999999999</v>
      </c>
      <c r="AA1161" s="87">
        <v>12220</v>
      </c>
      <c r="AB1161" s="85">
        <v>13.808</v>
      </c>
      <c r="AC1161" s="87">
        <v>12210</v>
      </c>
      <c r="AD1161" s="85">
        <v>8.0380000000000003</v>
      </c>
      <c r="AE1161" s="87">
        <v>12220</v>
      </c>
      <c r="AF1161" s="85">
        <v>9.2119999999999997</v>
      </c>
      <c r="AG1161" s="87">
        <v>12200</v>
      </c>
      <c r="AH1161" s="85">
        <v>1.7549999999999999</v>
      </c>
      <c r="AI1161" s="87">
        <v>12200</v>
      </c>
      <c r="AJ1161" s="85">
        <v>1.9119999999999999</v>
      </c>
    </row>
    <row r="1162" spans="1:36" ht="14.25" customHeight="1">
      <c r="A1162" s="88">
        <v>12230</v>
      </c>
      <c r="B1162" s="85">
        <v>3.1930000000000001</v>
      </c>
      <c r="C1162" s="88">
        <v>12240</v>
      </c>
      <c r="D1162" s="85">
        <v>2.9710000000000001</v>
      </c>
      <c r="E1162" s="86">
        <v>12230</v>
      </c>
      <c r="F1162" s="85">
        <v>11.09</v>
      </c>
      <c r="G1162" s="87">
        <v>12230</v>
      </c>
      <c r="H1162" s="85">
        <v>11.212</v>
      </c>
      <c r="I1162" s="87">
        <v>12230</v>
      </c>
      <c r="J1162" s="85">
        <v>12.808999999999999</v>
      </c>
      <c r="K1162" s="87">
        <v>12230</v>
      </c>
      <c r="L1162" s="85">
        <v>11.398</v>
      </c>
      <c r="M1162" s="87">
        <v>12230</v>
      </c>
      <c r="N1162" s="85">
        <v>11.662000000000001</v>
      </c>
      <c r="O1162" s="87">
        <v>12210</v>
      </c>
      <c r="P1162" s="85">
        <v>12.632999999999999</v>
      </c>
      <c r="Q1162" s="87">
        <v>12230</v>
      </c>
      <c r="R1162" s="85">
        <v>12.388</v>
      </c>
      <c r="S1162" s="87">
        <v>12230</v>
      </c>
      <c r="T1162" s="85">
        <v>12.882</v>
      </c>
      <c r="U1162" s="87">
        <v>12220</v>
      </c>
      <c r="V1162" s="85">
        <v>13.113</v>
      </c>
      <c r="W1162" s="87">
        <v>12230</v>
      </c>
      <c r="X1162" s="85">
        <v>12.271000000000001</v>
      </c>
      <c r="Y1162" s="87">
        <v>12230</v>
      </c>
      <c r="Z1162" s="85">
        <v>11.967000000000001</v>
      </c>
      <c r="AA1162" s="87">
        <v>12230</v>
      </c>
      <c r="AB1162" s="85">
        <v>12.635999999999999</v>
      </c>
      <c r="AC1162" s="87">
        <v>12220</v>
      </c>
      <c r="AD1162" s="85">
        <v>7.2619999999999996</v>
      </c>
      <c r="AE1162" s="87">
        <v>12230</v>
      </c>
      <c r="AF1162" s="85">
        <v>8.4329999999999998</v>
      </c>
      <c r="AG1162" s="87">
        <v>12210</v>
      </c>
      <c r="AH1162" s="85">
        <v>1.599</v>
      </c>
      <c r="AI1162" s="87">
        <v>12210</v>
      </c>
      <c r="AJ1162" s="85">
        <v>1.742</v>
      </c>
    </row>
    <row r="1163" spans="1:36" ht="14.25" customHeight="1">
      <c r="A1163" s="88">
        <v>12240</v>
      </c>
      <c r="B1163" s="85">
        <v>2.8679999999999999</v>
      </c>
      <c r="C1163" s="88">
        <v>12250</v>
      </c>
      <c r="D1163" s="85">
        <v>2.65</v>
      </c>
      <c r="E1163" s="86">
        <v>12240</v>
      </c>
      <c r="F1163" s="85">
        <v>10.019</v>
      </c>
      <c r="G1163" s="87">
        <v>12240</v>
      </c>
      <c r="H1163" s="85">
        <v>10.138999999999999</v>
      </c>
      <c r="I1163" s="87">
        <v>12240</v>
      </c>
      <c r="J1163" s="85">
        <v>11.624000000000001</v>
      </c>
      <c r="K1163" s="87">
        <v>12240</v>
      </c>
      <c r="L1163" s="85">
        <v>10.212</v>
      </c>
      <c r="M1163" s="87">
        <v>12240</v>
      </c>
      <c r="N1163" s="85">
        <v>10.451000000000001</v>
      </c>
      <c r="O1163" s="87">
        <v>12220</v>
      </c>
      <c r="P1163" s="85">
        <v>11.422000000000001</v>
      </c>
      <c r="Q1163" s="87">
        <v>12240</v>
      </c>
      <c r="R1163" s="85">
        <v>11.177</v>
      </c>
      <c r="S1163" s="87">
        <v>12240</v>
      </c>
      <c r="T1163" s="85">
        <v>11.67</v>
      </c>
      <c r="U1163" s="87">
        <v>12230</v>
      </c>
      <c r="V1163" s="85">
        <v>11.901999999999999</v>
      </c>
      <c r="W1163" s="87">
        <v>12240</v>
      </c>
      <c r="X1163" s="85">
        <v>11.06</v>
      </c>
      <c r="Y1163" s="87">
        <v>12240</v>
      </c>
      <c r="Z1163" s="85">
        <v>10.792999999999999</v>
      </c>
      <c r="AA1163" s="87">
        <v>12240</v>
      </c>
      <c r="AB1163" s="85">
        <v>11.465</v>
      </c>
      <c r="AC1163" s="87">
        <v>12230</v>
      </c>
      <c r="AD1163" s="85">
        <v>6.4880000000000004</v>
      </c>
      <c r="AE1163" s="87">
        <v>12240</v>
      </c>
      <c r="AF1163" s="85">
        <v>7.6559999999999997</v>
      </c>
      <c r="AG1163" s="87">
        <v>12220</v>
      </c>
      <c r="AH1163" s="85">
        <v>1.444</v>
      </c>
      <c r="AI1163" s="87">
        <v>12220</v>
      </c>
      <c r="AJ1163" s="85">
        <v>1.5720000000000001</v>
      </c>
    </row>
    <row r="1164" spans="1:36" ht="14.25" customHeight="1">
      <c r="A1164" s="88">
        <v>12250</v>
      </c>
      <c r="B1164" s="85">
        <v>2.5449999999999999</v>
      </c>
      <c r="C1164" s="88">
        <v>12260</v>
      </c>
      <c r="D1164" s="85">
        <v>2.33</v>
      </c>
      <c r="E1164" s="86">
        <v>12250</v>
      </c>
      <c r="F1164" s="85">
        <v>8.9499999999999993</v>
      </c>
      <c r="G1164" s="87">
        <v>12250</v>
      </c>
      <c r="H1164" s="85">
        <v>9.0679999999999996</v>
      </c>
      <c r="I1164" s="87">
        <v>12250</v>
      </c>
      <c r="J1164" s="85">
        <v>10.439</v>
      </c>
      <c r="K1164" s="87">
        <v>12250</v>
      </c>
      <c r="L1164" s="85">
        <v>9.0259999999999998</v>
      </c>
      <c r="M1164" s="87">
        <v>12250</v>
      </c>
      <c r="N1164" s="85">
        <v>9.2390000000000008</v>
      </c>
      <c r="O1164" s="87">
        <v>12230</v>
      </c>
      <c r="P1164" s="85">
        <v>10.210000000000001</v>
      </c>
      <c r="Q1164" s="87">
        <v>12250</v>
      </c>
      <c r="R1164" s="85">
        <v>9.9659999999999993</v>
      </c>
      <c r="S1164" s="87">
        <v>12250</v>
      </c>
      <c r="T1164" s="85">
        <v>10.458</v>
      </c>
      <c r="U1164" s="87">
        <v>12240</v>
      </c>
      <c r="V1164" s="85">
        <v>10.691000000000001</v>
      </c>
      <c r="W1164" s="87">
        <v>12250</v>
      </c>
      <c r="X1164" s="85">
        <v>9.8480000000000008</v>
      </c>
      <c r="Y1164" s="87">
        <v>12250</v>
      </c>
      <c r="Z1164" s="85">
        <v>9.6199999999999992</v>
      </c>
      <c r="AA1164" s="87">
        <v>12250</v>
      </c>
      <c r="AB1164" s="85">
        <v>10.295</v>
      </c>
      <c r="AC1164" s="87">
        <v>12240</v>
      </c>
      <c r="AD1164" s="85">
        <v>5.7140000000000004</v>
      </c>
      <c r="AE1164" s="87">
        <v>12250</v>
      </c>
      <c r="AF1164" s="85">
        <v>6.88</v>
      </c>
      <c r="AG1164" s="87">
        <v>12230</v>
      </c>
      <c r="AH1164" s="85">
        <v>1.2889999999999999</v>
      </c>
      <c r="AI1164" s="87">
        <v>12230</v>
      </c>
      <c r="AJ1164" s="85">
        <v>1.403</v>
      </c>
    </row>
    <row r="1165" spans="1:36" ht="14.25" customHeight="1">
      <c r="A1165" s="88">
        <v>12260</v>
      </c>
      <c r="B1165" s="85">
        <v>2.2229999999999999</v>
      </c>
      <c r="C1165" s="88">
        <v>12270</v>
      </c>
      <c r="D1165" s="85">
        <v>2.012</v>
      </c>
      <c r="E1165" s="86">
        <v>12260</v>
      </c>
      <c r="F1165" s="85">
        <v>7.8819999999999997</v>
      </c>
      <c r="G1165" s="87">
        <v>12260</v>
      </c>
      <c r="H1165" s="85">
        <v>7.9989999999999997</v>
      </c>
      <c r="I1165" s="87">
        <v>12260</v>
      </c>
      <c r="J1165" s="85">
        <v>9.2550000000000008</v>
      </c>
      <c r="K1165" s="87">
        <v>12260</v>
      </c>
      <c r="L1165" s="85">
        <v>7.8410000000000002</v>
      </c>
      <c r="M1165" s="87">
        <v>12260</v>
      </c>
      <c r="N1165" s="85">
        <v>8.0280000000000005</v>
      </c>
      <c r="O1165" s="87">
        <v>12240</v>
      </c>
      <c r="P1165" s="85">
        <v>8.9990000000000006</v>
      </c>
      <c r="Q1165" s="87">
        <v>12260</v>
      </c>
      <c r="R1165" s="85">
        <v>8.7550000000000008</v>
      </c>
      <c r="S1165" s="87">
        <v>12260</v>
      </c>
      <c r="T1165" s="85">
        <v>9.2449999999999992</v>
      </c>
      <c r="U1165" s="87">
        <v>12250</v>
      </c>
      <c r="V1165" s="85">
        <v>9.48</v>
      </c>
      <c r="W1165" s="87">
        <v>12260</v>
      </c>
      <c r="X1165" s="85">
        <v>8.6359999999999992</v>
      </c>
      <c r="Y1165" s="87">
        <v>12260</v>
      </c>
      <c r="Z1165" s="85">
        <v>8.4480000000000004</v>
      </c>
      <c r="AA1165" s="87">
        <v>12260</v>
      </c>
      <c r="AB1165" s="85">
        <v>9.125</v>
      </c>
      <c r="AC1165" s="87">
        <v>12250</v>
      </c>
      <c r="AD1165" s="85">
        <v>4.9420000000000002</v>
      </c>
      <c r="AE1165" s="87">
        <v>12260</v>
      </c>
      <c r="AF1165" s="85">
        <v>6.1059999999999999</v>
      </c>
      <c r="AG1165" s="87">
        <v>12240</v>
      </c>
      <c r="AH1165" s="85">
        <v>1.1339999999999999</v>
      </c>
      <c r="AI1165" s="87">
        <v>12240</v>
      </c>
      <c r="AJ1165" s="85">
        <v>1.234</v>
      </c>
    </row>
    <row r="1166" spans="1:36" ht="14.25" customHeight="1">
      <c r="A1166" s="88">
        <v>12270</v>
      </c>
      <c r="B1166" s="85">
        <v>1.9019999999999999</v>
      </c>
      <c r="C1166" s="88">
        <v>12280</v>
      </c>
      <c r="D1166" s="85">
        <v>1.694</v>
      </c>
      <c r="E1166" s="86">
        <v>12270</v>
      </c>
      <c r="F1166" s="85">
        <v>6.8159999999999998</v>
      </c>
      <c r="G1166" s="87">
        <v>12270</v>
      </c>
      <c r="H1166" s="85">
        <v>6.931</v>
      </c>
      <c r="I1166" s="87">
        <v>12270</v>
      </c>
      <c r="J1166" s="85">
        <v>8.0709999999999997</v>
      </c>
      <c r="K1166" s="87">
        <v>12270</v>
      </c>
      <c r="L1166" s="85">
        <v>6.657</v>
      </c>
      <c r="M1166" s="87">
        <v>12270</v>
      </c>
      <c r="N1166" s="85">
        <v>6.8170000000000002</v>
      </c>
      <c r="O1166" s="87">
        <v>12250</v>
      </c>
      <c r="P1166" s="85">
        <v>7.7869999999999999</v>
      </c>
      <c r="Q1166" s="87">
        <v>12270</v>
      </c>
      <c r="R1166" s="85">
        <v>7.5430000000000001</v>
      </c>
      <c r="S1166" s="87">
        <v>12270</v>
      </c>
      <c r="T1166" s="85">
        <v>8.0329999999999995</v>
      </c>
      <c r="U1166" s="87">
        <v>12260</v>
      </c>
      <c r="V1166" s="85">
        <v>8.2690000000000001</v>
      </c>
      <c r="W1166" s="87">
        <v>12270</v>
      </c>
      <c r="X1166" s="85">
        <v>7.4249999999999998</v>
      </c>
      <c r="Y1166" s="87">
        <v>12270</v>
      </c>
      <c r="Z1166" s="85">
        <v>7.2770000000000001</v>
      </c>
      <c r="AA1166" s="87">
        <v>12270</v>
      </c>
      <c r="AB1166" s="85">
        <v>7.9569999999999999</v>
      </c>
      <c r="AC1166" s="87">
        <v>12260</v>
      </c>
      <c r="AD1166" s="85">
        <v>4.1719999999999997</v>
      </c>
      <c r="AE1166" s="87">
        <v>12270</v>
      </c>
      <c r="AF1166" s="85">
        <v>5.3319999999999999</v>
      </c>
      <c r="AG1166" s="87">
        <v>12250</v>
      </c>
      <c r="AH1166" s="85">
        <v>0.98</v>
      </c>
      <c r="AI1166" s="87">
        <v>12250</v>
      </c>
      <c r="AJ1166" s="85">
        <v>1.0660000000000001</v>
      </c>
    </row>
    <row r="1167" spans="1:36" ht="14.25" customHeight="1">
      <c r="A1167" s="88">
        <v>12280</v>
      </c>
      <c r="B1167" s="85">
        <v>1.5820000000000001</v>
      </c>
      <c r="C1167" s="88">
        <v>12290</v>
      </c>
      <c r="D1167" s="85">
        <v>1.3779999999999999</v>
      </c>
      <c r="E1167" s="86">
        <v>12280</v>
      </c>
      <c r="F1167" s="85">
        <v>5.7510000000000003</v>
      </c>
      <c r="G1167" s="87">
        <v>12280</v>
      </c>
      <c r="H1167" s="85">
        <v>5.8659999999999997</v>
      </c>
      <c r="I1167" s="87">
        <v>12280</v>
      </c>
      <c r="J1167" s="85">
        <v>6.8879999999999999</v>
      </c>
      <c r="K1167" s="87">
        <v>12280</v>
      </c>
      <c r="L1167" s="85">
        <v>5.4729999999999999</v>
      </c>
      <c r="M1167" s="87">
        <v>12280</v>
      </c>
      <c r="N1167" s="85">
        <v>5.6050000000000004</v>
      </c>
      <c r="O1167" s="87">
        <v>12260</v>
      </c>
      <c r="P1167" s="85">
        <v>6.5759999999999996</v>
      </c>
      <c r="Q1167" s="87">
        <v>12280</v>
      </c>
      <c r="R1167" s="85">
        <v>6.3319999999999999</v>
      </c>
      <c r="S1167" s="87">
        <v>12280</v>
      </c>
      <c r="T1167" s="85">
        <v>6.8209999999999997</v>
      </c>
      <c r="U1167" s="87">
        <v>12270</v>
      </c>
      <c r="V1167" s="85">
        <v>7.0579999999999998</v>
      </c>
      <c r="W1167" s="87">
        <v>12280</v>
      </c>
      <c r="X1167" s="85">
        <v>6.2130000000000001</v>
      </c>
      <c r="Y1167" s="87">
        <v>12280</v>
      </c>
      <c r="Z1167" s="85">
        <v>6.1070000000000002</v>
      </c>
      <c r="AA1167" s="87">
        <v>12280</v>
      </c>
      <c r="AB1167" s="85">
        <v>6.7889999999999997</v>
      </c>
      <c r="AC1167" s="87">
        <v>12270</v>
      </c>
      <c r="AD1167" s="85">
        <v>3.4020000000000001</v>
      </c>
      <c r="AE1167" s="87">
        <v>12280</v>
      </c>
      <c r="AF1167" s="85">
        <v>4.5609999999999999</v>
      </c>
      <c r="AG1167" s="87">
        <v>12260</v>
      </c>
      <c r="AH1167" s="85">
        <v>0.82599999999999996</v>
      </c>
      <c r="AI1167" s="87">
        <v>12260</v>
      </c>
      <c r="AJ1167" s="85">
        <v>0.89900000000000002</v>
      </c>
    </row>
    <row r="1168" spans="1:36" ht="14.25" customHeight="1">
      <c r="A1168" s="88">
        <v>12290</v>
      </c>
      <c r="B1168" s="85">
        <v>1.2629999999999999</v>
      </c>
      <c r="C1168" s="88">
        <v>12300</v>
      </c>
      <c r="D1168" s="85">
        <v>1.0629999999999999</v>
      </c>
      <c r="E1168" s="86">
        <v>12290</v>
      </c>
      <c r="F1168" s="85">
        <v>4.6890000000000001</v>
      </c>
      <c r="G1168" s="87">
        <v>12290</v>
      </c>
      <c r="H1168" s="85">
        <v>4.8010000000000002</v>
      </c>
      <c r="I1168" s="87">
        <v>12290</v>
      </c>
      <c r="J1168" s="85">
        <v>5.7050000000000001</v>
      </c>
      <c r="K1168" s="87">
        <v>12290</v>
      </c>
      <c r="L1168" s="85">
        <v>4.29</v>
      </c>
      <c r="M1168" s="87">
        <v>12290</v>
      </c>
      <c r="N1168" s="85">
        <v>4.3940000000000001</v>
      </c>
      <c r="O1168" s="87">
        <v>12270</v>
      </c>
      <c r="P1168" s="85">
        <v>5.3639999999999999</v>
      </c>
      <c r="Q1168" s="87">
        <v>12290</v>
      </c>
      <c r="R1168" s="85">
        <v>5.1210000000000004</v>
      </c>
      <c r="S1168" s="87">
        <v>12290</v>
      </c>
      <c r="T1168" s="85">
        <v>5.609</v>
      </c>
      <c r="U1168" s="87">
        <v>12280</v>
      </c>
      <c r="V1168" s="85">
        <v>5.8470000000000004</v>
      </c>
      <c r="W1168" s="87">
        <v>12290</v>
      </c>
      <c r="X1168" s="85">
        <v>5.0019999999999998</v>
      </c>
      <c r="Y1168" s="87">
        <v>12290</v>
      </c>
      <c r="Z1168" s="85">
        <v>4.9370000000000003</v>
      </c>
      <c r="AA1168" s="87">
        <v>12290</v>
      </c>
      <c r="AB1168" s="85">
        <v>5.6219999999999999</v>
      </c>
      <c r="AC1168" s="87">
        <v>12280</v>
      </c>
      <c r="AD1168" s="85">
        <v>2.6339999999999999</v>
      </c>
      <c r="AE1168" s="87">
        <v>12290</v>
      </c>
      <c r="AF1168" s="85">
        <v>3.79</v>
      </c>
      <c r="AG1168" s="87">
        <v>12270</v>
      </c>
      <c r="AH1168" s="85">
        <v>0.67300000000000004</v>
      </c>
      <c r="AI1168" s="87">
        <v>12270</v>
      </c>
      <c r="AJ1168" s="85">
        <v>0.73099999999999998</v>
      </c>
    </row>
    <row r="1169" spans="1:36" ht="14.25" customHeight="1">
      <c r="A1169" s="88">
        <v>12300</v>
      </c>
      <c r="B1169" s="85">
        <v>0.94599999999999995</v>
      </c>
      <c r="C1169" s="88">
        <v>12310</v>
      </c>
      <c r="D1169" s="85">
        <v>0.75</v>
      </c>
      <c r="E1169" s="86">
        <v>12300</v>
      </c>
      <c r="F1169" s="85">
        <v>3.6280000000000001</v>
      </c>
      <c r="G1169" s="87">
        <v>12300</v>
      </c>
      <c r="H1169" s="85">
        <v>3.7389999999999999</v>
      </c>
      <c r="I1169" s="87">
        <v>12300</v>
      </c>
      <c r="J1169" s="85">
        <v>4.5220000000000002</v>
      </c>
      <c r="K1169" s="87">
        <v>12300</v>
      </c>
      <c r="L1169" s="85">
        <v>3.1070000000000002</v>
      </c>
      <c r="M1169" s="87">
        <v>12300</v>
      </c>
      <c r="N1169" s="85">
        <v>3.1829999999999998</v>
      </c>
      <c r="O1169" s="87">
        <v>12280</v>
      </c>
      <c r="P1169" s="85">
        <v>4.1529999999999996</v>
      </c>
      <c r="Q1169" s="87">
        <v>12300</v>
      </c>
      <c r="R1169" s="85">
        <v>3.9089999999999998</v>
      </c>
      <c r="S1169" s="87">
        <v>12300</v>
      </c>
      <c r="T1169" s="85">
        <v>4.3970000000000002</v>
      </c>
      <c r="U1169" s="87">
        <v>12290</v>
      </c>
      <c r="V1169" s="85">
        <v>4.6349999999999998</v>
      </c>
      <c r="W1169" s="87">
        <v>12300</v>
      </c>
      <c r="X1169" s="85">
        <v>3.79</v>
      </c>
      <c r="Y1169" s="87">
        <v>12300</v>
      </c>
      <c r="Z1169" s="85">
        <v>3.7679999999999998</v>
      </c>
      <c r="AA1169" s="87">
        <v>12300</v>
      </c>
      <c r="AB1169" s="85">
        <v>4.4560000000000004</v>
      </c>
      <c r="AC1169" s="87">
        <v>12290</v>
      </c>
      <c r="AD1169" s="85">
        <v>1.8680000000000001</v>
      </c>
      <c r="AE1169" s="87">
        <v>12300</v>
      </c>
      <c r="AF1169" s="85">
        <v>3.0209999999999999</v>
      </c>
      <c r="AG1169" s="87">
        <v>12280</v>
      </c>
      <c r="AH1169" s="85">
        <v>0.52</v>
      </c>
      <c r="AI1169" s="87">
        <v>12280</v>
      </c>
      <c r="AJ1169" s="85">
        <v>0.56399999999999995</v>
      </c>
    </row>
    <row r="1170" spans="1:36" ht="14.25" customHeight="1">
      <c r="A1170" s="88">
        <v>12310</v>
      </c>
      <c r="B1170" s="85">
        <v>0.63</v>
      </c>
      <c r="C1170" s="88">
        <v>12320</v>
      </c>
      <c r="D1170" s="85">
        <v>0.438</v>
      </c>
      <c r="E1170" s="86">
        <v>12310</v>
      </c>
      <c r="F1170" s="85">
        <v>2.569</v>
      </c>
      <c r="G1170" s="87">
        <v>12310</v>
      </c>
      <c r="H1170" s="85">
        <v>2.6779999999999999</v>
      </c>
      <c r="I1170" s="87">
        <v>12310</v>
      </c>
      <c r="J1170" s="85">
        <v>3.34</v>
      </c>
      <c r="K1170" s="87">
        <v>12310</v>
      </c>
      <c r="L1170" s="85">
        <v>1.9239999999999999</v>
      </c>
      <c r="M1170" s="87">
        <v>12310</v>
      </c>
      <c r="N1170" s="85">
        <v>1.9710000000000001</v>
      </c>
      <c r="O1170" s="87">
        <v>12290</v>
      </c>
      <c r="P1170" s="85">
        <v>2.9409999999999998</v>
      </c>
      <c r="Q1170" s="87">
        <v>12310</v>
      </c>
      <c r="R1170" s="85">
        <v>2.698</v>
      </c>
      <c r="S1170" s="87">
        <v>12310</v>
      </c>
      <c r="T1170" s="85">
        <v>3.1850000000000001</v>
      </c>
      <c r="U1170" s="87">
        <v>12300</v>
      </c>
      <c r="V1170" s="85">
        <v>3.4239999999999999</v>
      </c>
      <c r="W1170" s="87">
        <v>12310</v>
      </c>
      <c r="X1170" s="85">
        <v>2.5779999999999998</v>
      </c>
      <c r="Y1170" s="87">
        <v>12310</v>
      </c>
      <c r="Z1170" s="85">
        <v>2.6</v>
      </c>
      <c r="AA1170" s="87">
        <v>12310</v>
      </c>
      <c r="AB1170" s="85">
        <v>3.2909999999999999</v>
      </c>
      <c r="AC1170" s="87">
        <v>12300</v>
      </c>
      <c r="AD1170" s="85">
        <v>1.103</v>
      </c>
      <c r="AE1170" s="87">
        <v>12310</v>
      </c>
      <c r="AF1170" s="85">
        <v>2.2530000000000001</v>
      </c>
      <c r="AG1170" s="87">
        <v>12290</v>
      </c>
      <c r="AH1170" s="85">
        <v>0.36699999999999999</v>
      </c>
      <c r="AI1170" s="87">
        <v>12290</v>
      </c>
      <c r="AJ1170" s="85">
        <v>0.39800000000000002</v>
      </c>
    </row>
    <row r="1171" spans="1:36" ht="14.25" customHeight="1">
      <c r="A1171" s="88">
        <v>12319</v>
      </c>
      <c r="B1171" s="85">
        <v>0.34699999999999998</v>
      </c>
      <c r="C1171" s="88">
        <v>12324</v>
      </c>
      <c r="D1171" s="85">
        <v>0.313</v>
      </c>
      <c r="E1171" s="86">
        <v>12320</v>
      </c>
      <c r="F1171" s="85">
        <v>1.5109999999999999</v>
      </c>
      <c r="G1171" s="87">
        <v>12320</v>
      </c>
      <c r="H1171" s="85">
        <v>1.619</v>
      </c>
      <c r="I1171" s="87">
        <v>12320</v>
      </c>
      <c r="J1171" s="85">
        <v>2.1589999999999998</v>
      </c>
      <c r="K1171" s="87">
        <v>12315</v>
      </c>
      <c r="L1171" s="85">
        <v>1.333</v>
      </c>
      <c r="M1171" s="87">
        <v>12315</v>
      </c>
      <c r="N1171" s="85">
        <v>1.3660000000000001</v>
      </c>
      <c r="O1171" s="87">
        <v>12300</v>
      </c>
      <c r="P1171" s="85">
        <v>1.7290000000000001</v>
      </c>
      <c r="Q1171" s="87">
        <v>12320</v>
      </c>
      <c r="R1171" s="85">
        <v>1.4870000000000001</v>
      </c>
      <c r="S1171" s="87">
        <v>12320</v>
      </c>
      <c r="T1171" s="85">
        <v>1.9730000000000001</v>
      </c>
      <c r="U1171" s="87">
        <v>12310</v>
      </c>
      <c r="V1171" s="85">
        <v>2.2130000000000001</v>
      </c>
      <c r="W1171" s="87">
        <v>12320</v>
      </c>
      <c r="X1171" s="85">
        <v>1.367</v>
      </c>
      <c r="Y1171" s="87">
        <v>12320</v>
      </c>
      <c r="Z1171" s="85">
        <v>1.4330000000000001</v>
      </c>
      <c r="AA1171" s="87">
        <v>12320</v>
      </c>
      <c r="AB1171" s="85">
        <v>2.1269999999999998</v>
      </c>
      <c r="AC1171" s="87">
        <v>12304</v>
      </c>
      <c r="AD1171" s="85">
        <v>0.79700000000000004</v>
      </c>
      <c r="AE1171" s="87">
        <v>12320</v>
      </c>
      <c r="AF1171" s="85">
        <v>1.486</v>
      </c>
      <c r="AG1171" s="87">
        <v>12300</v>
      </c>
      <c r="AH1171" s="85">
        <v>0.215</v>
      </c>
      <c r="AI1171" s="87">
        <v>12300</v>
      </c>
      <c r="AJ1171" s="85">
        <v>0.23200000000000001</v>
      </c>
    </row>
    <row r="1172" spans="1:36" ht="14.25" customHeight="1">
      <c r="A1172" s="95"/>
      <c r="B1172" s="96"/>
      <c r="C1172" s="95"/>
      <c r="D1172" s="97"/>
      <c r="E1172" s="98">
        <v>12323</v>
      </c>
      <c r="F1172" s="94">
        <v>1.194</v>
      </c>
      <c r="G1172" s="87">
        <v>12325</v>
      </c>
      <c r="H1172" s="85">
        <v>1.0900000000000001</v>
      </c>
      <c r="I1172" s="87">
        <v>12328</v>
      </c>
      <c r="J1172" s="85">
        <v>1.214</v>
      </c>
      <c r="K1172" s="95"/>
      <c r="L1172" s="99"/>
      <c r="M1172" s="100"/>
      <c r="N1172" s="101"/>
      <c r="O1172" s="87">
        <v>12303</v>
      </c>
      <c r="P1172" s="85">
        <v>1.3660000000000001</v>
      </c>
      <c r="Q1172" s="87">
        <v>12322</v>
      </c>
      <c r="R1172" s="85">
        <v>1.2450000000000001</v>
      </c>
      <c r="S1172" s="87">
        <v>12326</v>
      </c>
      <c r="T1172" s="85">
        <v>1.2450000000000001</v>
      </c>
      <c r="U1172" s="87">
        <v>12318</v>
      </c>
      <c r="V1172" s="85">
        <v>1.244</v>
      </c>
      <c r="W1172" s="87">
        <v>12321</v>
      </c>
      <c r="X1172" s="85">
        <v>1.246</v>
      </c>
      <c r="Y1172" s="87">
        <v>12321</v>
      </c>
      <c r="Z1172" s="85">
        <v>1.3160000000000001</v>
      </c>
      <c r="AA1172" s="87">
        <v>12328</v>
      </c>
      <c r="AB1172" s="85">
        <v>1.196</v>
      </c>
      <c r="AC1172" s="95"/>
      <c r="AD1172" s="95"/>
      <c r="AE1172" s="87">
        <v>12329</v>
      </c>
      <c r="AF1172" s="85">
        <v>0.79700000000000004</v>
      </c>
      <c r="AG1172" s="87">
        <v>12301</v>
      </c>
      <c r="AH1172" s="85">
        <v>0.20100000000000001</v>
      </c>
      <c r="AI1172" s="87">
        <v>12302</v>
      </c>
      <c r="AJ1172" s="85">
        <v>0.19900000000000001</v>
      </c>
    </row>
  </sheetData>
  <mergeCells count="18"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  <mergeCell ref="AC3:AD3"/>
    <mergeCell ref="AA3:AB3"/>
    <mergeCell ref="AG3:AH3"/>
    <mergeCell ref="O3:P3"/>
    <mergeCell ref="AE3:AF3"/>
    <mergeCell ref="Q3:R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2" customWidth="1"/>
    <col min="2" max="2" width="14.25" style="45" customWidth="1"/>
    <col min="3" max="3" width="11.75" style="42" customWidth="1"/>
    <col min="4" max="4" width="11.375" style="42" customWidth="1"/>
    <col min="5" max="5" width="9.625" style="42" customWidth="1"/>
    <col min="6" max="6" width="8" style="42" customWidth="1"/>
    <col min="7" max="7" width="11.375" style="42" customWidth="1"/>
    <col min="8" max="9" width="10" style="42" customWidth="1"/>
    <col min="10" max="10" width="9.625" style="42" customWidth="1"/>
    <col min="11" max="11" width="8.5" style="42" customWidth="1"/>
    <col min="12" max="12" width="11.375" style="42" customWidth="1"/>
    <col min="13" max="13" width="2.375" style="42" customWidth="1"/>
    <col min="14" max="14" width="28.75" style="42" customWidth="1"/>
    <col min="15" max="19" width="25.75" style="42" customWidth="1"/>
    <col min="20" max="22" width="3" style="42" customWidth="1"/>
    <col min="23" max="26" width="2.75" style="42" customWidth="1"/>
    <col min="27" max="32" width="2.375" style="42" customWidth="1"/>
    <col min="33" max="36" width="2.125" style="42" customWidth="1"/>
    <col min="37" max="256" width="8.375" style="42" customWidth="1"/>
    <col min="257" max="257" width="1.375" style="42" customWidth="1"/>
    <col min="258" max="258" width="14.25" style="42" customWidth="1"/>
    <col min="259" max="259" width="6.625" style="42" customWidth="1"/>
    <col min="260" max="260" width="11.375" style="42" customWidth="1"/>
    <col min="261" max="261" width="9.625" style="42" customWidth="1"/>
    <col min="262" max="262" width="8" style="42" customWidth="1"/>
    <col min="263" max="263" width="11.375" style="42" customWidth="1"/>
    <col min="264" max="265" width="10" style="42" customWidth="1"/>
    <col min="266" max="266" width="9.625" style="42" customWidth="1"/>
    <col min="267" max="267" width="8.5" style="42" customWidth="1"/>
    <col min="268" max="268" width="11.375" style="42" customWidth="1"/>
    <col min="269" max="274" width="2.375" style="42" customWidth="1"/>
    <col min="275" max="278" width="3" style="42" customWidth="1"/>
    <col min="279" max="282" width="2.75" style="42" customWidth="1"/>
    <col min="283" max="288" width="2.375" style="42" customWidth="1"/>
    <col min="289" max="292" width="2.125" style="42" customWidth="1"/>
    <col min="293" max="512" width="8.375" style="42" customWidth="1"/>
    <col min="513" max="513" width="1.375" style="42" customWidth="1"/>
    <col min="514" max="514" width="14.25" style="42" customWidth="1"/>
    <col min="515" max="515" width="6.625" style="42" customWidth="1"/>
    <col min="516" max="516" width="11.375" style="42" customWidth="1"/>
    <col min="517" max="517" width="9.625" style="42" customWidth="1"/>
    <col min="518" max="518" width="8" style="42" customWidth="1"/>
    <col min="519" max="519" width="11.375" style="42" customWidth="1"/>
    <col min="520" max="521" width="10" style="42" customWidth="1"/>
    <col min="522" max="522" width="9.625" style="42" customWidth="1"/>
    <col min="523" max="523" width="8.5" style="42" customWidth="1"/>
    <col min="524" max="524" width="11.375" style="42" customWidth="1"/>
    <col min="525" max="530" width="2.375" style="42" customWidth="1"/>
    <col min="531" max="534" width="3" style="42" customWidth="1"/>
    <col min="535" max="538" width="2.75" style="42" customWidth="1"/>
    <col min="539" max="544" width="2.375" style="42" customWidth="1"/>
    <col min="545" max="548" width="2.125" style="42" customWidth="1"/>
    <col min="549" max="768" width="8.375" style="42" customWidth="1"/>
    <col min="769" max="769" width="1.375" style="42" customWidth="1"/>
    <col min="770" max="770" width="14.25" style="42" customWidth="1"/>
    <col min="771" max="771" width="6.625" style="42" customWidth="1"/>
    <col min="772" max="772" width="11.375" style="42" customWidth="1"/>
    <col min="773" max="773" width="9.625" style="42" customWidth="1"/>
    <col min="774" max="774" width="8" style="42" customWidth="1"/>
    <col min="775" max="775" width="11.375" style="42" customWidth="1"/>
    <col min="776" max="777" width="10" style="42" customWidth="1"/>
    <col min="778" max="778" width="9.625" style="42" customWidth="1"/>
    <col min="779" max="779" width="8.5" style="42" customWidth="1"/>
    <col min="780" max="780" width="11.375" style="42" customWidth="1"/>
    <col min="781" max="786" width="2.375" style="42" customWidth="1"/>
    <col min="787" max="790" width="3" style="42" customWidth="1"/>
    <col min="791" max="794" width="2.75" style="42" customWidth="1"/>
    <col min="795" max="800" width="2.375" style="42" customWidth="1"/>
    <col min="801" max="804" width="2.125" style="42" customWidth="1"/>
    <col min="805" max="1024" width="8.375" style="42" customWidth="1"/>
    <col min="1025" max="1025" width="1.375" style="42" customWidth="1"/>
    <col min="1026" max="1026" width="14.25" style="42" customWidth="1"/>
    <col min="1027" max="1027" width="6.625" style="42" customWidth="1"/>
    <col min="1028" max="1028" width="11.375" style="42" customWidth="1"/>
    <col min="1029" max="1029" width="9.625" style="42" customWidth="1"/>
    <col min="1030" max="1030" width="8" style="42" customWidth="1"/>
    <col min="1031" max="1031" width="11.375" style="42" customWidth="1"/>
    <col min="1032" max="1033" width="10" style="42" customWidth="1"/>
    <col min="1034" max="1034" width="9.625" style="42" customWidth="1"/>
    <col min="1035" max="1035" width="8.5" style="42" customWidth="1"/>
    <col min="1036" max="1036" width="11.375" style="42" customWidth="1"/>
    <col min="1037" max="1042" width="2.375" style="42" customWidth="1"/>
    <col min="1043" max="1046" width="3" style="42" customWidth="1"/>
    <col min="1047" max="1050" width="2.75" style="42" customWidth="1"/>
    <col min="1051" max="1056" width="2.375" style="42" customWidth="1"/>
    <col min="1057" max="1060" width="2.125" style="42" customWidth="1"/>
    <col min="1061" max="1280" width="8.375" style="42" customWidth="1"/>
    <col min="1281" max="1281" width="1.375" style="42" customWidth="1"/>
    <col min="1282" max="1282" width="14.25" style="42" customWidth="1"/>
    <col min="1283" max="1283" width="6.625" style="42" customWidth="1"/>
    <col min="1284" max="1284" width="11.375" style="42" customWidth="1"/>
    <col min="1285" max="1285" width="9.625" style="42" customWidth="1"/>
    <col min="1286" max="1286" width="8" style="42" customWidth="1"/>
    <col min="1287" max="1287" width="11.375" style="42" customWidth="1"/>
    <col min="1288" max="1289" width="10" style="42" customWidth="1"/>
    <col min="1290" max="1290" width="9.625" style="42" customWidth="1"/>
    <col min="1291" max="1291" width="8.5" style="42" customWidth="1"/>
    <col min="1292" max="1292" width="11.375" style="42" customWidth="1"/>
    <col min="1293" max="1298" width="2.375" style="42" customWidth="1"/>
    <col min="1299" max="1302" width="3" style="42" customWidth="1"/>
    <col min="1303" max="1306" width="2.75" style="42" customWidth="1"/>
    <col min="1307" max="1312" width="2.375" style="42" customWidth="1"/>
    <col min="1313" max="1316" width="2.125" style="42" customWidth="1"/>
    <col min="1317" max="1536" width="8.375" style="42" customWidth="1"/>
    <col min="1537" max="1537" width="1.375" style="42" customWidth="1"/>
    <col min="1538" max="1538" width="14.25" style="42" customWidth="1"/>
    <col min="1539" max="1539" width="6.625" style="42" customWidth="1"/>
    <col min="1540" max="1540" width="11.375" style="42" customWidth="1"/>
    <col min="1541" max="1541" width="9.625" style="42" customWidth="1"/>
    <col min="1542" max="1542" width="8" style="42" customWidth="1"/>
    <col min="1543" max="1543" width="11.375" style="42" customWidth="1"/>
    <col min="1544" max="1545" width="10" style="42" customWidth="1"/>
    <col min="1546" max="1546" width="9.625" style="42" customWidth="1"/>
    <col min="1547" max="1547" width="8.5" style="42" customWidth="1"/>
    <col min="1548" max="1548" width="11.375" style="42" customWidth="1"/>
    <col min="1549" max="1554" width="2.375" style="42" customWidth="1"/>
    <col min="1555" max="1558" width="3" style="42" customWidth="1"/>
    <col min="1559" max="1562" width="2.75" style="42" customWidth="1"/>
    <col min="1563" max="1568" width="2.375" style="42" customWidth="1"/>
    <col min="1569" max="1572" width="2.125" style="42" customWidth="1"/>
    <col min="1573" max="1792" width="8.375" style="42" customWidth="1"/>
    <col min="1793" max="1793" width="1.375" style="42" customWidth="1"/>
    <col min="1794" max="1794" width="14.25" style="42" customWidth="1"/>
    <col min="1795" max="1795" width="6.625" style="42" customWidth="1"/>
    <col min="1796" max="1796" width="11.375" style="42" customWidth="1"/>
    <col min="1797" max="1797" width="9.625" style="42" customWidth="1"/>
    <col min="1798" max="1798" width="8" style="42" customWidth="1"/>
    <col min="1799" max="1799" width="11.375" style="42" customWidth="1"/>
    <col min="1800" max="1801" width="10" style="42" customWidth="1"/>
    <col min="1802" max="1802" width="9.625" style="42" customWidth="1"/>
    <col min="1803" max="1803" width="8.5" style="42" customWidth="1"/>
    <col min="1804" max="1804" width="11.375" style="42" customWidth="1"/>
    <col min="1805" max="1810" width="2.375" style="42" customWidth="1"/>
    <col min="1811" max="1814" width="3" style="42" customWidth="1"/>
    <col min="1815" max="1818" width="2.75" style="42" customWidth="1"/>
    <col min="1819" max="1824" width="2.375" style="42" customWidth="1"/>
    <col min="1825" max="1828" width="2.125" style="42" customWidth="1"/>
    <col min="1829" max="2048" width="8.375" style="42" customWidth="1"/>
    <col min="2049" max="2049" width="1.375" style="42" customWidth="1"/>
    <col min="2050" max="2050" width="14.25" style="42" customWidth="1"/>
    <col min="2051" max="2051" width="6.625" style="42" customWidth="1"/>
    <col min="2052" max="2052" width="11.375" style="42" customWidth="1"/>
    <col min="2053" max="2053" width="9.625" style="42" customWidth="1"/>
    <col min="2054" max="2054" width="8" style="42" customWidth="1"/>
    <col min="2055" max="2055" width="11.375" style="42" customWidth="1"/>
    <col min="2056" max="2057" width="10" style="42" customWidth="1"/>
    <col min="2058" max="2058" width="9.625" style="42" customWidth="1"/>
    <col min="2059" max="2059" width="8.5" style="42" customWidth="1"/>
    <col min="2060" max="2060" width="11.375" style="42" customWidth="1"/>
    <col min="2061" max="2066" width="2.375" style="42" customWidth="1"/>
    <col min="2067" max="2070" width="3" style="42" customWidth="1"/>
    <col min="2071" max="2074" width="2.75" style="42" customWidth="1"/>
    <col min="2075" max="2080" width="2.375" style="42" customWidth="1"/>
    <col min="2081" max="2084" width="2.125" style="42" customWidth="1"/>
    <col min="2085" max="2304" width="8.375" style="42" customWidth="1"/>
    <col min="2305" max="2305" width="1.375" style="42" customWidth="1"/>
    <col min="2306" max="2306" width="14.25" style="42" customWidth="1"/>
    <col min="2307" max="2307" width="6.625" style="42" customWidth="1"/>
    <col min="2308" max="2308" width="11.375" style="42" customWidth="1"/>
    <col min="2309" max="2309" width="9.625" style="42" customWidth="1"/>
    <col min="2310" max="2310" width="8" style="42" customWidth="1"/>
    <col min="2311" max="2311" width="11.375" style="42" customWidth="1"/>
    <col min="2312" max="2313" width="10" style="42" customWidth="1"/>
    <col min="2314" max="2314" width="9.625" style="42" customWidth="1"/>
    <col min="2315" max="2315" width="8.5" style="42" customWidth="1"/>
    <col min="2316" max="2316" width="11.375" style="42" customWidth="1"/>
    <col min="2317" max="2322" width="2.375" style="42" customWidth="1"/>
    <col min="2323" max="2326" width="3" style="42" customWidth="1"/>
    <col min="2327" max="2330" width="2.75" style="42" customWidth="1"/>
    <col min="2331" max="2336" width="2.375" style="42" customWidth="1"/>
    <col min="2337" max="2340" width="2.125" style="42" customWidth="1"/>
    <col min="2341" max="2560" width="8.375" style="42" customWidth="1"/>
    <col min="2561" max="2561" width="1.375" style="42" customWidth="1"/>
    <col min="2562" max="2562" width="14.25" style="42" customWidth="1"/>
    <col min="2563" max="2563" width="6.625" style="42" customWidth="1"/>
    <col min="2564" max="2564" width="11.375" style="42" customWidth="1"/>
    <col min="2565" max="2565" width="9.625" style="42" customWidth="1"/>
    <col min="2566" max="2566" width="8" style="42" customWidth="1"/>
    <col min="2567" max="2567" width="11.375" style="42" customWidth="1"/>
    <col min="2568" max="2569" width="10" style="42" customWidth="1"/>
    <col min="2570" max="2570" width="9.625" style="42" customWidth="1"/>
    <col min="2571" max="2571" width="8.5" style="42" customWidth="1"/>
    <col min="2572" max="2572" width="11.375" style="42" customWidth="1"/>
    <col min="2573" max="2578" width="2.375" style="42" customWidth="1"/>
    <col min="2579" max="2582" width="3" style="42" customWidth="1"/>
    <col min="2583" max="2586" width="2.75" style="42" customWidth="1"/>
    <col min="2587" max="2592" width="2.375" style="42" customWidth="1"/>
    <col min="2593" max="2596" width="2.125" style="42" customWidth="1"/>
    <col min="2597" max="2816" width="8.375" style="42" customWidth="1"/>
    <col min="2817" max="2817" width="1.375" style="42" customWidth="1"/>
    <col min="2818" max="2818" width="14.25" style="42" customWidth="1"/>
    <col min="2819" max="2819" width="6.625" style="42" customWidth="1"/>
    <col min="2820" max="2820" width="11.375" style="42" customWidth="1"/>
    <col min="2821" max="2821" width="9.625" style="42" customWidth="1"/>
    <col min="2822" max="2822" width="8" style="42" customWidth="1"/>
    <col min="2823" max="2823" width="11.375" style="42" customWidth="1"/>
    <col min="2824" max="2825" width="10" style="42" customWidth="1"/>
    <col min="2826" max="2826" width="9.625" style="42" customWidth="1"/>
    <col min="2827" max="2827" width="8.5" style="42" customWidth="1"/>
    <col min="2828" max="2828" width="11.375" style="42" customWidth="1"/>
    <col min="2829" max="2834" width="2.375" style="42" customWidth="1"/>
    <col min="2835" max="2838" width="3" style="42" customWidth="1"/>
    <col min="2839" max="2842" width="2.75" style="42" customWidth="1"/>
    <col min="2843" max="2848" width="2.375" style="42" customWidth="1"/>
    <col min="2849" max="2852" width="2.125" style="42" customWidth="1"/>
    <col min="2853" max="3072" width="8.375" style="42" customWidth="1"/>
    <col min="3073" max="3073" width="1.375" style="42" customWidth="1"/>
    <col min="3074" max="3074" width="14.25" style="42" customWidth="1"/>
    <col min="3075" max="3075" width="6.625" style="42" customWidth="1"/>
    <col min="3076" max="3076" width="11.375" style="42" customWidth="1"/>
    <col min="3077" max="3077" width="9.625" style="42" customWidth="1"/>
    <col min="3078" max="3078" width="8" style="42" customWidth="1"/>
    <col min="3079" max="3079" width="11.375" style="42" customWidth="1"/>
    <col min="3080" max="3081" width="10" style="42" customWidth="1"/>
    <col min="3082" max="3082" width="9.625" style="42" customWidth="1"/>
    <col min="3083" max="3083" width="8.5" style="42" customWidth="1"/>
    <col min="3084" max="3084" width="11.375" style="42" customWidth="1"/>
    <col min="3085" max="3090" width="2.375" style="42" customWidth="1"/>
    <col min="3091" max="3094" width="3" style="42" customWidth="1"/>
    <col min="3095" max="3098" width="2.75" style="42" customWidth="1"/>
    <col min="3099" max="3104" width="2.375" style="42" customWidth="1"/>
    <col min="3105" max="3108" width="2.125" style="42" customWidth="1"/>
    <col min="3109" max="3328" width="8.375" style="42" customWidth="1"/>
    <col min="3329" max="3329" width="1.375" style="42" customWidth="1"/>
    <col min="3330" max="3330" width="14.25" style="42" customWidth="1"/>
    <col min="3331" max="3331" width="6.625" style="42" customWidth="1"/>
    <col min="3332" max="3332" width="11.375" style="42" customWidth="1"/>
    <col min="3333" max="3333" width="9.625" style="42" customWidth="1"/>
    <col min="3334" max="3334" width="8" style="42" customWidth="1"/>
    <col min="3335" max="3335" width="11.375" style="42" customWidth="1"/>
    <col min="3336" max="3337" width="10" style="42" customWidth="1"/>
    <col min="3338" max="3338" width="9.625" style="42" customWidth="1"/>
    <col min="3339" max="3339" width="8.5" style="42" customWidth="1"/>
    <col min="3340" max="3340" width="11.375" style="42" customWidth="1"/>
    <col min="3341" max="3346" width="2.375" style="42" customWidth="1"/>
    <col min="3347" max="3350" width="3" style="42" customWidth="1"/>
    <col min="3351" max="3354" width="2.75" style="42" customWidth="1"/>
    <col min="3355" max="3360" width="2.375" style="42" customWidth="1"/>
    <col min="3361" max="3364" width="2.125" style="42" customWidth="1"/>
    <col min="3365" max="3584" width="8.375" style="42" customWidth="1"/>
    <col min="3585" max="3585" width="1.375" style="42" customWidth="1"/>
    <col min="3586" max="3586" width="14.25" style="42" customWidth="1"/>
    <col min="3587" max="3587" width="6.625" style="42" customWidth="1"/>
    <col min="3588" max="3588" width="11.375" style="42" customWidth="1"/>
    <col min="3589" max="3589" width="9.625" style="42" customWidth="1"/>
    <col min="3590" max="3590" width="8" style="42" customWidth="1"/>
    <col min="3591" max="3591" width="11.375" style="42" customWidth="1"/>
    <col min="3592" max="3593" width="10" style="42" customWidth="1"/>
    <col min="3594" max="3594" width="9.625" style="42" customWidth="1"/>
    <col min="3595" max="3595" width="8.5" style="42" customWidth="1"/>
    <col min="3596" max="3596" width="11.375" style="42" customWidth="1"/>
    <col min="3597" max="3602" width="2.375" style="42" customWidth="1"/>
    <col min="3603" max="3606" width="3" style="42" customWidth="1"/>
    <col min="3607" max="3610" width="2.75" style="42" customWidth="1"/>
    <col min="3611" max="3616" width="2.375" style="42" customWidth="1"/>
    <col min="3617" max="3620" width="2.125" style="42" customWidth="1"/>
    <col min="3621" max="3840" width="8.375" style="42" customWidth="1"/>
    <col min="3841" max="3841" width="1.375" style="42" customWidth="1"/>
    <col min="3842" max="3842" width="14.25" style="42" customWidth="1"/>
    <col min="3843" max="3843" width="6.625" style="42" customWidth="1"/>
    <col min="3844" max="3844" width="11.375" style="42" customWidth="1"/>
    <col min="3845" max="3845" width="9.625" style="42" customWidth="1"/>
    <col min="3846" max="3846" width="8" style="42" customWidth="1"/>
    <col min="3847" max="3847" width="11.375" style="42" customWidth="1"/>
    <col min="3848" max="3849" width="10" style="42" customWidth="1"/>
    <col min="3850" max="3850" width="9.625" style="42" customWidth="1"/>
    <col min="3851" max="3851" width="8.5" style="42" customWidth="1"/>
    <col min="3852" max="3852" width="11.375" style="42" customWidth="1"/>
    <col min="3853" max="3858" width="2.375" style="42" customWidth="1"/>
    <col min="3859" max="3862" width="3" style="42" customWidth="1"/>
    <col min="3863" max="3866" width="2.75" style="42" customWidth="1"/>
    <col min="3867" max="3872" width="2.375" style="42" customWidth="1"/>
    <col min="3873" max="3876" width="2.125" style="42" customWidth="1"/>
    <col min="3877" max="4096" width="8.375" style="42" customWidth="1"/>
    <col min="4097" max="4097" width="1.375" style="42" customWidth="1"/>
    <col min="4098" max="4098" width="14.25" style="42" customWidth="1"/>
    <col min="4099" max="4099" width="6.625" style="42" customWidth="1"/>
    <col min="4100" max="4100" width="11.375" style="42" customWidth="1"/>
    <col min="4101" max="4101" width="9.625" style="42" customWidth="1"/>
    <col min="4102" max="4102" width="8" style="42" customWidth="1"/>
    <col min="4103" max="4103" width="11.375" style="42" customWidth="1"/>
    <col min="4104" max="4105" width="10" style="42" customWidth="1"/>
    <col min="4106" max="4106" width="9.625" style="42" customWidth="1"/>
    <col min="4107" max="4107" width="8.5" style="42" customWidth="1"/>
    <col min="4108" max="4108" width="11.375" style="42" customWidth="1"/>
    <col min="4109" max="4114" width="2.375" style="42" customWidth="1"/>
    <col min="4115" max="4118" width="3" style="42" customWidth="1"/>
    <col min="4119" max="4122" width="2.75" style="42" customWidth="1"/>
    <col min="4123" max="4128" width="2.375" style="42" customWidth="1"/>
    <col min="4129" max="4132" width="2.125" style="42" customWidth="1"/>
    <col min="4133" max="4352" width="8.375" style="42" customWidth="1"/>
    <col min="4353" max="4353" width="1.375" style="42" customWidth="1"/>
    <col min="4354" max="4354" width="14.25" style="42" customWidth="1"/>
    <col min="4355" max="4355" width="6.625" style="42" customWidth="1"/>
    <col min="4356" max="4356" width="11.375" style="42" customWidth="1"/>
    <col min="4357" max="4357" width="9.625" style="42" customWidth="1"/>
    <col min="4358" max="4358" width="8" style="42" customWidth="1"/>
    <col min="4359" max="4359" width="11.375" style="42" customWidth="1"/>
    <col min="4360" max="4361" width="10" style="42" customWidth="1"/>
    <col min="4362" max="4362" width="9.625" style="42" customWidth="1"/>
    <col min="4363" max="4363" width="8.5" style="42" customWidth="1"/>
    <col min="4364" max="4364" width="11.375" style="42" customWidth="1"/>
    <col min="4365" max="4370" width="2.375" style="42" customWidth="1"/>
    <col min="4371" max="4374" width="3" style="42" customWidth="1"/>
    <col min="4375" max="4378" width="2.75" style="42" customWidth="1"/>
    <col min="4379" max="4384" width="2.375" style="42" customWidth="1"/>
    <col min="4385" max="4388" width="2.125" style="42" customWidth="1"/>
    <col min="4389" max="4608" width="8.375" style="42" customWidth="1"/>
    <col min="4609" max="4609" width="1.375" style="42" customWidth="1"/>
    <col min="4610" max="4610" width="14.25" style="42" customWidth="1"/>
    <col min="4611" max="4611" width="6.625" style="42" customWidth="1"/>
    <col min="4612" max="4612" width="11.375" style="42" customWidth="1"/>
    <col min="4613" max="4613" width="9.625" style="42" customWidth="1"/>
    <col min="4614" max="4614" width="8" style="42" customWidth="1"/>
    <col min="4615" max="4615" width="11.375" style="42" customWidth="1"/>
    <col min="4616" max="4617" width="10" style="42" customWidth="1"/>
    <col min="4618" max="4618" width="9.625" style="42" customWidth="1"/>
    <col min="4619" max="4619" width="8.5" style="42" customWidth="1"/>
    <col min="4620" max="4620" width="11.375" style="42" customWidth="1"/>
    <col min="4621" max="4626" width="2.375" style="42" customWidth="1"/>
    <col min="4627" max="4630" width="3" style="42" customWidth="1"/>
    <col min="4631" max="4634" width="2.75" style="42" customWidth="1"/>
    <col min="4635" max="4640" width="2.375" style="42" customWidth="1"/>
    <col min="4641" max="4644" width="2.125" style="42" customWidth="1"/>
    <col min="4645" max="4864" width="8.375" style="42" customWidth="1"/>
    <col min="4865" max="4865" width="1.375" style="42" customWidth="1"/>
    <col min="4866" max="4866" width="14.25" style="42" customWidth="1"/>
    <col min="4867" max="4867" width="6.625" style="42" customWidth="1"/>
    <col min="4868" max="4868" width="11.375" style="42" customWidth="1"/>
    <col min="4869" max="4869" width="9.625" style="42" customWidth="1"/>
    <col min="4870" max="4870" width="8" style="42" customWidth="1"/>
    <col min="4871" max="4871" width="11.375" style="42" customWidth="1"/>
    <col min="4872" max="4873" width="10" style="42" customWidth="1"/>
    <col min="4874" max="4874" width="9.625" style="42" customWidth="1"/>
    <col min="4875" max="4875" width="8.5" style="42" customWidth="1"/>
    <col min="4876" max="4876" width="11.375" style="42" customWidth="1"/>
    <col min="4877" max="4882" width="2.375" style="42" customWidth="1"/>
    <col min="4883" max="4886" width="3" style="42" customWidth="1"/>
    <col min="4887" max="4890" width="2.75" style="42" customWidth="1"/>
    <col min="4891" max="4896" width="2.375" style="42" customWidth="1"/>
    <col min="4897" max="4900" width="2.125" style="42" customWidth="1"/>
    <col min="4901" max="5120" width="8.375" style="42" customWidth="1"/>
    <col min="5121" max="5121" width="1.375" style="42" customWidth="1"/>
    <col min="5122" max="5122" width="14.25" style="42" customWidth="1"/>
    <col min="5123" max="5123" width="6.625" style="42" customWidth="1"/>
    <col min="5124" max="5124" width="11.375" style="42" customWidth="1"/>
    <col min="5125" max="5125" width="9.625" style="42" customWidth="1"/>
    <col min="5126" max="5126" width="8" style="42" customWidth="1"/>
    <col min="5127" max="5127" width="11.375" style="42" customWidth="1"/>
    <col min="5128" max="5129" width="10" style="42" customWidth="1"/>
    <col min="5130" max="5130" width="9.625" style="42" customWidth="1"/>
    <col min="5131" max="5131" width="8.5" style="42" customWidth="1"/>
    <col min="5132" max="5132" width="11.375" style="42" customWidth="1"/>
    <col min="5133" max="5138" width="2.375" style="42" customWidth="1"/>
    <col min="5139" max="5142" width="3" style="42" customWidth="1"/>
    <col min="5143" max="5146" width="2.75" style="42" customWidth="1"/>
    <col min="5147" max="5152" width="2.375" style="42" customWidth="1"/>
    <col min="5153" max="5156" width="2.125" style="42" customWidth="1"/>
    <col min="5157" max="5376" width="8.375" style="42" customWidth="1"/>
    <col min="5377" max="5377" width="1.375" style="42" customWidth="1"/>
    <col min="5378" max="5378" width="14.25" style="42" customWidth="1"/>
    <col min="5379" max="5379" width="6.625" style="42" customWidth="1"/>
    <col min="5380" max="5380" width="11.375" style="42" customWidth="1"/>
    <col min="5381" max="5381" width="9.625" style="42" customWidth="1"/>
    <col min="5382" max="5382" width="8" style="42" customWidth="1"/>
    <col min="5383" max="5383" width="11.375" style="42" customWidth="1"/>
    <col min="5384" max="5385" width="10" style="42" customWidth="1"/>
    <col min="5386" max="5386" width="9.625" style="42" customWidth="1"/>
    <col min="5387" max="5387" width="8.5" style="42" customWidth="1"/>
    <col min="5388" max="5388" width="11.375" style="42" customWidth="1"/>
    <col min="5389" max="5394" width="2.375" style="42" customWidth="1"/>
    <col min="5395" max="5398" width="3" style="42" customWidth="1"/>
    <col min="5399" max="5402" width="2.75" style="42" customWidth="1"/>
    <col min="5403" max="5408" width="2.375" style="42" customWidth="1"/>
    <col min="5409" max="5412" width="2.125" style="42" customWidth="1"/>
    <col min="5413" max="5632" width="8.375" style="42" customWidth="1"/>
    <col min="5633" max="5633" width="1.375" style="42" customWidth="1"/>
    <col min="5634" max="5634" width="14.25" style="42" customWidth="1"/>
    <col min="5635" max="5635" width="6.625" style="42" customWidth="1"/>
    <col min="5636" max="5636" width="11.375" style="42" customWidth="1"/>
    <col min="5637" max="5637" width="9.625" style="42" customWidth="1"/>
    <col min="5638" max="5638" width="8" style="42" customWidth="1"/>
    <col min="5639" max="5639" width="11.375" style="42" customWidth="1"/>
    <col min="5640" max="5641" width="10" style="42" customWidth="1"/>
    <col min="5642" max="5642" width="9.625" style="42" customWidth="1"/>
    <col min="5643" max="5643" width="8.5" style="42" customWidth="1"/>
    <col min="5644" max="5644" width="11.375" style="42" customWidth="1"/>
    <col min="5645" max="5650" width="2.375" style="42" customWidth="1"/>
    <col min="5651" max="5654" width="3" style="42" customWidth="1"/>
    <col min="5655" max="5658" width="2.75" style="42" customWidth="1"/>
    <col min="5659" max="5664" width="2.375" style="42" customWidth="1"/>
    <col min="5665" max="5668" width="2.125" style="42" customWidth="1"/>
    <col min="5669" max="5888" width="8.375" style="42" customWidth="1"/>
    <col min="5889" max="5889" width="1.375" style="42" customWidth="1"/>
    <col min="5890" max="5890" width="14.25" style="42" customWidth="1"/>
    <col min="5891" max="5891" width="6.625" style="42" customWidth="1"/>
    <col min="5892" max="5892" width="11.375" style="42" customWidth="1"/>
    <col min="5893" max="5893" width="9.625" style="42" customWidth="1"/>
    <col min="5894" max="5894" width="8" style="42" customWidth="1"/>
    <col min="5895" max="5895" width="11.375" style="42" customWidth="1"/>
    <col min="5896" max="5897" width="10" style="42" customWidth="1"/>
    <col min="5898" max="5898" width="9.625" style="42" customWidth="1"/>
    <col min="5899" max="5899" width="8.5" style="42" customWidth="1"/>
    <col min="5900" max="5900" width="11.375" style="42" customWidth="1"/>
    <col min="5901" max="5906" width="2.375" style="42" customWidth="1"/>
    <col min="5907" max="5910" width="3" style="42" customWidth="1"/>
    <col min="5911" max="5914" width="2.75" style="42" customWidth="1"/>
    <col min="5915" max="5920" width="2.375" style="42" customWidth="1"/>
    <col min="5921" max="5924" width="2.125" style="42" customWidth="1"/>
    <col min="5925" max="6144" width="8.375" style="42" customWidth="1"/>
    <col min="6145" max="6145" width="1.375" style="42" customWidth="1"/>
    <col min="6146" max="6146" width="14.25" style="42" customWidth="1"/>
    <col min="6147" max="6147" width="6.625" style="42" customWidth="1"/>
    <col min="6148" max="6148" width="11.375" style="42" customWidth="1"/>
    <col min="6149" max="6149" width="9.625" style="42" customWidth="1"/>
    <col min="6150" max="6150" width="8" style="42" customWidth="1"/>
    <col min="6151" max="6151" width="11.375" style="42" customWidth="1"/>
    <col min="6152" max="6153" width="10" style="42" customWidth="1"/>
    <col min="6154" max="6154" width="9.625" style="42" customWidth="1"/>
    <col min="6155" max="6155" width="8.5" style="42" customWidth="1"/>
    <col min="6156" max="6156" width="11.375" style="42" customWidth="1"/>
    <col min="6157" max="6162" width="2.375" style="42" customWidth="1"/>
    <col min="6163" max="6166" width="3" style="42" customWidth="1"/>
    <col min="6167" max="6170" width="2.75" style="42" customWidth="1"/>
    <col min="6171" max="6176" width="2.375" style="42" customWidth="1"/>
    <col min="6177" max="6180" width="2.125" style="42" customWidth="1"/>
    <col min="6181" max="6400" width="8.375" style="42" customWidth="1"/>
    <col min="6401" max="6401" width="1.375" style="42" customWidth="1"/>
    <col min="6402" max="6402" width="14.25" style="42" customWidth="1"/>
    <col min="6403" max="6403" width="6.625" style="42" customWidth="1"/>
    <col min="6404" max="6404" width="11.375" style="42" customWidth="1"/>
    <col min="6405" max="6405" width="9.625" style="42" customWidth="1"/>
    <col min="6406" max="6406" width="8" style="42" customWidth="1"/>
    <col min="6407" max="6407" width="11.375" style="42" customWidth="1"/>
    <col min="6408" max="6409" width="10" style="42" customWidth="1"/>
    <col min="6410" max="6410" width="9.625" style="42" customWidth="1"/>
    <col min="6411" max="6411" width="8.5" style="42" customWidth="1"/>
    <col min="6412" max="6412" width="11.375" style="42" customWidth="1"/>
    <col min="6413" max="6418" width="2.375" style="42" customWidth="1"/>
    <col min="6419" max="6422" width="3" style="42" customWidth="1"/>
    <col min="6423" max="6426" width="2.75" style="42" customWidth="1"/>
    <col min="6427" max="6432" width="2.375" style="42" customWidth="1"/>
    <col min="6433" max="6436" width="2.125" style="42" customWidth="1"/>
    <col min="6437" max="6656" width="8.375" style="42" customWidth="1"/>
    <col min="6657" max="6657" width="1.375" style="42" customWidth="1"/>
    <col min="6658" max="6658" width="14.25" style="42" customWidth="1"/>
    <col min="6659" max="6659" width="6.625" style="42" customWidth="1"/>
    <col min="6660" max="6660" width="11.375" style="42" customWidth="1"/>
    <col min="6661" max="6661" width="9.625" style="42" customWidth="1"/>
    <col min="6662" max="6662" width="8" style="42" customWidth="1"/>
    <col min="6663" max="6663" width="11.375" style="42" customWidth="1"/>
    <col min="6664" max="6665" width="10" style="42" customWidth="1"/>
    <col min="6666" max="6666" width="9.625" style="42" customWidth="1"/>
    <col min="6667" max="6667" width="8.5" style="42" customWidth="1"/>
    <col min="6668" max="6668" width="11.375" style="42" customWidth="1"/>
    <col min="6669" max="6674" width="2.375" style="42" customWidth="1"/>
    <col min="6675" max="6678" width="3" style="42" customWidth="1"/>
    <col min="6679" max="6682" width="2.75" style="42" customWidth="1"/>
    <col min="6683" max="6688" width="2.375" style="42" customWidth="1"/>
    <col min="6689" max="6692" width="2.125" style="42" customWidth="1"/>
    <col min="6693" max="6912" width="8.375" style="42" customWidth="1"/>
    <col min="6913" max="6913" width="1.375" style="42" customWidth="1"/>
    <col min="6914" max="6914" width="14.25" style="42" customWidth="1"/>
    <col min="6915" max="6915" width="6.625" style="42" customWidth="1"/>
    <col min="6916" max="6916" width="11.375" style="42" customWidth="1"/>
    <col min="6917" max="6917" width="9.625" style="42" customWidth="1"/>
    <col min="6918" max="6918" width="8" style="42" customWidth="1"/>
    <col min="6919" max="6919" width="11.375" style="42" customWidth="1"/>
    <col min="6920" max="6921" width="10" style="42" customWidth="1"/>
    <col min="6922" max="6922" width="9.625" style="42" customWidth="1"/>
    <col min="6923" max="6923" width="8.5" style="42" customWidth="1"/>
    <col min="6924" max="6924" width="11.375" style="42" customWidth="1"/>
    <col min="6925" max="6930" width="2.375" style="42" customWidth="1"/>
    <col min="6931" max="6934" width="3" style="42" customWidth="1"/>
    <col min="6935" max="6938" width="2.75" style="42" customWidth="1"/>
    <col min="6939" max="6944" width="2.375" style="42" customWidth="1"/>
    <col min="6945" max="6948" width="2.125" style="42" customWidth="1"/>
    <col min="6949" max="7168" width="8.375" style="42" customWidth="1"/>
    <col min="7169" max="7169" width="1.375" style="42" customWidth="1"/>
    <col min="7170" max="7170" width="14.25" style="42" customWidth="1"/>
    <col min="7171" max="7171" width="6.625" style="42" customWidth="1"/>
    <col min="7172" max="7172" width="11.375" style="42" customWidth="1"/>
    <col min="7173" max="7173" width="9.625" style="42" customWidth="1"/>
    <col min="7174" max="7174" width="8" style="42" customWidth="1"/>
    <col min="7175" max="7175" width="11.375" style="42" customWidth="1"/>
    <col min="7176" max="7177" width="10" style="42" customWidth="1"/>
    <col min="7178" max="7178" width="9.625" style="42" customWidth="1"/>
    <col min="7179" max="7179" width="8.5" style="42" customWidth="1"/>
    <col min="7180" max="7180" width="11.375" style="42" customWidth="1"/>
    <col min="7181" max="7186" width="2.375" style="42" customWidth="1"/>
    <col min="7187" max="7190" width="3" style="42" customWidth="1"/>
    <col min="7191" max="7194" width="2.75" style="42" customWidth="1"/>
    <col min="7195" max="7200" width="2.375" style="42" customWidth="1"/>
    <col min="7201" max="7204" width="2.125" style="42" customWidth="1"/>
    <col min="7205" max="7424" width="8.375" style="42" customWidth="1"/>
    <col min="7425" max="7425" width="1.375" style="42" customWidth="1"/>
    <col min="7426" max="7426" width="14.25" style="42" customWidth="1"/>
    <col min="7427" max="7427" width="6.625" style="42" customWidth="1"/>
    <col min="7428" max="7428" width="11.375" style="42" customWidth="1"/>
    <col min="7429" max="7429" width="9.625" style="42" customWidth="1"/>
    <col min="7430" max="7430" width="8" style="42" customWidth="1"/>
    <col min="7431" max="7431" width="11.375" style="42" customWidth="1"/>
    <col min="7432" max="7433" width="10" style="42" customWidth="1"/>
    <col min="7434" max="7434" width="9.625" style="42" customWidth="1"/>
    <col min="7435" max="7435" width="8.5" style="42" customWidth="1"/>
    <col min="7436" max="7436" width="11.375" style="42" customWidth="1"/>
    <col min="7437" max="7442" width="2.375" style="42" customWidth="1"/>
    <col min="7443" max="7446" width="3" style="42" customWidth="1"/>
    <col min="7447" max="7450" width="2.75" style="42" customWidth="1"/>
    <col min="7451" max="7456" width="2.375" style="42" customWidth="1"/>
    <col min="7457" max="7460" width="2.125" style="42" customWidth="1"/>
    <col min="7461" max="7680" width="8.375" style="42" customWidth="1"/>
    <col min="7681" max="7681" width="1.375" style="42" customWidth="1"/>
    <col min="7682" max="7682" width="14.25" style="42" customWidth="1"/>
    <col min="7683" max="7683" width="6.625" style="42" customWidth="1"/>
    <col min="7684" max="7684" width="11.375" style="42" customWidth="1"/>
    <col min="7685" max="7685" width="9.625" style="42" customWidth="1"/>
    <col min="7686" max="7686" width="8" style="42" customWidth="1"/>
    <col min="7687" max="7687" width="11.375" style="42" customWidth="1"/>
    <col min="7688" max="7689" width="10" style="42" customWidth="1"/>
    <col min="7690" max="7690" width="9.625" style="42" customWidth="1"/>
    <col min="7691" max="7691" width="8.5" style="42" customWidth="1"/>
    <col min="7692" max="7692" width="11.375" style="42" customWidth="1"/>
    <col min="7693" max="7698" width="2.375" style="42" customWidth="1"/>
    <col min="7699" max="7702" width="3" style="42" customWidth="1"/>
    <col min="7703" max="7706" width="2.75" style="42" customWidth="1"/>
    <col min="7707" max="7712" width="2.375" style="42" customWidth="1"/>
    <col min="7713" max="7716" width="2.125" style="42" customWidth="1"/>
    <col min="7717" max="7936" width="8.375" style="42" customWidth="1"/>
    <col min="7937" max="7937" width="1.375" style="42" customWidth="1"/>
    <col min="7938" max="7938" width="14.25" style="42" customWidth="1"/>
    <col min="7939" max="7939" width="6.625" style="42" customWidth="1"/>
    <col min="7940" max="7940" width="11.375" style="42" customWidth="1"/>
    <col min="7941" max="7941" width="9.625" style="42" customWidth="1"/>
    <col min="7942" max="7942" width="8" style="42" customWidth="1"/>
    <col min="7943" max="7943" width="11.375" style="42" customWidth="1"/>
    <col min="7944" max="7945" width="10" style="42" customWidth="1"/>
    <col min="7946" max="7946" width="9.625" style="42" customWidth="1"/>
    <col min="7947" max="7947" width="8.5" style="42" customWidth="1"/>
    <col min="7948" max="7948" width="11.375" style="42" customWidth="1"/>
    <col min="7949" max="7954" width="2.375" style="42" customWidth="1"/>
    <col min="7955" max="7958" width="3" style="42" customWidth="1"/>
    <col min="7959" max="7962" width="2.75" style="42" customWidth="1"/>
    <col min="7963" max="7968" width="2.375" style="42" customWidth="1"/>
    <col min="7969" max="7972" width="2.125" style="42" customWidth="1"/>
    <col min="7973" max="8192" width="8.375" style="42" customWidth="1"/>
    <col min="8193" max="8193" width="1.375" style="42" customWidth="1"/>
    <col min="8194" max="8194" width="14.25" style="42" customWidth="1"/>
    <col min="8195" max="8195" width="6.625" style="42" customWidth="1"/>
    <col min="8196" max="8196" width="11.375" style="42" customWidth="1"/>
    <col min="8197" max="8197" width="9.625" style="42" customWidth="1"/>
    <col min="8198" max="8198" width="8" style="42" customWidth="1"/>
    <col min="8199" max="8199" width="11.375" style="42" customWidth="1"/>
    <col min="8200" max="8201" width="10" style="42" customWidth="1"/>
    <col min="8202" max="8202" width="9.625" style="42" customWidth="1"/>
    <col min="8203" max="8203" width="8.5" style="42" customWidth="1"/>
    <col min="8204" max="8204" width="11.375" style="42" customWidth="1"/>
    <col min="8205" max="8210" width="2.375" style="42" customWidth="1"/>
    <col min="8211" max="8214" width="3" style="42" customWidth="1"/>
    <col min="8215" max="8218" width="2.75" style="42" customWidth="1"/>
    <col min="8219" max="8224" width="2.375" style="42" customWidth="1"/>
    <col min="8225" max="8228" width="2.125" style="42" customWidth="1"/>
    <col min="8229" max="8448" width="8.375" style="42" customWidth="1"/>
    <col min="8449" max="8449" width="1.375" style="42" customWidth="1"/>
    <col min="8450" max="8450" width="14.25" style="42" customWidth="1"/>
    <col min="8451" max="8451" width="6.625" style="42" customWidth="1"/>
    <col min="8452" max="8452" width="11.375" style="42" customWidth="1"/>
    <col min="8453" max="8453" width="9.625" style="42" customWidth="1"/>
    <col min="8454" max="8454" width="8" style="42" customWidth="1"/>
    <col min="8455" max="8455" width="11.375" style="42" customWidth="1"/>
    <col min="8456" max="8457" width="10" style="42" customWidth="1"/>
    <col min="8458" max="8458" width="9.625" style="42" customWidth="1"/>
    <col min="8459" max="8459" width="8.5" style="42" customWidth="1"/>
    <col min="8460" max="8460" width="11.375" style="42" customWidth="1"/>
    <col min="8461" max="8466" width="2.375" style="42" customWidth="1"/>
    <col min="8467" max="8470" width="3" style="42" customWidth="1"/>
    <col min="8471" max="8474" width="2.75" style="42" customWidth="1"/>
    <col min="8475" max="8480" width="2.375" style="42" customWidth="1"/>
    <col min="8481" max="8484" width="2.125" style="42" customWidth="1"/>
    <col min="8485" max="8704" width="8.375" style="42" customWidth="1"/>
    <col min="8705" max="8705" width="1.375" style="42" customWidth="1"/>
    <col min="8706" max="8706" width="14.25" style="42" customWidth="1"/>
    <col min="8707" max="8707" width="6.625" style="42" customWidth="1"/>
    <col min="8708" max="8708" width="11.375" style="42" customWidth="1"/>
    <col min="8709" max="8709" width="9.625" style="42" customWidth="1"/>
    <col min="8710" max="8710" width="8" style="42" customWidth="1"/>
    <col min="8711" max="8711" width="11.375" style="42" customWidth="1"/>
    <col min="8712" max="8713" width="10" style="42" customWidth="1"/>
    <col min="8714" max="8714" width="9.625" style="42" customWidth="1"/>
    <col min="8715" max="8715" width="8.5" style="42" customWidth="1"/>
    <col min="8716" max="8716" width="11.375" style="42" customWidth="1"/>
    <col min="8717" max="8722" width="2.375" style="42" customWidth="1"/>
    <col min="8723" max="8726" width="3" style="42" customWidth="1"/>
    <col min="8727" max="8730" width="2.75" style="42" customWidth="1"/>
    <col min="8731" max="8736" width="2.375" style="42" customWidth="1"/>
    <col min="8737" max="8740" width="2.125" style="42" customWidth="1"/>
    <col min="8741" max="8960" width="8.375" style="42" customWidth="1"/>
    <col min="8961" max="8961" width="1.375" style="42" customWidth="1"/>
    <col min="8962" max="8962" width="14.25" style="42" customWidth="1"/>
    <col min="8963" max="8963" width="6.625" style="42" customWidth="1"/>
    <col min="8964" max="8964" width="11.375" style="42" customWidth="1"/>
    <col min="8965" max="8965" width="9.625" style="42" customWidth="1"/>
    <col min="8966" max="8966" width="8" style="42" customWidth="1"/>
    <col min="8967" max="8967" width="11.375" style="42" customWidth="1"/>
    <col min="8968" max="8969" width="10" style="42" customWidth="1"/>
    <col min="8970" max="8970" width="9.625" style="42" customWidth="1"/>
    <col min="8971" max="8971" width="8.5" style="42" customWidth="1"/>
    <col min="8972" max="8972" width="11.375" style="42" customWidth="1"/>
    <col min="8973" max="8978" width="2.375" style="42" customWidth="1"/>
    <col min="8979" max="8982" width="3" style="42" customWidth="1"/>
    <col min="8983" max="8986" width="2.75" style="42" customWidth="1"/>
    <col min="8987" max="8992" width="2.375" style="42" customWidth="1"/>
    <col min="8993" max="8996" width="2.125" style="42" customWidth="1"/>
    <col min="8997" max="9216" width="8.375" style="42" customWidth="1"/>
    <col min="9217" max="9217" width="1.375" style="42" customWidth="1"/>
    <col min="9218" max="9218" width="14.25" style="42" customWidth="1"/>
    <col min="9219" max="9219" width="6.625" style="42" customWidth="1"/>
    <col min="9220" max="9220" width="11.375" style="42" customWidth="1"/>
    <col min="9221" max="9221" width="9.625" style="42" customWidth="1"/>
    <col min="9222" max="9222" width="8" style="42" customWidth="1"/>
    <col min="9223" max="9223" width="11.375" style="42" customWidth="1"/>
    <col min="9224" max="9225" width="10" style="42" customWidth="1"/>
    <col min="9226" max="9226" width="9.625" style="42" customWidth="1"/>
    <col min="9227" max="9227" width="8.5" style="42" customWidth="1"/>
    <col min="9228" max="9228" width="11.375" style="42" customWidth="1"/>
    <col min="9229" max="9234" width="2.375" style="42" customWidth="1"/>
    <col min="9235" max="9238" width="3" style="42" customWidth="1"/>
    <col min="9239" max="9242" width="2.75" style="42" customWidth="1"/>
    <col min="9243" max="9248" width="2.375" style="42" customWidth="1"/>
    <col min="9249" max="9252" width="2.125" style="42" customWidth="1"/>
    <col min="9253" max="9472" width="8.375" style="42" customWidth="1"/>
    <col min="9473" max="9473" width="1.375" style="42" customWidth="1"/>
    <col min="9474" max="9474" width="14.25" style="42" customWidth="1"/>
    <col min="9475" max="9475" width="6.625" style="42" customWidth="1"/>
    <col min="9476" max="9476" width="11.375" style="42" customWidth="1"/>
    <col min="9477" max="9477" width="9.625" style="42" customWidth="1"/>
    <col min="9478" max="9478" width="8" style="42" customWidth="1"/>
    <col min="9479" max="9479" width="11.375" style="42" customWidth="1"/>
    <col min="9480" max="9481" width="10" style="42" customWidth="1"/>
    <col min="9482" max="9482" width="9.625" style="42" customWidth="1"/>
    <col min="9483" max="9483" width="8.5" style="42" customWidth="1"/>
    <col min="9484" max="9484" width="11.375" style="42" customWidth="1"/>
    <col min="9485" max="9490" width="2.375" style="42" customWidth="1"/>
    <col min="9491" max="9494" width="3" style="42" customWidth="1"/>
    <col min="9495" max="9498" width="2.75" style="42" customWidth="1"/>
    <col min="9499" max="9504" width="2.375" style="42" customWidth="1"/>
    <col min="9505" max="9508" width="2.125" style="42" customWidth="1"/>
    <col min="9509" max="9728" width="8.375" style="42" customWidth="1"/>
    <col min="9729" max="9729" width="1.375" style="42" customWidth="1"/>
    <col min="9730" max="9730" width="14.25" style="42" customWidth="1"/>
    <col min="9731" max="9731" width="6.625" style="42" customWidth="1"/>
    <col min="9732" max="9732" width="11.375" style="42" customWidth="1"/>
    <col min="9733" max="9733" width="9.625" style="42" customWidth="1"/>
    <col min="9734" max="9734" width="8" style="42" customWidth="1"/>
    <col min="9735" max="9735" width="11.375" style="42" customWidth="1"/>
    <col min="9736" max="9737" width="10" style="42" customWidth="1"/>
    <col min="9738" max="9738" width="9.625" style="42" customWidth="1"/>
    <col min="9739" max="9739" width="8.5" style="42" customWidth="1"/>
    <col min="9740" max="9740" width="11.375" style="42" customWidth="1"/>
    <col min="9741" max="9746" width="2.375" style="42" customWidth="1"/>
    <col min="9747" max="9750" width="3" style="42" customWidth="1"/>
    <col min="9751" max="9754" width="2.75" style="42" customWidth="1"/>
    <col min="9755" max="9760" width="2.375" style="42" customWidth="1"/>
    <col min="9761" max="9764" width="2.125" style="42" customWidth="1"/>
    <col min="9765" max="9984" width="8.375" style="42" customWidth="1"/>
    <col min="9985" max="9985" width="1.375" style="42" customWidth="1"/>
    <col min="9986" max="9986" width="14.25" style="42" customWidth="1"/>
    <col min="9987" max="9987" width="6.625" style="42" customWidth="1"/>
    <col min="9988" max="9988" width="11.375" style="42" customWidth="1"/>
    <col min="9989" max="9989" width="9.625" style="42" customWidth="1"/>
    <col min="9990" max="9990" width="8" style="42" customWidth="1"/>
    <col min="9991" max="9991" width="11.375" style="42" customWidth="1"/>
    <col min="9992" max="9993" width="10" style="42" customWidth="1"/>
    <col min="9994" max="9994" width="9.625" style="42" customWidth="1"/>
    <col min="9995" max="9995" width="8.5" style="42" customWidth="1"/>
    <col min="9996" max="9996" width="11.375" style="42" customWidth="1"/>
    <col min="9997" max="10002" width="2.375" style="42" customWidth="1"/>
    <col min="10003" max="10006" width="3" style="42" customWidth="1"/>
    <col min="10007" max="10010" width="2.75" style="42" customWidth="1"/>
    <col min="10011" max="10016" width="2.375" style="42" customWidth="1"/>
    <col min="10017" max="10020" width="2.125" style="42" customWidth="1"/>
    <col min="10021" max="10240" width="8.375" style="42" customWidth="1"/>
    <col min="10241" max="10241" width="1.375" style="42" customWidth="1"/>
    <col min="10242" max="10242" width="14.25" style="42" customWidth="1"/>
    <col min="10243" max="10243" width="6.625" style="42" customWidth="1"/>
    <col min="10244" max="10244" width="11.375" style="42" customWidth="1"/>
    <col min="10245" max="10245" width="9.625" style="42" customWidth="1"/>
    <col min="10246" max="10246" width="8" style="42" customWidth="1"/>
    <col min="10247" max="10247" width="11.375" style="42" customWidth="1"/>
    <col min="10248" max="10249" width="10" style="42" customWidth="1"/>
    <col min="10250" max="10250" width="9.625" style="42" customWidth="1"/>
    <col min="10251" max="10251" width="8.5" style="42" customWidth="1"/>
    <col min="10252" max="10252" width="11.375" style="42" customWidth="1"/>
    <col min="10253" max="10258" width="2.375" style="42" customWidth="1"/>
    <col min="10259" max="10262" width="3" style="42" customWidth="1"/>
    <col min="10263" max="10266" width="2.75" style="42" customWidth="1"/>
    <col min="10267" max="10272" width="2.375" style="42" customWidth="1"/>
    <col min="10273" max="10276" width="2.125" style="42" customWidth="1"/>
    <col min="10277" max="10496" width="8.375" style="42" customWidth="1"/>
    <col min="10497" max="10497" width="1.375" style="42" customWidth="1"/>
    <col min="10498" max="10498" width="14.25" style="42" customWidth="1"/>
    <col min="10499" max="10499" width="6.625" style="42" customWidth="1"/>
    <col min="10500" max="10500" width="11.375" style="42" customWidth="1"/>
    <col min="10501" max="10501" width="9.625" style="42" customWidth="1"/>
    <col min="10502" max="10502" width="8" style="42" customWidth="1"/>
    <col min="10503" max="10503" width="11.375" style="42" customWidth="1"/>
    <col min="10504" max="10505" width="10" style="42" customWidth="1"/>
    <col min="10506" max="10506" width="9.625" style="42" customWidth="1"/>
    <col min="10507" max="10507" width="8.5" style="42" customWidth="1"/>
    <col min="10508" max="10508" width="11.375" style="42" customWidth="1"/>
    <col min="10509" max="10514" width="2.375" style="42" customWidth="1"/>
    <col min="10515" max="10518" width="3" style="42" customWidth="1"/>
    <col min="10519" max="10522" width="2.75" style="42" customWidth="1"/>
    <col min="10523" max="10528" width="2.375" style="42" customWidth="1"/>
    <col min="10529" max="10532" width="2.125" style="42" customWidth="1"/>
    <col min="10533" max="10752" width="8.375" style="42" customWidth="1"/>
    <col min="10753" max="10753" width="1.375" style="42" customWidth="1"/>
    <col min="10754" max="10754" width="14.25" style="42" customWidth="1"/>
    <col min="10755" max="10755" width="6.625" style="42" customWidth="1"/>
    <col min="10756" max="10756" width="11.375" style="42" customWidth="1"/>
    <col min="10757" max="10757" width="9.625" style="42" customWidth="1"/>
    <col min="10758" max="10758" width="8" style="42" customWidth="1"/>
    <col min="10759" max="10759" width="11.375" style="42" customWidth="1"/>
    <col min="10760" max="10761" width="10" style="42" customWidth="1"/>
    <col min="10762" max="10762" width="9.625" style="42" customWidth="1"/>
    <col min="10763" max="10763" width="8.5" style="42" customWidth="1"/>
    <col min="10764" max="10764" width="11.375" style="42" customWidth="1"/>
    <col min="10765" max="10770" width="2.375" style="42" customWidth="1"/>
    <col min="10771" max="10774" width="3" style="42" customWidth="1"/>
    <col min="10775" max="10778" width="2.75" style="42" customWidth="1"/>
    <col min="10779" max="10784" width="2.375" style="42" customWidth="1"/>
    <col min="10785" max="10788" width="2.125" style="42" customWidth="1"/>
    <col min="10789" max="11008" width="8.375" style="42" customWidth="1"/>
    <col min="11009" max="11009" width="1.375" style="42" customWidth="1"/>
    <col min="11010" max="11010" width="14.25" style="42" customWidth="1"/>
    <col min="11011" max="11011" width="6.625" style="42" customWidth="1"/>
    <col min="11012" max="11012" width="11.375" style="42" customWidth="1"/>
    <col min="11013" max="11013" width="9.625" style="42" customWidth="1"/>
    <col min="11014" max="11014" width="8" style="42" customWidth="1"/>
    <col min="11015" max="11015" width="11.375" style="42" customWidth="1"/>
    <col min="11016" max="11017" width="10" style="42" customWidth="1"/>
    <col min="11018" max="11018" width="9.625" style="42" customWidth="1"/>
    <col min="11019" max="11019" width="8.5" style="42" customWidth="1"/>
    <col min="11020" max="11020" width="11.375" style="42" customWidth="1"/>
    <col min="11021" max="11026" width="2.375" style="42" customWidth="1"/>
    <col min="11027" max="11030" width="3" style="42" customWidth="1"/>
    <col min="11031" max="11034" width="2.75" style="42" customWidth="1"/>
    <col min="11035" max="11040" width="2.375" style="42" customWidth="1"/>
    <col min="11041" max="11044" width="2.125" style="42" customWidth="1"/>
    <col min="11045" max="11264" width="8.375" style="42" customWidth="1"/>
    <col min="11265" max="11265" width="1.375" style="42" customWidth="1"/>
    <col min="11266" max="11266" width="14.25" style="42" customWidth="1"/>
    <col min="11267" max="11267" width="6.625" style="42" customWidth="1"/>
    <col min="11268" max="11268" width="11.375" style="42" customWidth="1"/>
    <col min="11269" max="11269" width="9.625" style="42" customWidth="1"/>
    <col min="11270" max="11270" width="8" style="42" customWidth="1"/>
    <col min="11271" max="11271" width="11.375" style="42" customWidth="1"/>
    <col min="11272" max="11273" width="10" style="42" customWidth="1"/>
    <col min="11274" max="11274" width="9.625" style="42" customWidth="1"/>
    <col min="11275" max="11275" width="8.5" style="42" customWidth="1"/>
    <col min="11276" max="11276" width="11.375" style="42" customWidth="1"/>
    <col min="11277" max="11282" width="2.375" style="42" customWidth="1"/>
    <col min="11283" max="11286" width="3" style="42" customWidth="1"/>
    <col min="11287" max="11290" width="2.75" style="42" customWidth="1"/>
    <col min="11291" max="11296" width="2.375" style="42" customWidth="1"/>
    <col min="11297" max="11300" width="2.125" style="42" customWidth="1"/>
    <col min="11301" max="11520" width="8.375" style="42" customWidth="1"/>
    <col min="11521" max="11521" width="1.375" style="42" customWidth="1"/>
    <col min="11522" max="11522" width="14.25" style="42" customWidth="1"/>
    <col min="11523" max="11523" width="6.625" style="42" customWidth="1"/>
    <col min="11524" max="11524" width="11.375" style="42" customWidth="1"/>
    <col min="11525" max="11525" width="9.625" style="42" customWidth="1"/>
    <col min="11526" max="11526" width="8" style="42" customWidth="1"/>
    <col min="11527" max="11527" width="11.375" style="42" customWidth="1"/>
    <col min="11528" max="11529" width="10" style="42" customWidth="1"/>
    <col min="11530" max="11530" width="9.625" style="42" customWidth="1"/>
    <col min="11531" max="11531" width="8.5" style="42" customWidth="1"/>
    <col min="11532" max="11532" width="11.375" style="42" customWidth="1"/>
    <col min="11533" max="11538" width="2.375" style="42" customWidth="1"/>
    <col min="11539" max="11542" width="3" style="42" customWidth="1"/>
    <col min="11543" max="11546" width="2.75" style="42" customWidth="1"/>
    <col min="11547" max="11552" width="2.375" style="42" customWidth="1"/>
    <col min="11553" max="11556" width="2.125" style="42" customWidth="1"/>
    <col min="11557" max="11776" width="8.375" style="42" customWidth="1"/>
    <col min="11777" max="11777" width="1.375" style="42" customWidth="1"/>
    <col min="11778" max="11778" width="14.25" style="42" customWidth="1"/>
    <col min="11779" max="11779" width="6.625" style="42" customWidth="1"/>
    <col min="11780" max="11780" width="11.375" style="42" customWidth="1"/>
    <col min="11781" max="11781" width="9.625" style="42" customWidth="1"/>
    <col min="11782" max="11782" width="8" style="42" customWidth="1"/>
    <col min="11783" max="11783" width="11.375" style="42" customWidth="1"/>
    <col min="11784" max="11785" width="10" style="42" customWidth="1"/>
    <col min="11786" max="11786" width="9.625" style="42" customWidth="1"/>
    <col min="11787" max="11787" width="8.5" style="42" customWidth="1"/>
    <col min="11788" max="11788" width="11.375" style="42" customWidth="1"/>
    <col min="11789" max="11794" width="2.375" style="42" customWidth="1"/>
    <col min="11795" max="11798" width="3" style="42" customWidth="1"/>
    <col min="11799" max="11802" width="2.75" style="42" customWidth="1"/>
    <col min="11803" max="11808" width="2.375" style="42" customWidth="1"/>
    <col min="11809" max="11812" width="2.125" style="42" customWidth="1"/>
    <col min="11813" max="12032" width="8.375" style="42" customWidth="1"/>
    <col min="12033" max="12033" width="1.375" style="42" customWidth="1"/>
    <col min="12034" max="12034" width="14.25" style="42" customWidth="1"/>
    <col min="12035" max="12035" width="6.625" style="42" customWidth="1"/>
    <col min="12036" max="12036" width="11.375" style="42" customWidth="1"/>
    <col min="12037" max="12037" width="9.625" style="42" customWidth="1"/>
    <col min="12038" max="12038" width="8" style="42" customWidth="1"/>
    <col min="12039" max="12039" width="11.375" style="42" customWidth="1"/>
    <col min="12040" max="12041" width="10" style="42" customWidth="1"/>
    <col min="12042" max="12042" width="9.625" style="42" customWidth="1"/>
    <col min="12043" max="12043" width="8.5" style="42" customWidth="1"/>
    <col min="12044" max="12044" width="11.375" style="42" customWidth="1"/>
    <col min="12045" max="12050" width="2.375" style="42" customWidth="1"/>
    <col min="12051" max="12054" width="3" style="42" customWidth="1"/>
    <col min="12055" max="12058" width="2.75" style="42" customWidth="1"/>
    <col min="12059" max="12064" width="2.375" style="42" customWidth="1"/>
    <col min="12065" max="12068" width="2.125" style="42" customWidth="1"/>
    <col min="12069" max="12288" width="8.375" style="42" customWidth="1"/>
    <col min="12289" max="12289" width="1.375" style="42" customWidth="1"/>
    <col min="12290" max="12290" width="14.25" style="42" customWidth="1"/>
    <col min="12291" max="12291" width="6.625" style="42" customWidth="1"/>
    <col min="12292" max="12292" width="11.375" style="42" customWidth="1"/>
    <col min="12293" max="12293" width="9.625" style="42" customWidth="1"/>
    <col min="12294" max="12294" width="8" style="42" customWidth="1"/>
    <col min="12295" max="12295" width="11.375" style="42" customWidth="1"/>
    <col min="12296" max="12297" width="10" style="42" customWidth="1"/>
    <col min="12298" max="12298" width="9.625" style="42" customWidth="1"/>
    <col min="12299" max="12299" width="8.5" style="42" customWidth="1"/>
    <col min="12300" max="12300" width="11.375" style="42" customWidth="1"/>
    <col min="12301" max="12306" width="2.375" style="42" customWidth="1"/>
    <col min="12307" max="12310" width="3" style="42" customWidth="1"/>
    <col min="12311" max="12314" width="2.75" style="42" customWidth="1"/>
    <col min="12315" max="12320" width="2.375" style="42" customWidth="1"/>
    <col min="12321" max="12324" width="2.125" style="42" customWidth="1"/>
    <col min="12325" max="12544" width="8.375" style="42" customWidth="1"/>
    <col min="12545" max="12545" width="1.375" style="42" customWidth="1"/>
    <col min="12546" max="12546" width="14.25" style="42" customWidth="1"/>
    <col min="12547" max="12547" width="6.625" style="42" customWidth="1"/>
    <col min="12548" max="12548" width="11.375" style="42" customWidth="1"/>
    <col min="12549" max="12549" width="9.625" style="42" customWidth="1"/>
    <col min="12550" max="12550" width="8" style="42" customWidth="1"/>
    <col min="12551" max="12551" width="11.375" style="42" customWidth="1"/>
    <col min="12552" max="12553" width="10" style="42" customWidth="1"/>
    <col min="12554" max="12554" width="9.625" style="42" customWidth="1"/>
    <col min="12555" max="12555" width="8.5" style="42" customWidth="1"/>
    <col min="12556" max="12556" width="11.375" style="42" customWidth="1"/>
    <col min="12557" max="12562" width="2.375" style="42" customWidth="1"/>
    <col min="12563" max="12566" width="3" style="42" customWidth="1"/>
    <col min="12567" max="12570" width="2.75" style="42" customWidth="1"/>
    <col min="12571" max="12576" width="2.375" style="42" customWidth="1"/>
    <col min="12577" max="12580" width="2.125" style="42" customWidth="1"/>
    <col min="12581" max="12800" width="8.375" style="42" customWidth="1"/>
    <col min="12801" max="12801" width="1.375" style="42" customWidth="1"/>
    <col min="12802" max="12802" width="14.25" style="42" customWidth="1"/>
    <col min="12803" max="12803" width="6.625" style="42" customWidth="1"/>
    <col min="12804" max="12804" width="11.375" style="42" customWidth="1"/>
    <col min="12805" max="12805" width="9.625" style="42" customWidth="1"/>
    <col min="12806" max="12806" width="8" style="42" customWidth="1"/>
    <col min="12807" max="12807" width="11.375" style="42" customWidth="1"/>
    <col min="12808" max="12809" width="10" style="42" customWidth="1"/>
    <col min="12810" max="12810" width="9.625" style="42" customWidth="1"/>
    <col min="12811" max="12811" width="8.5" style="42" customWidth="1"/>
    <col min="12812" max="12812" width="11.375" style="42" customWidth="1"/>
    <col min="12813" max="12818" width="2.375" style="42" customWidth="1"/>
    <col min="12819" max="12822" width="3" style="42" customWidth="1"/>
    <col min="12823" max="12826" width="2.75" style="42" customWidth="1"/>
    <col min="12827" max="12832" width="2.375" style="42" customWidth="1"/>
    <col min="12833" max="12836" width="2.125" style="42" customWidth="1"/>
    <col min="12837" max="13056" width="8.375" style="42" customWidth="1"/>
    <col min="13057" max="13057" width="1.375" style="42" customWidth="1"/>
    <col min="13058" max="13058" width="14.25" style="42" customWidth="1"/>
    <col min="13059" max="13059" width="6.625" style="42" customWidth="1"/>
    <col min="13060" max="13060" width="11.375" style="42" customWidth="1"/>
    <col min="13061" max="13061" width="9.625" style="42" customWidth="1"/>
    <col min="13062" max="13062" width="8" style="42" customWidth="1"/>
    <col min="13063" max="13063" width="11.375" style="42" customWidth="1"/>
    <col min="13064" max="13065" width="10" style="42" customWidth="1"/>
    <col min="13066" max="13066" width="9.625" style="42" customWidth="1"/>
    <col min="13067" max="13067" width="8.5" style="42" customWidth="1"/>
    <col min="13068" max="13068" width="11.375" style="42" customWidth="1"/>
    <col min="13069" max="13074" width="2.375" style="42" customWidth="1"/>
    <col min="13075" max="13078" width="3" style="42" customWidth="1"/>
    <col min="13079" max="13082" width="2.75" style="42" customWidth="1"/>
    <col min="13083" max="13088" width="2.375" style="42" customWidth="1"/>
    <col min="13089" max="13092" width="2.125" style="42" customWidth="1"/>
    <col min="13093" max="13312" width="8.375" style="42" customWidth="1"/>
    <col min="13313" max="13313" width="1.375" style="42" customWidth="1"/>
    <col min="13314" max="13314" width="14.25" style="42" customWidth="1"/>
    <col min="13315" max="13315" width="6.625" style="42" customWidth="1"/>
    <col min="13316" max="13316" width="11.375" style="42" customWidth="1"/>
    <col min="13317" max="13317" width="9.625" style="42" customWidth="1"/>
    <col min="13318" max="13318" width="8" style="42" customWidth="1"/>
    <col min="13319" max="13319" width="11.375" style="42" customWidth="1"/>
    <col min="13320" max="13321" width="10" style="42" customWidth="1"/>
    <col min="13322" max="13322" width="9.625" style="42" customWidth="1"/>
    <col min="13323" max="13323" width="8.5" style="42" customWidth="1"/>
    <col min="13324" max="13324" width="11.375" style="42" customWidth="1"/>
    <col min="13325" max="13330" width="2.375" style="42" customWidth="1"/>
    <col min="13331" max="13334" width="3" style="42" customWidth="1"/>
    <col min="13335" max="13338" width="2.75" style="42" customWidth="1"/>
    <col min="13339" max="13344" width="2.375" style="42" customWidth="1"/>
    <col min="13345" max="13348" width="2.125" style="42" customWidth="1"/>
    <col min="13349" max="13568" width="8.375" style="42" customWidth="1"/>
    <col min="13569" max="13569" width="1.375" style="42" customWidth="1"/>
    <col min="13570" max="13570" width="14.25" style="42" customWidth="1"/>
    <col min="13571" max="13571" width="6.625" style="42" customWidth="1"/>
    <col min="13572" max="13572" width="11.375" style="42" customWidth="1"/>
    <col min="13573" max="13573" width="9.625" style="42" customWidth="1"/>
    <col min="13574" max="13574" width="8" style="42" customWidth="1"/>
    <col min="13575" max="13575" width="11.375" style="42" customWidth="1"/>
    <col min="13576" max="13577" width="10" style="42" customWidth="1"/>
    <col min="13578" max="13578" width="9.625" style="42" customWidth="1"/>
    <col min="13579" max="13579" width="8.5" style="42" customWidth="1"/>
    <col min="13580" max="13580" width="11.375" style="42" customWidth="1"/>
    <col min="13581" max="13586" width="2.375" style="42" customWidth="1"/>
    <col min="13587" max="13590" width="3" style="42" customWidth="1"/>
    <col min="13591" max="13594" width="2.75" style="42" customWidth="1"/>
    <col min="13595" max="13600" width="2.375" style="42" customWidth="1"/>
    <col min="13601" max="13604" width="2.125" style="42" customWidth="1"/>
    <col min="13605" max="13824" width="8.375" style="42" customWidth="1"/>
    <col min="13825" max="13825" width="1.375" style="42" customWidth="1"/>
    <col min="13826" max="13826" width="14.25" style="42" customWidth="1"/>
    <col min="13827" max="13827" width="6.625" style="42" customWidth="1"/>
    <col min="13828" max="13828" width="11.375" style="42" customWidth="1"/>
    <col min="13829" max="13829" width="9.625" style="42" customWidth="1"/>
    <col min="13830" max="13830" width="8" style="42" customWidth="1"/>
    <col min="13831" max="13831" width="11.375" style="42" customWidth="1"/>
    <col min="13832" max="13833" width="10" style="42" customWidth="1"/>
    <col min="13834" max="13834" width="9.625" style="42" customWidth="1"/>
    <col min="13835" max="13835" width="8.5" style="42" customWidth="1"/>
    <col min="13836" max="13836" width="11.375" style="42" customWidth="1"/>
    <col min="13837" max="13842" width="2.375" style="42" customWidth="1"/>
    <col min="13843" max="13846" width="3" style="42" customWidth="1"/>
    <col min="13847" max="13850" width="2.75" style="42" customWidth="1"/>
    <col min="13851" max="13856" width="2.375" style="42" customWidth="1"/>
    <col min="13857" max="13860" width="2.125" style="42" customWidth="1"/>
    <col min="13861" max="14080" width="8.375" style="42" customWidth="1"/>
    <col min="14081" max="14081" width="1.375" style="42" customWidth="1"/>
    <col min="14082" max="14082" width="14.25" style="42" customWidth="1"/>
    <col min="14083" max="14083" width="6.625" style="42" customWidth="1"/>
    <col min="14084" max="14084" width="11.375" style="42" customWidth="1"/>
    <col min="14085" max="14085" width="9.625" style="42" customWidth="1"/>
    <col min="14086" max="14086" width="8" style="42" customWidth="1"/>
    <col min="14087" max="14087" width="11.375" style="42" customWidth="1"/>
    <col min="14088" max="14089" width="10" style="42" customWidth="1"/>
    <col min="14090" max="14090" width="9.625" style="42" customWidth="1"/>
    <col min="14091" max="14091" width="8.5" style="42" customWidth="1"/>
    <col min="14092" max="14092" width="11.375" style="42" customWidth="1"/>
    <col min="14093" max="14098" width="2.375" style="42" customWidth="1"/>
    <col min="14099" max="14102" width="3" style="42" customWidth="1"/>
    <col min="14103" max="14106" width="2.75" style="42" customWidth="1"/>
    <col min="14107" max="14112" width="2.375" style="42" customWidth="1"/>
    <col min="14113" max="14116" width="2.125" style="42" customWidth="1"/>
    <col min="14117" max="14336" width="8.375" style="42" customWidth="1"/>
    <col min="14337" max="14337" width="1.375" style="42" customWidth="1"/>
    <col min="14338" max="14338" width="14.25" style="42" customWidth="1"/>
    <col min="14339" max="14339" width="6.625" style="42" customWidth="1"/>
    <col min="14340" max="14340" width="11.375" style="42" customWidth="1"/>
    <col min="14341" max="14341" width="9.625" style="42" customWidth="1"/>
    <col min="14342" max="14342" width="8" style="42" customWidth="1"/>
    <col min="14343" max="14343" width="11.375" style="42" customWidth="1"/>
    <col min="14344" max="14345" width="10" style="42" customWidth="1"/>
    <col min="14346" max="14346" width="9.625" style="42" customWidth="1"/>
    <col min="14347" max="14347" width="8.5" style="42" customWidth="1"/>
    <col min="14348" max="14348" width="11.375" style="42" customWidth="1"/>
    <col min="14349" max="14354" width="2.375" style="42" customWidth="1"/>
    <col min="14355" max="14358" width="3" style="42" customWidth="1"/>
    <col min="14359" max="14362" width="2.75" style="42" customWidth="1"/>
    <col min="14363" max="14368" width="2.375" style="42" customWidth="1"/>
    <col min="14369" max="14372" width="2.125" style="42" customWidth="1"/>
    <col min="14373" max="14592" width="8.375" style="42" customWidth="1"/>
    <col min="14593" max="14593" width="1.375" style="42" customWidth="1"/>
    <col min="14594" max="14594" width="14.25" style="42" customWidth="1"/>
    <col min="14595" max="14595" width="6.625" style="42" customWidth="1"/>
    <col min="14596" max="14596" width="11.375" style="42" customWidth="1"/>
    <col min="14597" max="14597" width="9.625" style="42" customWidth="1"/>
    <col min="14598" max="14598" width="8" style="42" customWidth="1"/>
    <col min="14599" max="14599" width="11.375" style="42" customWidth="1"/>
    <col min="14600" max="14601" width="10" style="42" customWidth="1"/>
    <col min="14602" max="14602" width="9.625" style="42" customWidth="1"/>
    <col min="14603" max="14603" width="8.5" style="42" customWidth="1"/>
    <col min="14604" max="14604" width="11.375" style="42" customWidth="1"/>
    <col min="14605" max="14610" width="2.375" style="42" customWidth="1"/>
    <col min="14611" max="14614" width="3" style="42" customWidth="1"/>
    <col min="14615" max="14618" width="2.75" style="42" customWidth="1"/>
    <col min="14619" max="14624" width="2.375" style="42" customWidth="1"/>
    <col min="14625" max="14628" width="2.125" style="42" customWidth="1"/>
    <col min="14629" max="14848" width="8.375" style="42" customWidth="1"/>
    <col min="14849" max="14849" width="1.375" style="42" customWidth="1"/>
    <col min="14850" max="14850" width="14.25" style="42" customWidth="1"/>
    <col min="14851" max="14851" width="6.625" style="42" customWidth="1"/>
    <col min="14852" max="14852" width="11.375" style="42" customWidth="1"/>
    <col min="14853" max="14853" width="9.625" style="42" customWidth="1"/>
    <col min="14854" max="14854" width="8" style="42" customWidth="1"/>
    <col min="14855" max="14855" width="11.375" style="42" customWidth="1"/>
    <col min="14856" max="14857" width="10" style="42" customWidth="1"/>
    <col min="14858" max="14858" width="9.625" style="42" customWidth="1"/>
    <col min="14859" max="14859" width="8.5" style="42" customWidth="1"/>
    <col min="14860" max="14860" width="11.375" style="42" customWidth="1"/>
    <col min="14861" max="14866" width="2.375" style="42" customWidth="1"/>
    <col min="14867" max="14870" width="3" style="42" customWidth="1"/>
    <col min="14871" max="14874" width="2.75" style="42" customWidth="1"/>
    <col min="14875" max="14880" width="2.375" style="42" customWidth="1"/>
    <col min="14881" max="14884" width="2.125" style="42" customWidth="1"/>
    <col min="14885" max="15104" width="8.375" style="42" customWidth="1"/>
    <col min="15105" max="15105" width="1.375" style="42" customWidth="1"/>
    <col min="15106" max="15106" width="14.25" style="42" customWidth="1"/>
    <col min="15107" max="15107" width="6.625" style="42" customWidth="1"/>
    <col min="15108" max="15108" width="11.375" style="42" customWidth="1"/>
    <col min="15109" max="15109" width="9.625" style="42" customWidth="1"/>
    <col min="15110" max="15110" width="8" style="42" customWidth="1"/>
    <col min="15111" max="15111" width="11.375" style="42" customWidth="1"/>
    <col min="15112" max="15113" width="10" style="42" customWidth="1"/>
    <col min="15114" max="15114" width="9.625" style="42" customWidth="1"/>
    <col min="15115" max="15115" width="8.5" style="42" customWidth="1"/>
    <col min="15116" max="15116" width="11.375" style="42" customWidth="1"/>
    <col min="15117" max="15122" width="2.375" style="42" customWidth="1"/>
    <col min="15123" max="15126" width="3" style="42" customWidth="1"/>
    <col min="15127" max="15130" width="2.75" style="42" customWidth="1"/>
    <col min="15131" max="15136" width="2.375" style="42" customWidth="1"/>
    <col min="15137" max="15140" width="2.125" style="42" customWidth="1"/>
    <col min="15141" max="15360" width="8.375" style="42" customWidth="1"/>
    <col min="15361" max="15361" width="1.375" style="42" customWidth="1"/>
    <col min="15362" max="15362" width="14.25" style="42" customWidth="1"/>
    <col min="15363" max="15363" width="6.625" style="42" customWidth="1"/>
    <col min="15364" max="15364" width="11.375" style="42" customWidth="1"/>
    <col min="15365" max="15365" width="9.625" style="42" customWidth="1"/>
    <col min="15366" max="15366" width="8" style="42" customWidth="1"/>
    <col min="15367" max="15367" width="11.375" style="42" customWidth="1"/>
    <col min="15368" max="15369" width="10" style="42" customWidth="1"/>
    <col min="15370" max="15370" width="9.625" style="42" customWidth="1"/>
    <col min="15371" max="15371" width="8.5" style="42" customWidth="1"/>
    <col min="15372" max="15372" width="11.375" style="42" customWidth="1"/>
    <col min="15373" max="15378" width="2.375" style="42" customWidth="1"/>
    <col min="15379" max="15382" width="3" style="42" customWidth="1"/>
    <col min="15383" max="15386" width="2.75" style="42" customWidth="1"/>
    <col min="15387" max="15392" width="2.375" style="42" customWidth="1"/>
    <col min="15393" max="15396" width="2.125" style="42" customWidth="1"/>
    <col min="15397" max="15616" width="8.375" style="42" customWidth="1"/>
    <col min="15617" max="15617" width="1.375" style="42" customWidth="1"/>
    <col min="15618" max="15618" width="14.25" style="42" customWidth="1"/>
    <col min="15619" max="15619" width="6.625" style="42" customWidth="1"/>
    <col min="15620" max="15620" width="11.375" style="42" customWidth="1"/>
    <col min="15621" max="15621" width="9.625" style="42" customWidth="1"/>
    <col min="15622" max="15622" width="8" style="42" customWidth="1"/>
    <col min="15623" max="15623" width="11.375" style="42" customWidth="1"/>
    <col min="15624" max="15625" width="10" style="42" customWidth="1"/>
    <col min="15626" max="15626" width="9.625" style="42" customWidth="1"/>
    <col min="15627" max="15627" width="8.5" style="42" customWidth="1"/>
    <col min="15628" max="15628" width="11.375" style="42" customWidth="1"/>
    <col min="15629" max="15634" width="2.375" style="42" customWidth="1"/>
    <col min="15635" max="15638" width="3" style="42" customWidth="1"/>
    <col min="15639" max="15642" width="2.75" style="42" customWidth="1"/>
    <col min="15643" max="15648" width="2.375" style="42" customWidth="1"/>
    <col min="15649" max="15652" width="2.125" style="42" customWidth="1"/>
    <col min="15653" max="15872" width="8.375" style="42" customWidth="1"/>
    <col min="15873" max="15873" width="1.375" style="42" customWidth="1"/>
    <col min="15874" max="15874" width="14.25" style="42" customWidth="1"/>
    <col min="15875" max="15875" width="6.625" style="42" customWidth="1"/>
    <col min="15876" max="15876" width="11.375" style="42" customWidth="1"/>
    <col min="15877" max="15877" width="9.625" style="42" customWidth="1"/>
    <col min="15878" max="15878" width="8" style="42" customWidth="1"/>
    <col min="15879" max="15879" width="11.375" style="42" customWidth="1"/>
    <col min="15880" max="15881" width="10" style="42" customWidth="1"/>
    <col min="15882" max="15882" width="9.625" style="42" customWidth="1"/>
    <col min="15883" max="15883" width="8.5" style="42" customWidth="1"/>
    <col min="15884" max="15884" width="11.375" style="42" customWidth="1"/>
    <col min="15885" max="15890" width="2.375" style="42" customWidth="1"/>
    <col min="15891" max="15894" width="3" style="42" customWidth="1"/>
    <col min="15895" max="15898" width="2.75" style="42" customWidth="1"/>
    <col min="15899" max="15904" width="2.375" style="42" customWidth="1"/>
    <col min="15905" max="15908" width="2.125" style="42" customWidth="1"/>
    <col min="15909" max="16128" width="8.375" style="42" customWidth="1"/>
    <col min="16129" max="16129" width="1.375" style="42" customWidth="1"/>
    <col min="16130" max="16130" width="14.25" style="42" customWidth="1"/>
    <col min="16131" max="16131" width="6.625" style="42" customWidth="1"/>
    <col min="16132" max="16132" width="11.375" style="42" customWidth="1"/>
    <col min="16133" max="16133" width="9.625" style="42" customWidth="1"/>
    <col min="16134" max="16134" width="8" style="42" customWidth="1"/>
    <col min="16135" max="16135" width="11.375" style="42" customWidth="1"/>
    <col min="16136" max="16137" width="10" style="42" customWidth="1"/>
    <col min="16138" max="16138" width="9.625" style="42" customWidth="1"/>
    <col min="16139" max="16139" width="8.5" style="42" customWidth="1"/>
    <col min="16140" max="16140" width="11.375" style="42" customWidth="1"/>
    <col min="16141" max="16146" width="2.375" style="42" customWidth="1"/>
    <col min="16147" max="16150" width="3" style="42" customWidth="1"/>
    <col min="16151" max="16154" width="2.75" style="42" customWidth="1"/>
    <col min="16155" max="16160" width="2.375" style="42" customWidth="1"/>
    <col min="16161" max="16164" width="2.125" style="42" customWidth="1"/>
    <col min="16165" max="16384" width="8.375" style="42" customWidth="1"/>
  </cols>
  <sheetData>
    <row r="2" spans="2:12" ht="12.75" customHeight="1">
      <c r="B2" s="38"/>
      <c r="C2" s="533" t="s">
        <v>244</v>
      </c>
      <c r="D2" s="365"/>
      <c r="E2" s="365"/>
      <c r="F2" s="365"/>
      <c r="G2" s="365"/>
      <c r="H2" s="365"/>
      <c r="I2" s="366"/>
      <c r="J2" s="39"/>
      <c r="K2" s="40"/>
      <c r="L2" s="41"/>
    </row>
    <row r="3" spans="2:12" ht="12.75" customHeight="1">
      <c r="B3" s="43"/>
      <c r="C3" s="402"/>
      <c r="D3" s="534"/>
      <c r="E3" s="534"/>
      <c r="F3" s="534"/>
      <c r="G3" s="534"/>
      <c r="H3" s="534"/>
      <c r="I3" s="384"/>
      <c r="J3" s="541" t="s">
        <v>245</v>
      </c>
      <c r="K3" s="534"/>
      <c r="L3" s="384"/>
    </row>
    <row r="4" spans="2:12" ht="12.75" customHeight="1">
      <c r="B4" s="43"/>
      <c r="C4" s="402"/>
      <c r="D4" s="534"/>
      <c r="E4" s="534"/>
      <c r="F4" s="534"/>
      <c r="G4" s="534"/>
      <c r="H4" s="534"/>
      <c r="I4" s="384"/>
      <c r="J4" s="402"/>
      <c r="K4" s="534"/>
      <c r="L4" s="384"/>
    </row>
    <row r="5" spans="2:12" ht="12.75" customHeight="1">
      <c r="B5" s="43"/>
      <c r="C5" s="402"/>
      <c r="D5" s="534"/>
      <c r="E5" s="534"/>
      <c r="F5" s="534"/>
      <c r="G5" s="534"/>
      <c r="H5" s="534"/>
      <c r="I5" s="384"/>
      <c r="J5" s="402"/>
      <c r="K5" s="534"/>
      <c r="L5" s="384"/>
    </row>
    <row r="6" spans="2:12" ht="12.75" customHeight="1">
      <c r="B6" s="44"/>
      <c r="C6" s="401"/>
      <c r="D6" s="378"/>
      <c r="E6" s="378"/>
      <c r="F6" s="378"/>
      <c r="G6" s="378"/>
      <c r="H6" s="378"/>
      <c r="I6" s="379"/>
      <c r="J6" s="401"/>
      <c r="K6" s="378"/>
      <c r="L6" s="379"/>
    </row>
    <row r="7" spans="2:12" ht="12.75" customHeight="1">
      <c r="C7" s="45"/>
      <c r="D7" s="45"/>
      <c r="E7" s="45"/>
      <c r="F7" s="45"/>
      <c r="G7" s="45"/>
      <c r="H7" s="45"/>
      <c r="I7" s="45"/>
      <c r="J7" s="46"/>
      <c r="K7" s="46"/>
      <c r="L7" s="46"/>
    </row>
    <row r="8" spans="2:12" ht="13.15" customHeight="1">
      <c r="B8" s="536" t="s">
        <v>246</v>
      </c>
      <c r="C8" s="376"/>
      <c r="D8" s="367"/>
      <c r="E8" s="536" t="s">
        <v>247</v>
      </c>
      <c r="F8" s="376"/>
      <c r="G8" s="367"/>
      <c r="H8" s="547" t="s">
        <v>248</v>
      </c>
      <c r="I8" s="538"/>
      <c r="J8" s="547" t="s">
        <v>249</v>
      </c>
      <c r="K8" s="545"/>
      <c r="L8" s="538"/>
    </row>
    <row r="9" spans="2:12" ht="13.15" customHeight="1">
      <c r="B9" s="536" t="s">
        <v>123</v>
      </c>
      <c r="C9" s="376"/>
      <c r="D9" s="367"/>
      <c r="E9" s="536" t="str">
        <f>MASTER!E21 &amp; " / " &amp; MASTER!E22</f>
        <v>VOY / DATE</v>
      </c>
      <c r="F9" s="376"/>
      <c r="G9" s="367"/>
      <c r="H9" s="543">
        <f ca="1">TODAY()</f>
        <v>46018</v>
      </c>
      <c r="I9" s="367"/>
      <c r="J9" s="549" t="e">
        <f>MASTER!#REF!&amp;"/21"</f>
        <v>#REF!</v>
      </c>
      <c r="K9" s="376"/>
      <c r="L9" s="367"/>
    </row>
    <row r="10" spans="2:12" ht="12.75" customHeight="1">
      <c r="B10" s="47"/>
      <c r="C10" s="47"/>
      <c r="D10" s="47"/>
      <c r="E10" s="47"/>
      <c r="F10" s="47"/>
      <c r="G10" s="47"/>
      <c r="H10" s="47"/>
      <c r="I10" s="47"/>
      <c r="J10" s="48"/>
      <c r="K10" s="48"/>
      <c r="L10" s="48"/>
    </row>
    <row r="11" spans="2:12" ht="19.899999999999999" customHeight="1">
      <c r="B11" s="49" t="s">
        <v>250</v>
      </c>
      <c r="C11" s="102" t="str">
        <f>MASTER!$V3 &amp; " " &amp; MASTER!$X3</f>
        <v>KBZ ANTALYA OPET</v>
      </c>
      <c r="D11" s="49" t="s">
        <v>251</v>
      </c>
      <c r="E11" s="535">
        <f>MASTER!$Y3</f>
        <v>1490.3529714664</v>
      </c>
      <c r="F11" s="367"/>
      <c r="G11" s="50" t="s">
        <v>252</v>
      </c>
      <c r="H11" s="537"/>
      <c r="I11" s="367"/>
      <c r="J11" s="50" t="s">
        <v>253</v>
      </c>
      <c r="K11" s="537"/>
      <c r="L11" s="367"/>
    </row>
    <row r="12" spans="2:12" ht="19.899999999999999" customHeight="1">
      <c r="B12" s="49" t="s">
        <v>254</v>
      </c>
      <c r="C12" s="102" t="str">
        <f>MASTER!$V4 &amp; " " &amp; MASTER!$X4</f>
        <v>KBZ MERSİN TÜPRAŞ</v>
      </c>
      <c r="D12" s="49" t="s">
        <v>255</v>
      </c>
      <c r="E12" s="535">
        <f>MASTER!$Y4</f>
        <v>2520.86818525434</v>
      </c>
      <c r="F12" s="367"/>
      <c r="G12" s="50" t="s">
        <v>252</v>
      </c>
      <c r="H12" s="546"/>
      <c r="I12" s="367"/>
      <c r="J12" s="50" t="s">
        <v>253</v>
      </c>
      <c r="K12" s="546"/>
      <c r="L12" s="367"/>
    </row>
    <row r="13" spans="2:12" ht="19.899999999999999" customHeight="1">
      <c r="B13" s="49" t="s">
        <v>250</v>
      </c>
      <c r="C13" s="102" t="str">
        <f>MASTER!$V5 &amp; " " &amp; MASTER!$X5</f>
        <v>MOTORİN ANTALYA OPET</v>
      </c>
      <c r="D13" s="49" t="s">
        <v>251</v>
      </c>
      <c r="E13" s="535">
        <f>MASTER!$Y5</f>
        <v>3560.7621943651002</v>
      </c>
      <c r="F13" s="367"/>
      <c r="G13" s="50" t="s">
        <v>252</v>
      </c>
      <c r="H13" s="546"/>
      <c r="I13" s="367"/>
      <c r="J13" s="50" t="s">
        <v>253</v>
      </c>
      <c r="K13" s="546"/>
      <c r="L13" s="367"/>
    </row>
    <row r="14" spans="2:12" ht="19.899999999999999" customHeight="1">
      <c r="B14" s="49" t="s">
        <v>250</v>
      </c>
      <c r="C14" s="102" t="str">
        <f>MASTER!$V6 &amp; " " &amp; MASTER!$X6</f>
        <v>KBZ ANTALYA POAS</v>
      </c>
      <c r="D14" s="49" t="s">
        <v>251</v>
      </c>
      <c r="E14" s="535">
        <f>MASTER!$Y6</f>
        <v>1162.3118241043401</v>
      </c>
      <c r="F14" s="367"/>
      <c r="G14" s="50" t="s">
        <v>252</v>
      </c>
      <c r="H14" s="537"/>
      <c r="I14" s="367"/>
      <c r="J14" s="50" t="s">
        <v>253</v>
      </c>
      <c r="K14" s="537"/>
      <c r="L14" s="367"/>
    </row>
    <row r="15" spans="2:12" ht="19.899999999999999" customHeight="1">
      <c r="B15" s="49" t="s">
        <v>250</v>
      </c>
      <c r="C15" s="102" t="str">
        <f>MASTER!$V7 &amp; " " &amp; MASTER!$X7</f>
        <v>KBZ MERSİN SHELL</v>
      </c>
      <c r="D15" s="49" t="s">
        <v>251</v>
      </c>
      <c r="E15" s="535">
        <f>MASTER!$Y7</f>
        <v>2949.7711554821399</v>
      </c>
      <c r="F15" s="367"/>
      <c r="G15" s="50" t="s">
        <v>252</v>
      </c>
      <c r="H15" s="537"/>
      <c r="I15" s="367"/>
      <c r="J15" s="50" t="s">
        <v>253</v>
      </c>
      <c r="K15" s="537"/>
      <c r="L15" s="367"/>
    </row>
    <row r="17" spans="2:14" ht="12.75" customHeight="1">
      <c r="B17" s="51" t="s">
        <v>256</v>
      </c>
      <c r="C17" s="51" t="s">
        <v>257</v>
      </c>
      <c r="D17" s="51" t="s">
        <v>258</v>
      </c>
      <c r="E17" s="542" t="s">
        <v>259</v>
      </c>
      <c r="F17" s="386"/>
      <c r="G17" s="542" t="s">
        <v>260</v>
      </c>
      <c r="H17" s="385"/>
      <c r="I17" s="386"/>
      <c r="J17" s="542" t="s">
        <v>261</v>
      </c>
      <c r="K17" s="385"/>
      <c r="L17" s="386"/>
    </row>
    <row r="18" spans="2:14" ht="12.75" customHeight="1">
      <c r="B18" s="52" t="s">
        <v>76</v>
      </c>
      <c r="C18" s="52" t="s">
        <v>262</v>
      </c>
      <c r="D18" s="52" t="s">
        <v>263</v>
      </c>
      <c r="E18" s="540"/>
      <c r="F18" s="386"/>
      <c r="G18" s="540"/>
      <c r="H18" s="385"/>
      <c r="I18" s="386"/>
      <c r="J18" s="540"/>
      <c r="K18" s="385"/>
      <c r="L18" s="386"/>
    </row>
    <row r="19" spans="2:14" ht="21.4" customHeight="1">
      <c r="B19" s="52" t="s">
        <v>264</v>
      </c>
      <c r="C19" s="52" t="s">
        <v>265</v>
      </c>
      <c r="D19" s="53"/>
      <c r="E19" s="52" t="s">
        <v>266</v>
      </c>
      <c r="F19" s="52" t="s">
        <v>267</v>
      </c>
      <c r="G19" s="52" t="s">
        <v>266</v>
      </c>
      <c r="H19" s="52" t="s">
        <v>267</v>
      </c>
      <c r="I19" s="52" t="s">
        <v>268</v>
      </c>
      <c r="J19" s="52" t="s">
        <v>266</v>
      </c>
      <c r="K19" s="52" t="s">
        <v>267</v>
      </c>
      <c r="L19" s="52" t="s">
        <v>268</v>
      </c>
      <c r="N19" s="42" t="s">
        <v>269</v>
      </c>
    </row>
    <row r="20" spans="2:14" ht="12.75" customHeight="1">
      <c r="B20" s="104">
        <f ca="1">TODAY()</f>
        <v>46018</v>
      </c>
      <c r="C20" s="55"/>
      <c r="D20" s="56"/>
      <c r="E20" s="56"/>
      <c r="F20" s="56"/>
      <c r="G20" s="56"/>
      <c r="H20" s="57">
        <f t="shared" ref="H20:H51" ca="1" si="0">IF($B20="","",(K20))</f>
        <v>1000</v>
      </c>
      <c r="I20" s="57">
        <f t="shared" ref="I20:I51" ca="1" si="1">IF(B20="","",(H20-G20))</f>
        <v>1000</v>
      </c>
      <c r="J20" s="57" t="str">
        <f t="shared" ref="J20:J51" si="2">IF(G20="","",(G20))</f>
        <v/>
      </c>
      <c r="K20" s="58">
        <f t="shared" ref="K20:K51" si="3">IF($N21="","",ABS($N21-$N20))</f>
        <v>1000</v>
      </c>
      <c r="L20" s="57" t="str">
        <f t="shared" ref="L20:L51" si="4">IF(G20="","",(H20-G20))</f>
        <v/>
      </c>
      <c r="N20" s="103">
        <v>10000</v>
      </c>
    </row>
    <row r="21" spans="2:14" ht="12.75" customHeight="1">
      <c r="B21" s="54"/>
      <c r="C21" s="55"/>
      <c r="D21" s="56"/>
      <c r="E21" s="56"/>
      <c r="F21" s="56"/>
      <c r="G21" s="56"/>
      <c r="H21" s="57" t="str">
        <f t="shared" si="0"/>
        <v/>
      </c>
      <c r="I21" s="57" t="str">
        <f t="shared" si="1"/>
        <v/>
      </c>
      <c r="J21" s="57" t="str">
        <f t="shared" si="2"/>
        <v/>
      </c>
      <c r="K21" s="58">
        <f t="shared" si="3"/>
        <v>1000</v>
      </c>
      <c r="L21" s="57" t="str">
        <f t="shared" si="4"/>
        <v/>
      </c>
      <c r="N21" s="103">
        <v>9000</v>
      </c>
    </row>
    <row r="22" spans="2:14" ht="12.75" customHeight="1">
      <c r="B22" s="54"/>
      <c r="C22" s="55"/>
      <c r="D22" s="56"/>
      <c r="E22" s="56"/>
      <c r="F22" s="56"/>
      <c r="G22" s="56"/>
      <c r="H22" s="57" t="str">
        <f t="shared" si="0"/>
        <v/>
      </c>
      <c r="I22" s="57" t="str">
        <f t="shared" si="1"/>
        <v/>
      </c>
      <c r="J22" s="57" t="str">
        <f t="shared" si="2"/>
        <v/>
      </c>
      <c r="K22" s="58">
        <f t="shared" si="3"/>
        <v>1000</v>
      </c>
      <c r="L22" s="57" t="str">
        <f t="shared" si="4"/>
        <v/>
      </c>
      <c r="N22" s="103">
        <v>8000</v>
      </c>
    </row>
    <row r="23" spans="2:14" ht="12.75" customHeight="1">
      <c r="B23" s="54"/>
      <c r="C23" s="55"/>
      <c r="D23" s="56"/>
      <c r="E23" s="56"/>
      <c r="F23" s="56"/>
      <c r="G23" s="56"/>
      <c r="H23" s="57" t="str">
        <f t="shared" si="0"/>
        <v/>
      </c>
      <c r="I23" s="57" t="str">
        <f t="shared" si="1"/>
        <v/>
      </c>
      <c r="J23" s="57" t="str">
        <f t="shared" si="2"/>
        <v/>
      </c>
      <c r="K23" s="58">
        <f t="shared" si="3"/>
        <v>1000</v>
      </c>
      <c r="L23" s="57" t="str">
        <f t="shared" si="4"/>
        <v/>
      </c>
      <c r="N23" s="103">
        <v>7000</v>
      </c>
    </row>
    <row r="24" spans="2:14" ht="12.75" customHeight="1">
      <c r="B24" s="54"/>
      <c r="C24" s="55"/>
      <c r="D24" s="56"/>
      <c r="E24" s="56"/>
      <c r="F24" s="56"/>
      <c r="G24" s="56"/>
      <c r="H24" s="57" t="str">
        <f t="shared" si="0"/>
        <v/>
      </c>
      <c r="I24" s="57" t="str">
        <f t="shared" si="1"/>
        <v/>
      </c>
      <c r="J24" s="57" t="str">
        <f t="shared" si="2"/>
        <v/>
      </c>
      <c r="K24" s="58" t="str">
        <f t="shared" si="3"/>
        <v/>
      </c>
      <c r="L24" s="57" t="str">
        <f t="shared" si="4"/>
        <v/>
      </c>
      <c r="N24" s="103">
        <v>6000</v>
      </c>
    </row>
    <row r="25" spans="2:14" ht="12.75" customHeight="1">
      <c r="B25" s="54"/>
      <c r="C25" s="55"/>
      <c r="D25" s="56"/>
      <c r="E25" s="56"/>
      <c r="F25" s="56"/>
      <c r="G25" s="56"/>
      <c r="H25" s="57" t="str">
        <f t="shared" si="0"/>
        <v/>
      </c>
      <c r="I25" s="57" t="str">
        <f t="shared" si="1"/>
        <v/>
      </c>
      <c r="J25" s="57" t="str">
        <f t="shared" si="2"/>
        <v/>
      </c>
      <c r="K25" s="58" t="str">
        <f t="shared" si="3"/>
        <v/>
      </c>
      <c r="L25" s="57" t="str">
        <f t="shared" si="4"/>
        <v/>
      </c>
      <c r="N25" s="103"/>
    </row>
    <row r="26" spans="2:14" ht="12.75" customHeight="1">
      <c r="B26" s="54"/>
      <c r="C26" s="55"/>
      <c r="D26" s="56"/>
      <c r="E26" s="56"/>
      <c r="F26" s="56"/>
      <c r="G26" s="56"/>
      <c r="H26" s="57" t="str">
        <f t="shared" si="0"/>
        <v/>
      </c>
      <c r="I26" s="57" t="str">
        <f t="shared" si="1"/>
        <v/>
      </c>
      <c r="J26" s="57" t="str">
        <f t="shared" si="2"/>
        <v/>
      </c>
      <c r="K26" s="58" t="str">
        <f t="shared" si="3"/>
        <v/>
      </c>
      <c r="L26" s="57" t="str">
        <f t="shared" si="4"/>
        <v/>
      </c>
      <c r="N26" s="103"/>
    </row>
    <row r="27" spans="2:14" ht="12.75" customHeight="1">
      <c r="B27" s="54"/>
      <c r="C27" s="55"/>
      <c r="D27" s="56"/>
      <c r="E27" s="56"/>
      <c r="F27" s="56"/>
      <c r="G27" s="56"/>
      <c r="H27" s="57" t="str">
        <f t="shared" si="0"/>
        <v/>
      </c>
      <c r="I27" s="57" t="str">
        <f t="shared" si="1"/>
        <v/>
      </c>
      <c r="J27" s="57" t="str">
        <f t="shared" si="2"/>
        <v/>
      </c>
      <c r="K27" s="58" t="str">
        <f t="shared" si="3"/>
        <v/>
      </c>
      <c r="L27" s="57" t="str">
        <f t="shared" si="4"/>
        <v/>
      </c>
      <c r="N27" s="103"/>
    </row>
    <row r="28" spans="2:14" ht="12.75" customHeight="1">
      <c r="B28" s="54"/>
      <c r="C28" s="55"/>
      <c r="D28" s="56"/>
      <c r="E28" s="56"/>
      <c r="F28" s="56"/>
      <c r="G28" s="56"/>
      <c r="H28" s="57" t="str">
        <f t="shared" si="0"/>
        <v/>
      </c>
      <c r="I28" s="57" t="str">
        <f t="shared" si="1"/>
        <v/>
      </c>
      <c r="J28" s="57" t="str">
        <f t="shared" si="2"/>
        <v/>
      </c>
      <c r="K28" s="58" t="str">
        <f t="shared" si="3"/>
        <v/>
      </c>
      <c r="L28" s="57" t="str">
        <f t="shared" si="4"/>
        <v/>
      </c>
      <c r="N28" s="103"/>
    </row>
    <row r="29" spans="2:14" ht="12.75" customHeight="1">
      <c r="B29" s="54"/>
      <c r="C29" s="55"/>
      <c r="D29" s="56"/>
      <c r="E29" s="56"/>
      <c r="F29" s="56"/>
      <c r="G29" s="56"/>
      <c r="H29" s="57" t="str">
        <f t="shared" si="0"/>
        <v/>
      </c>
      <c r="I29" s="57" t="str">
        <f t="shared" si="1"/>
        <v/>
      </c>
      <c r="J29" s="57" t="str">
        <f t="shared" si="2"/>
        <v/>
      </c>
      <c r="K29" s="58" t="str">
        <f t="shared" si="3"/>
        <v/>
      </c>
      <c r="L29" s="57" t="str">
        <f t="shared" si="4"/>
        <v/>
      </c>
      <c r="N29" s="103"/>
    </row>
    <row r="30" spans="2:14" ht="12.75" customHeight="1">
      <c r="B30" s="54"/>
      <c r="C30" s="55"/>
      <c r="D30" s="56"/>
      <c r="E30" s="56"/>
      <c r="F30" s="56"/>
      <c r="G30" s="56"/>
      <c r="H30" s="57" t="str">
        <f t="shared" si="0"/>
        <v/>
      </c>
      <c r="I30" s="57" t="str">
        <f t="shared" si="1"/>
        <v/>
      </c>
      <c r="J30" s="57" t="str">
        <f t="shared" si="2"/>
        <v/>
      </c>
      <c r="K30" s="58" t="str">
        <f t="shared" si="3"/>
        <v/>
      </c>
      <c r="L30" s="57" t="str">
        <f t="shared" si="4"/>
        <v/>
      </c>
      <c r="N30" s="103"/>
    </row>
    <row r="31" spans="2:14" ht="12.75" customHeight="1">
      <c r="B31" s="54"/>
      <c r="C31" s="55"/>
      <c r="D31" s="56"/>
      <c r="E31" s="56"/>
      <c r="F31" s="56"/>
      <c r="G31" s="56"/>
      <c r="H31" s="57" t="str">
        <f t="shared" si="0"/>
        <v/>
      </c>
      <c r="I31" s="57" t="str">
        <f t="shared" si="1"/>
        <v/>
      </c>
      <c r="J31" s="57" t="str">
        <f t="shared" si="2"/>
        <v/>
      </c>
      <c r="K31" s="58" t="str">
        <f t="shared" si="3"/>
        <v/>
      </c>
      <c r="L31" s="57" t="str">
        <f t="shared" si="4"/>
        <v/>
      </c>
      <c r="N31" s="103"/>
    </row>
    <row r="32" spans="2:14" ht="12.75" customHeight="1">
      <c r="B32" s="54"/>
      <c r="C32" s="55"/>
      <c r="D32" s="56"/>
      <c r="E32" s="56"/>
      <c r="F32" s="56"/>
      <c r="G32" s="56"/>
      <c r="H32" s="57" t="str">
        <f t="shared" si="0"/>
        <v/>
      </c>
      <c r="I32" s="57" t="str">
        <f t="shared" si="1"/>
        <v/>
      </c>
      <c r="J32" s="57" t="str">
        <f t="shared" si="2"/>
        <v/>
      </c>
      <c r="K32" s="58" t="str">
        <f t="shared" si="3"/>
        <v/>
      </c>
      <c r="L32" s="57" t="str">
        <f t="shared" si="4"/>
        <v/>
      </c>
      <c r="N32" s="103"/>
    </row>
    <row r="33" spans="2:14" ht="12.75" customHeight="1">
      <c r="B33" s="54"/>
      <c r="C33" s="55"/>
      <c r="D33" s="56"/>
      <c r="E33" s="56"/>
      <c r="F33" s="56"/>
      <c r="G33" s="56"/>
      <c r="H33" s="57" t="str">
        <f t="shared" si="0"/>
        <v/>
      </c>
      <c r="I33" s="57" t="str">
        <f t="shared" si="1"/>
        <v/>
      </c>
      <c r="J33" s="57" t="str">
        <f t="shared" si="2"/>
        <v/>
      </c>
      <c r="K33" s="58" t="str">
        <f t="shared" si="3"/>
        <v/>
      </c>
      <c r="L33" s="57" t="str">
        <f t="shared" si="4"/>
        <v/>
      </c>
      <c r="N33" s="103"/>
    </row>
    <row r="34" spans="2:14" ht="12.75" customHeight="1">
      <c r="B34" s="54"/>
      <c r="C34" s="55"/>
      <c r="D34" s="56"/>
      <c r="E34" s="56"/>
      <c r="F34" s="56"/>
      <c r="G34" s="56"/>
      <c r="H34" s="57" t="str">
        <f t="shared" si="0"/>
        <v/>
      </c>
      <c r="I34" s="57" t="str">
        <f t="shared" si="1"/>
        <v/>
      </c>
      <c r="J34" s="57" t="str">
        <f t="shared" si="2"/>
        <v/>
      </c>
      <c r="K34" s="58" t="str">
        <f t="shared" si="3"/>
        <v/>
      </c>
      <c r="L34" s="57" t="str">
        <f t="shared" si="4"/>
        <v/>
      </c>
      <c r="N34" s="103"/>
    </row>
    <row r="35" spans="2:14" ht="12.75" customHeight="1">
      <c r="B35" s="54"/>
      <c r="C35" s="55"/>
      <c r="D35" s="56"/>
      <c r="E35" s="56"/>
      <c r="F35" s="56"/>
      <c r="G35" s="56"/>
      <c r="H35" s="57" t="str">
        <f t="shared" si="0"/>
        <v/>
      </c>
      <c r="I35" s="57" t="str">
        <f t="shared" si="1"/>
        <v/>
      </c>
      <c r="J35" s="57" t="str">
        <f t="shared" si="2"/>
        <v/>
      </c>
      <c r="K35" s="58" t="str">
        <f t="shared" si="3"/>
        <v/>
      </c>
      <c r="L35" s="57" t="str">
        <f t="shared" si="4"/>
        <v/>
      </c>
      <c r="N35" s="103"/>
    </row>
    <row r="36" spans="2:14" ht="12.75" customHeight="1">
      <c r="B36" s="54"/>
      <c r="C36" s="55"/>
      <c r="D36" s="56"/>
      <c r="E36" s="56"/>
      <c r="F36" s="56"/>
      <c r="G36" s="56"/>
      <c r="H36" s="57" t="str">
        <f t="shared" si="0"/>
        <v/>
      </c>
      <c r="I36" s="57" t="str">
        <f t="shared" si="1"/>
        <v/>
      </c>
      <c r="J36" s="57" t="str">
        <f t="shared" si="2"/>
        <v/>
      </c>
      <c r="K36" s="58" t="str">
        <f t="shared" si="3"/>
        <v/>
      </c>
      <c r="L36" s="57" t="str">
        <f t="shared" si="4"/>
        <v/>
      </c>
      <c r="N36" s="103"/>
    </row>
    <row r="37" spans="2:14" ht="12.75" customHeight="1">
      <c r="B37" s="54"/>
      <c r="C37" s="55"/>
      <c r="D37" s="56"/>
      <c r="E37" s="56"/>
      <c r="F37" s="56"/>
      <c r="G37" s="56"/>
      <c r="H37" s="57" t="str">
        <f t="shared" si="0"/>
        <v/>
      </c>
      <c r="I37" s="57" t="str">
        <f t="shared" si="1"/>
        <v/>
      </c>
      <c r="J37" s="57" t="str">
        <f t="shared" si="2"/>
        <v/>
      </c>
      <c r="K37" s="58" t="str">
        <f t="shared" si="3"/>
        <v/>
      </c>
      <c r="L37" s="57" t="str">
        <f t="shared" si="4"/>
        <v/>
      </c>
      <c r="N37" s="103"/>
    </row>
    <row r="38" spans="2:14" ht="12.75" customHeight="1">
      <c r="B38" s="54"/>
      <c r="C38" s="55"/>
      <c r="D38" s="56"/>
      <c r="E38" s="56"/>
      <c r="F38" s="56"/>
      <c r="G38" s="56"/>
      <c r="H38" s="57" t="str">
        <f t="shared" si="0"/>
        <v/>
      </c>
      <c r="I38" s="57" t="str">
        <f t="shared" si="1"/>
        <v/>
      </c>
      <c r="J38" s="57" t="str">
        <f t="shared" si="2"/>
        <v/>
      </c>
      <c r="K38" s="58" t="str">
        <f t="shared" si="3"/>
        <v/>
      </c>
      <c r="L38" s="57" t="str">
        <f t="shared" si="4"/>
        <v/>
      </c>
      <c r="N38" s="103"/>
    </row>
    <row r="39" spans="2:14" ht="12.75" customHeight="1">
      <c r="B39" s="54"/>
      <c r="C39" s="55"/>
      <c r="D39" s="56"/>
      <c r="E39" s="56"/>
      <c r="F39" s="56"/>
      <c r="G39" s="56"/>
      <c r="H39" s="57" t="str">
        <f t="shared" si="0"/>
        <v/>
      </c>
      <c r="I39" s="57" t="str">
        <f t="shared" si="1"/>
        <v/>
      </c>
      <c r="J39" s="57" t="str">
        <f t="shared" si="2"/>
        <v/>
      </c>
      <c r="K39" s="58" t="str">
        <f t="shared" si="3"/>
        <v/>
      </c>
      <c r="L39" s="57" t="str">
        <f t="shared" si="4"/>
        <v/>
      </c>
      <c r="N39" s="103"/>
    </row>
    <row r="40" spans="2:14" ht="12.75" customHeight="1">
      <c r="B40" s="54"/>
      <c r="C40" s="55"/>
      <c r="D40" s="56"/>
      <c r="E40" s="56"/>
      <c r="F40" s="56"/>
      <c r="G40" s="56"/>
      <c r="H40" s="57" t="str">
        <f t="shared" si="0"/>
        <v/>
      </c>
      <c r="I40" s="57" t="str">
        <f t="shared" si="1"/>
        <v/>
      </c>
      <c r="J40" s="57" t="str">
        <f t="shared" si="2"/>
        <v/>
      </c>
      <c r="K40" s="58" t="str">
        <f t="shared" si="3"/>
        <v/>
      </c>
      <c r="L40" s="57" t="str">
        <f t="shared" si="4"/>
        <v/>
      </c>
      <c r="N40" s="103"/>
    </row>
    <row r="41" spans="2:14" ht="12.75" customHeight="1">
      <c r="B41" s="54"/>
      <c r="C41" s="55"/>
      <c r="D41" s="56"/>
      <c r="E41" s="56"/>
      <c r="F41" s="56"/>
      <c r="G41" s="56"/>
      <c r="H41" s="57" t="str">
        <f t="shared" si="0"/>
        <v/>
      </c>
      <c r="I41" s="57" t="str">
        <f t="shared" si="1"/>
        <v/>
      </c>
      <c r="J41" s="57" t="str">
        <f t="shared" si="2"/>
        <v/>
      </c>
      <c r="K41" s="58" t="str">
        <f t="shared" si="3"/>
        <v/>
      </c>
      <c r="L41" s="57" t="str">
        <f t="shared" si="4"/>
        <v/>
      </c>
      <c r="N41" s="103"/>
    </row>
    <row r="42" spans="2:14" ht="12.75" customHeight="1">
      <c r="B42" s="54"/>
      <c r="C42" s="55"/>
      <c r="D42" s="56"/>
      <c r="E42" s="56"/>
      <c r="F42" s="56"/>
      <c r="G42" s="56"/>
      <c r="H42" s="57" t="str">
        <f t="shared" si="0"/>
        <v/>
      </c>
      <c r="I42" s="57" t="str">
        <f t="shared" si="1"/>
        <v/>
      </c>
      <c r="J42" s="57" t="str">
        <f t="shared" si="2"/>
        <v/>
      </c>
      <c r="K42" s="58" t="str">
        <f t="shared" si="3"/>
        <v/>
      </c>
      <c r="L42" s="57" t="str">
        <f t="shared" si="4"/>
        <v/>
      </c>
      <c r="N42" s="103"/>
    </row>
    <row r="43" spans="2:14" ht="12.75" customHeight="1">
      <c r="B43" s="54"/>
      <c r="C43" s="55"/>
      <c r="D43" s="56"/>
      <c r="E43" s="56"/>
      <c r="F43" s="56"/>
      <c r="G43" s="56"/>
      <c r="H43" s="57" t="str">
        <f t="shared" si="0"/>
        <v/>
      </c>
      <c r="I43" s="57" t="str">
        <f t="shared" si="1"/>
        <v/>
      </c>
      <c r="J43" s="57" t="str">
        <f t="shared" si="2"/>
        <v/>
      </c>
      <c r="K43" s="58" t="str">
        <f t="shared" si="3"/>
        <v/>
      </c>
      <c r="L43" s="57" t="str">
        <f t="shared" si="4"/>
        <v/>
      </c>
      <c r="N43" s="103"/>
    </row>
    <row r="44" spans="2:14" ht="12.75" customHeight="1">
      <c r="B44" s="54"/>
      <c r="C44" s="55"/>
      <c r="D44" s="56"/>
      <c r="E44" s="56"/>
      <c r="F44" s="56"/>
      <c r="G44" s="56"/>
      <c r="H44" s="57" t="str">
        <f t="shared" si="0"/>
        <v/>
      </c>
      <c r="I44" s="57" t="str">
        <f t="shared" si="1"/>
        <v/>
      </c>
      <c r="J44" s="57" t="str">
        <f t="shared" si="2"/>
        <v/>
      </c>
      <c r="K44" s="58" t="str">
        <f t="shared" si="3"/>
        <v/>
      </c>
      <c r="L44" s="57" t="str">
        <f t="shared" si="4"/>
        <v/>
      </c>
      <c r="N44" s="103"/>
    </row>
    <row r="45" spans="2:14" ht="12.75" customHeight="1">
      <c r="B45" s="54"/>
      <c r="C45" s="55"/>
      <c r="D45" s="56"/>
      <c r="E45" s="56"/>
      <c r="F45" s="56"/>
      <c r="G45" s="56"/>
      <c r="H45" s="57" t="str">
        <f t="shared" si="0"/>
        <v/>
      </c>
      <c r="I45" s="57" t="str">
        <f t="shared" si="1"/>
        <v/>
      </c>
      <c r="J45" s="57" t="str">
        <f t="shared" si="2"/>
        <v/>
      </c>
      <c r="K45" s="58" t="str">
        <f t="shared" si="3"/>
        <v/>
      </c>
      <c r="L45" s="57" t="str">
        <f t="shared" si="4"/>
        <v/>
      </c>
      <c r="N45" s="103"/>
    </row>
    <row r="46" spans="2:14" ht="12.75" customHeight="1">
      <c r="B46" s="54"/>
      <c r="C46" s="55"/>
      <c r="D46" s="56"/>
      <c r="E46" s="56"/>
      <c r="F46" s="56"/>
      <c r="G46" s="56"/>
      <c r="H46" s="57" t="str">
        <f t="shared" si="0"/>
        <v/>
      </c>
      <c r="I46" s="57" t="str">
        <f t="shared" si="1"/>
        <v/>
      </c>
      <c r="J46" s="57" t="str">
        <f t="shared" si="2"/>
        <v/>
      </c>
      <c r="K46" s="58" t="str">
        <f t="shared" si="3"/>
        <v/>
      </c>
      <c r="L46" s="57" t="str">
        <f t="shared" si="4"/>
        <v/>
      </c>
      <c r="N46" s="103"/>
    </row>
    <row r="47" spans="2:14" ht="12.75" customHeight="1">
      <c r="B47" s="54"/>
      <c r="C47" s="55"/>
      <c r="D47" s="56"/>
      <c r="E47" s="56"/>
      <c r="F47" s="56"/>
      <c r="G47" s="56"/>
      <c r="H47" s="57" t="str">
        <f t="shared" si="0"/>
        <v/>
      </c>
      <c r="I47" s="57" t="str">
        <f t="shared" si="1"/>
        <v/>
      </c>
      <c r="J47" s="57" t="str">
        <f t="shared" si="2"/>
        <v/>
      </c>
      <c r="K47" s="58" t="str">
        <f t="shared" si="3"/>
        <v/>
      </c>
      <c r="L47" s="57" t="str">
        <f t="shared" si="4"/>
        <v/>
      </c>
      <c r="N47" s="103"/>
    </row>
    <row r="48" spans="2:14" ht="12.75" customHeight="1">
      <c r="B48" s="54"/>
      <c r="C48" s="55"/>
      <c r="D48" s="56"/>
      <c r="E48" s="56"/>
      <c r="F48" s="56"/>
      <c r="G48" s="56"/>
      <c r="H48" s="57" t="str">
        <f t="shared" si="0"/>
        <v/>
      </c>
      <c r="I48" s="57" t="str">
        <f t="shared" si="1"/>
        <v/>
      </c>
      <c r="J48" s="57" t="str">
        <f t="shared" si="2"/>
        <v/>
      </c>
      <c r="K48" s="58" t="str">
        <f t="shared" si="3"/>
        <v/>
      </c>
      <c r="L48" s="57" t="str">
        <f t="shared" si="4"/>
        <v/>
      </c>
      <c r="N48" s="103"/>
    </row>
    <row r="49" spans="2:14" ht="12.75" customHeight="1">
      <c r="B49" s="54"/>
      <c r="C49" s="55"/>
      <c r="D49" s="56"/>
      <c r="E49" s="56"/>
      <c r="F49" s="56"/>
      <c r="G49" s="56"/>
      <c r="H49" s="57" t="str">
        <f t="shared" si="0"/>
        <v/>
      </c>
      <c r="I49" s="57" t="str">
        <f t="shared" si="1"/>
        <v/>
      </c>
      <c r="J49" s="57" t="str">
        <f t="shared" si="2"/>
        <v/>
      </c>
      <c r="K49" s="58" t="str">
        <f t="shared" si="3"/>
        <v/>
      </c>
      <c r="L49" s="57" t="str">
        <f t="shared" si="4"/>
        <v/>
      </c>
      <c r="N49" s="103"/>
    </row>
    <row r="50" spans="2:14" ht="12.75" customHeight="1">
      <c r="B50" s="54"/>
      <c r="C50" s="55"/>
      <c r="D50" s="56"/>
      <c r="E50" s="56"/>
      <c r="F50" s="56"/>
      <c r="G50" s="56"/>
      <c r="H50" s="57" t="str">
        <f t="shared" si="0"/>
        <v/>
      </c>
      <c r="I50" s="57" t="str">
        <f t="shared" si="1"/>
        <v/>
      </c>
      <c r="J50" s="57" t="str">
        <f t="shared" si="2"/>
        <v/>
      </c>
      <c r="K50" s="58" t="str">
        <f t="shared" si="3"/>
        <v/>
      </c>
      <c r="L50" s="57" t="str">
        <f t="shared" si="4"/>
        <v/>
      </c>
      <c r="N50" s="103"/>
    </row>
    <row r="51" spans="2:14" ht="12.75" customHeight="1">
      <c r="B51" s="54"/>
      <c r="C51" s="55"/>
      <c r="D51" s="56"/>
      <c r="E51" s="56"/>
      <c r="F51" s="56"/>
      <c r="G51" s="56"/>
      <c r="H51" s="57" t="str">
        <f t="shared" si="0"/>
        <v/>
      </c>
      <c r="I51" s="57" t="str">
        <f t="shared" si="1"/>
        <v/>
      </c>
      <c r="J51" s="57" t="str">
        <f t="shared" si="2"/>
        <v/>
      </c>
      <c r="K51" s="58" t="str">
        <f t="shared" si="3"/>
        <v/>
      </c>
      <c r="L51" s="57" t="str">
        <f t="shared" si="4"/>
        <v/>
      </c>
      <c r="N51" s="103"/>
    </row>
    <row r="52" spans="2:14" ht="12.75" customHeight="1">
      <c r="B52" s="54"/>
      <c r="C52" s="55"/>
      <c r="D52" s="56"/>
      <c r="E52" s="56"/>
      <c r="F52" s="56"/>
      <c r="G52" s="56"/>
      <c r="H52" s="57" t="str">
        <f t="shared" ref="H52:H70" si="5">IF($B52="","",(K52))</f>
        <v/>
      </c>
      <c r="I52" s="57" t="str">
        <f t="shared" ref="I52:I83" si="6">IF(B52="","",(H52-G52))</f>
        <v/>
      </c>
      <c r="J52" s="57" t="str">
        <f t="shared" ref="J52:J70" si="7">IF(G52="","",(G52))</f>
        <v/>
      </c>
      <c r="K52" s="58" t="str">
        <f t="shared" ref="K52:K70" si="8">IF($N53="","",ABS($N53-$N52))</f>
        <v/>
      </c>
      <c r="L52" s="57" t="str">
        <f t="shared" ref="L52:L70" si="9">IF(G52="","",(H52-G52))</f>
        <v/>
      </c>
      <c r="N52" s="103"/>
    </row>
    <row r="53" spans="2:14" ht="12.75" customHeight="1">
      <c r="B53" s="54"/>
      <c r="C53" s="55"/>
      <c r="D53" s="56"/>
      <c r="E53" s="56"/>
      <c r="F53" s="56"/>
      <c r="G53" s="56"/>
      <c r="H53" s="57" t="str">
        <f t="shared" si="5"/>
        <v/>
      </c>
      <c r="I53" s="57" t="str">
        <f t="shared" si="6"/>
        <v/>
      </c>
      <c r="J53" s="57" t="str">
        <f t="shared" si="7"/>
        <v/>
      </c>
      <c r="K53" s="58" t="str">
        <f t="shared" si="8"/>
        <v/>
      </c>
      <c r="L53" s="57" t="str">
        <f t="shared" si="9"/>
        <v/>
      </c>
      <c r="N53" s="103"/>
    </row>
    <row r="54" spans="2:14" ht="12.75" customHeight="1">
      <c r="B54" s="54"/>
      <c r="C54" s="55"/>
      <c r="D54" s="56"/>
      <c r="E54" s="56"/>
      <c r="F54" s="56"/>
      <c r="G54" s="56"/>
      <c r="H54" s="57" t="str">
        <f t="shared" si="5"/>
        <v/>
      </c>
      <c r="I54" s="57" t="str">
        <f t="shared" si="6"/>
        <v/>
      </c>
      <c r="J54" s="57" t="str">
        <f t="shared" si="7"/>
        <v/>
      </c>
      <c r="K54" s="58" t="str">
        <f t="shared" si="8"/>
        <v/>
      </c>
      <c r="L54" s="57" t="str">
        <f t="shared" si="9"/>
        <v/>
      </c>
      <c r="N54" s="103"/>
    </row>
    <row r="55" spans="2:14" ht="12.75" customHeight="1">
      <c r="B55" s="54"/>
      <c r="C55" s="55"/>
      <c r="D55" s="56"/>
      <c r="E55" s="56"/>
      <c r="F55" s="56"/>
      <c r="G55" s="56"/>
      <c r="H55" s="57" t="str">
        <f t="shared" si="5"/>
        <v/>
      </c>
      <c r="I55" s="57" t="str">
        <f t="shared" si="6"/>
        <v/>
      </c>
      <c r="J55" s="57" t="str">
        <f t="shared" si="7"/>
        <v/>
      </c>
      <c r="K55" s="58" t="str">
        <f t="shared" si="8"/>
        <v/>
      </c>
      <c r="L55" s="57" t="str">
        <f t="shared" si="9"/>
        <v/>
      </c>
      <c r="N55" s="103"/>
    </row>
    <row r="56" spans="2:14" ht="12.75" customHeight="1">
      <c r="B56" s="54"/>
      <c r="C56" s="55"/>
      <c r="D56" s="56"/>
      <c r="E56" s="56"/>
      <c r="F56" s="56"/>
      <c r="G56" s="56"/>
      <c r="H56" s="57" t="str">
        <f t="shared" si="5"/>
        <v/>
      </c>
      <c r="I56" s="57" t="str">
        <f t="shared" si="6"/>
        <v/>
      </c>
      <c r="J56" s="57" t="str">
        <f t="shared" si="7"/>
        <v/>
      </c>
      <c r="K56" s="58" t="str">
        <f t="shared" si="8"/>
        <v/>
      </c>
      <c r="L56" s="57" t="str">
        <f t="shared" si="9"/>
        <v/>
      </c>
      <c r="N56" s="103"/>
    </row>
    <row r="57" spans="2:14" ht="12.75" customHeight="1">
      <c r="B57" s="54"/>
      <c r="C57" s="55"/>
      <c r="D57" s="56"/>
      <c r="E57" s="56"/>
      <c r="F57" s="56"/>
      <c r="G57" s="56"/>
      <c r="H57" s="57" t="str">
        <f t="shared" si="5"/>
        <v/>
      </c>
      <c r="I57" s="57" t="str">
        <f t="shared" si="6"/>
        <v/>
      </c>
      <c r="J57" s="57" t="str">
        <f t="shared" si="7"/>
        <v/>
      </c>
      <c r="K57" s="58" t="str">
        <f t="shared" si="8"/>
        <v/>
      </c>
      <c r="L57" s="57" t="str">
        <f t="shared" si="9"/>
        <v/>
      </c>
      <c r="N57" s="103"/>
    </row>
    <row r="58" spans="2:14" ht="12.75" customHeight="1">
      <c r="B58" s="54"/>
      <c r="C58" s="55"/>
      <c r="D58" s="56"/>
      <c r="E58" s="56"/>
      <c r="F58" s="56"/>
      <c r="G58" s="56"/>
      <c r="H58" s="57" t="str">
        <f t="shared" si="5"/>
        <v/>
      </c>
      <c r="I58" s="57" t="str">
        <f t="shared" si="6"/>
        <v/>
      </c>
      <c r="J58" s="57" t="str">
        <f t="shared" si="7"/>
        <v/>
      </c>
      <c r="K58" s="58" t="str">
        <f t="shared" si="8"/>
        <v/>
      </c>
      <c r="L58" s="57" t="str">
        <f t="shared" si="9"/>
        <v/>
      </c>
      <c r="N58" s="103"/>
    </row>
    <row r="59" spans="2:14" ht="12.75" customHeight="1">
      <c r="B59" s="54"/>
      <c r="C59" s="55"/>
      <c r="D59" s="56"/>
      <c r="E59" s="56"/>
      <c r="F59" s="56"/>
      <c r="G59" s="56"/>
      <c r="H59" s="57" t="str">
        <f t="shared" si="5"/>
        <v/>
      </c>
      <c r="I59" s="57" t="str">
        <f t="shared" si="6"/>
        <v/>
      </c>
      <c r="J59" s="57" t="str">
        <f t="shared" si="7"/>
        <v/>
      </c>
      <c r="K59" s="58" t="str">
        <f t="shared" si="8"/>
        <v/>
      </c>
      <c r="L59" s="57" t="str">
        <f t="shared" si="9"/>
        <v/>
      </c>
      <c r="N59" s="103"/>
    </row>
    <row r="60" spans="2:14" ht="12.75" customHeight="1">
      <c r="B60" s="54"/>
      <c r="C60" s="55"/>
      <c r="D60" s="56"/>
      <c r="E60" s="56"/>
      <c r="F60" s="56"/>
      <c r="G60" s="56"/>
      <c r="H60" s="57" t="str">
        <f t="shared" si="5"/>
        <v/>
      </c>
      <c r="I60" s="57" t="str">
        <f t="shared" si="6"/>
        <v/>
      </c>
      <c r="J60" s="57" t="str">
        <f t="shared" si="7"/>
        <v/>
      </c>
      <c r="K60" s="58" t="str">
        <f t="shared" si="8"/>
        <v/>
      </c>
      <c r="L60" s="57" t="str">
        <f t="shared" si="9"/>
        <v/>
      </c>
      <c r="N60" s="103"/>
    </row>
    <row r="61" spans="2:14" ht="12.75" customHeight="1">
      <c r="B61" s="54"/>
      <c r="C61" s="55"/>
      <c r="D61" s="56"/>
      <c r="E61" s="56"/>
      <c r="F61" s="56"/>
      <c r="G61" s="56"/>
      <c r="H61" s="57" t="str">
        <f t="shared" si="5"/>
        <v/>
      </c>
      <c r="I61" s="57" t="str">
        <f t="shared" si="6"/>
        <v/>
      </c>
      <c r="J61" s="57" t="str">
        <f t="shared" si="7"/>
        <v/>
      </c>
      <c r="K61" s="58" t="str">
        <f t="shared" si="8"/>
        <v/>
      </c>
      <c r="L61" s="57" t="str">
        <f t="shared" si="9"/>
        <v/>
      </c>
      <c r="N61" s="103"/>
    </row>
    <row r="62" spans="2:14" ht="12.75" customHeight="1">
      <c r="B62" s="54"/>
      <c r="C62" s="55"/>
      <c r="D62" s="56"/>
      <c r="E62" s="56"/>
      <c r="F62" s="56"/>
      <c r="G62" s="56"/>
      <c r="H62" s="57" t="str">
        <f t="shared" si="5"/>
        <v/>
      </c>
      <c r="I62" s="57" t="str">
        <f t="shared" si="6"/>
        <v/>
      </c>
      <c r="J62" s="57" t="str">
        <f t="shared" si="7"/>
        <v/>
      </c>
      <c r="K62" s="58" t="str">
        <f t="shared" si="8"/>
        <v/>
      </c>
      <c r="L62" s="57" t="str">
        <f t="shared" si="9"/>
        <v/>
      </c>
      <c r="N62" s="103"/>
    </row>
    <row r="63" spans="2:14" ht="12.75" customHeight="1">
      <c r="B63" s="54"/>
      <c r="C63" s="55"/>
      <c r="D63" s="56"/>
      <c r="E63" s="56"/>
      <c r="F63" s="56"/>
      <c r="G63" s="56"/>
      <c r="H63" s="57" t="str">
        <f t="shared" si="5"/>
        <v/>
      </c>
      <c r="I63" s="57" t="str">
        <f t="shared" si="6"/>
        <v/>
      </c>
      <c r="J63" s="57" t="str">
        <f t="shared" si="7"/>
        <v/>
      </c>
      <c r="K63" s="58" t="str">
        <f t="shared" si="8"/>
        <v/>
      </c>
      <c r="L63" s="57" t="str">
        <f t="shared" si="9"/>
        <v/>
      </c>
      <c r="N63" s="103"/>
    </row>
    <row r="64" spans="2:14" ht="12.75" customHeight="1">
      <c r="B64" s="54"/>
      <c r="C64" s="55"/>
      <c r="D64" s="56"/>
      <c r="E64" s="56"/>
      <c r="F64" s="56"/>
      <c r="G64" s="56"/>
      <c r="H64" s="57" t="str">
        <f t="shared" si="5"/>
        <v/>
      </c>
      <c r="I64" s="57" t="str">
        <f t="shared" si="6"/>
        <v/>
      </c>
      <c r="J64" s="57" t="str">
        <f t="shared" si="7"/>
        <v/>
      </c>
      <c r="K64" s="58" t="str">
        <f t="shared" si="8"/>
        <v/>
      </c>
      <c r="L64" s="57" t="str">
        <f t="shared" si="9"/>
        <v/>
      </c>
      <c r="N64" s="103"/>
    </row>
    <row r="65" spans="2:14" ht="12.75" customHeight="1">
      <c r="B65" s="54"/>
      <c r="C65" s="55"/>
      <c r="D65" s="56"/>
      <c r="E65" s="56"/>
      <c r="F65" s="56"/>
      <c r="G65" s="56"/>
      <c r="H65" s="57" t="str">
        <f t="shared" si="5"/>
        <v/>
      </c>
      <c r="I65" s="57" t="str">
        <f t="shared" si="6"/>
        <v/>
      </c>
      <c r="J65" s="57" t="str">
        <f t="shared" si="7"/>
        <v/>
      </c>
      <c r="K65" s="58" t="str">
        <f t="shared" si="8"/>
        <v/>
      </c>
      <c r="L65" s="57" t="str">
        <f t="shared" si="9"/>
        <v/>
      </c>
      <c r="N65" s="103"/>
    </row>
    <row r="66" spans="2:14" ht="12.75" customHeight="1">
      <c r="B66" s="54"/>
      <c r="C66" s="55"/>
      <c r="D66" s="56"/>
      <c r="E66" s="56"/>
      <c r="F66" s="56"/>
      <c r="G66" s="56"/>
      <c r="H66" s="57" t="str">
        <f t="shared" si="5"/>
        <v/>
      </c>
      <c r="I66" s="57" t="str">
        <f t="shared" si="6"/>
        <v/>
      </c>
      <c r="J66" s="57" t="str">
        <f t="shared" si="7"/>
        <v/>
      </c>
      <c r="K66" s="58" t="str">
        <f t="shared" si="8"/>
        <v/>
      </c>
      <c r="L66" s="57" t="str">
        <f t="shared" si="9"/>
        <v/>
      </c>
      <c r="N66" s="103"/>
    </row>
    <row r="67" spans="2:14" ht="12.75" customHeight="1">
      <c r="B67" s="54"/>
      <c r="C67" s="55"/>
      <c r="D67" s="56"/>
      <c r="E67" s="56"/>
      <c r="F67" s="56"/>
      <c r="G67" s="56"/>
      <c r="H67" s="57" t="str">
        <f t="shared" si="5"/>
        <v/>
      </c>
      <c r="I67" s="57" t="str">
        <f t="shared" si="6"/>
        <v/>
      </c>
      <c r="J67" s="57" t="str">
        <f t="shared" si="7"/>
        <v/>
      </c>
      <c r="K67" s="58" t="str">
        <f t="shared" si="8"/>
        <v/>
      </c>
      <c r="L67" s="57" t="str">
        <f t="shared" si="9"/>
        <v/>
      </c>
      <c r="N67" s="103"/>
    </row>
    <row r="68" spans="2:14" ht="12.75" customHeight="1">
      <c r="B68" s="54"/>
      <c r="C68" s="55"/>
      <c r="D68" s="56"/>
      <c r="E68" s="56"/>
      <c r="F68" s="56"/>
      <c r="G68" s="56"/>
      <c r="H68" s="57" t="str">
        <f t="shared" si="5"/>
        <v/>
      </c>
      <c r="I68" s="57" t="str">
        <f t="shared" si="6"/>
        <v/>
      </c>
      <c r="J68" s="57" t="str">
        <f t="shared" si="7"/>
        <v/>
      </c>
      <c r="K68" s="58" t="str">
        <f t="shared" si="8"/>
        <v/>
      </c>
      <c r="L68" s="57" t="str">
        <f t="shared" si="9"/>
        <v/>
      </c>
      <c r="N68" s="103"/>
    </row>
    <row r="69" spans="2:14" ht="12.75" customHeight="1">
      <c r="B69" s="54"/>
      <c r="C69" s="55"/>
      <c r="D69" s="56"/>
      <c r="E69" s="56"/>
      <c r="F69" s="56"/>
      <c r="G69" s="56"/>
      <c r="H69" s="57" t="str">
        <f t="shared" si="5"/>
        <v/>
      </c>
      <c r="I69" s="57" t="str">
        <f t="shared" si="6"/>
        <v/>
      </c>
      <c r="J69" s="57" t="str">
        <f t="shared" si="7"/>
        <v/>
      </c>
      <c r="K69" s="58" t="str">
        <f t="shared" si="8"/>
        <v/>
      </c>
      <c r="L69" s="57" t="str">
        <f t="shared" si="9"/>
        <v/>
      </c>
      <c r="N69" s="103"/>
    </row>
    <row r="70" spans="2:14" ht="12.75" customHeight="1">
      <c r="B70" s="54"/>
      <c r="C70" s="55"/>
      <c r="D70" s="56"/>
      <c r="E70" s="56"/>
      <c r="F70" s="56"/>
      <c r="G70" s="56"/>
      <c r="H70" s="57" t="str">
        <f t="shared" si="5"/>
        <v/>
      </c>
      <c r="I70" s="57" t="str">
        <f t="shared" si="6"/>
        <v/>
      </c>
      <c r="J70" s="57" t="str">
        <f t="shared" si="7"/>
        <v/>
      </c>
      <c r="K70" s="58" t="str">
        <f t="shared" si="8"/>
        <v/>
      </c>
      <c r="L70" s="57" t="str">
        <f t="shared" si="9"/>
        <v/>
      </c>
      <c r="N70" s="103"/>
    </row>
    <row r="71" spans="2:14" ht="12.75" customHeight="1">
      <c r="B71" s="59"/>
      <c r="C71" s="60"/>
      <c r="D71" s="60"/>
      <c r="E71" s="60"/>
      <c r="F71" s="61"/>
      <c r="G71" s="61"/>
      <c r="H71" s="61"/>
      <c r="I71" s="61"/>
      <c r="J71" s="61"/>
      <c r="K71" s="61"/>
      <c r="L71" s="61"/>
    </row>
    <row r="72" spans="2:14" ht="39.4" customHeight="1">
      <c r="B72" s="536" t="s">
        <v>270</v>
      </c>
      <c r="C72" s="548" t="s">
        <v>271</v>
      </c>
      <c r="D72" s="545"/>
      <c r="E72" s="545"/>
      <c r="F72" s="538"/>
      <c r="G72" s="61"/>
      <c r="H72" s="536" t="s">
        <v>272</v>
      </c>
      <c r="I72" s="538"/>
      <c r="J72" s="544"/>
      <c r="K72" s="545"/>
      <c r="L72" s="538"/>
    </row>
    <row r="73" spans="2:14" ht="12.75" customHeight="1">
      <c r="B73" s="550"/>
      <c r="C73" s="539"/>
      <c r="D73" s="375"/>
      <c r="E73" s="375"/>
      <c r="F73" s="368"/>
      <c r="G73" s="61"/>
      <c r="H73" s="539"/>
      <c r="I73" s="368"/>
      <c r="J73" s="539"/>
      <c r="K73" s="375"/>
      <c r="L73" s="368"/>
    </row>
    <row r="74" spans="2:14" ht="12.75" customHeight="1">
      <c r="B74" s="47"/>
      <c r="C74" s="61"/>
      <c r="D74" s="61"/>
      <c r="E74" s="61"/>
      <c r="F74" s="61"/>
      <c r="G74" s="61"/>
      <c r="H74" s="61"/>
      <c r="I74" s="61"/>
      <c r="J74" s="61"/>
      <c r="K74" s="61"/>
      <c r="L74" s="61"/>
    </row>
  </sheetData>
  <mergeCells count="35">
    <mergeCell ref="B72:B73"/>
    <mergeCell ref="E18:F18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H11:I11"/>
    <mergeCell ref="K12:L12"/>
    <mergeCell ref="E15:F15"/>
    <mergeCell ref="J18:L18"/>
    <mergeCell ref="E11:F11"/>
    <mergeCell ref="C2:I6"/>
    <mergeCell ref="E12:F12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K13:L13"/>
    <mergeCell ref="E13:F13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30</vt:i4>
      </vt:variant>
    </vt:vector>
  </HeadingPairs>
  <TitlesOfParts>
    <vt:vector size="41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2025-12-27T13:05:37Z</dcterms:modified>
</cp:coreProperties>
</file>