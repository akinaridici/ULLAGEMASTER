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2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4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89" fillId="22" borderId="1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7" fillId="14" borderId="16" applyAlignment="1" pivotButton="0" quotePrefix="0" xfId="0">
      <alignment horizontal="center" vertical="center"/>
    </xf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164" fontId="4" fillId="0" borderId="14" applyAlignment="1" pivotButton="0" quotePrefix="0" xfId="25">
      <alignment horizontal="right" vertical="center"/>
    </xf>
    <xf numFmtId="0" fontId="0" fillId="0" borderId="15" pivotButton="0" quotePrefix="0" xfId="0"/>
    <xf numFmtId="0" fontId="45" fillId="0" borderId="22" applyAlignment="1" pivotButton="0" quotePrefix="0" xfId="25">
      <alignment horizontal="center" vertical="center"/>
    </xf>
    <xf numFmtId="0" fontId="1" fillId="0" borderId="0" pivotButton="0" quotePrefix="0" xfId="24"/>
    <xf numFmtId="0" fontId="0" fillId="0" borderId="27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0" fontId="45" fillId="0" borderId="78" applyAlignment="1" pivotButton="0" quotePrefix="0" xfId="25">
      <alignment horizontal="center" vertical="center"/>
    </xf>
    <xf numFmtId="0" fontId="0" fillId="0" borderId="48" pivotButton="0" quotePrefix="0" xfId="0"/>
    <xf numFmtId="164" fontId="4" fillId="0" borderId="70" applyAlignment="1" pivotButton="0" quotePrefix="0" xfId="25">
      <alignment horizontal="right" vertical="center"/>
    </xf>
    <xf numFmtId="0" fontId="0" fillId="0" borderId="71" pivotButton="0" quotePrefix="0" xfId="0"/>
    <xf numFmtId="0" fontId="36" fillId="0" borderId="106" applyAlignment="1" pivotButton="0" quotePrefix="0" xfId="24">
      <alignment horizontal="left" wrapText="1"/>
    </xf>
    <xf numFmtId="0" fontId="0" fillId="0" borderId="47" pivotButton="0" quotePrefix="0" xfId="0"/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2" pivotButton="0" quotePrefix="0" xfId="0"/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5" fillId="0" borderId="80" applyAlignment="1" pivotButton="0" quotePrefix="0" xfId="25">
      <alignment horizontal="center" vertical="center"/>
    </xf>
    <xf numFmtId="2" fontId="4" fillId="0" borderId="8" applyAlignment="1" pivotButton="0" quotePrefix="0" xfId="25">
      <alignment horizontal="center" vertical="center"/>
    </xf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" fontId="4" fillId="0" borderId="14" applyAlignment="1" pivotButton="0" quotePrefix="0" xfId="25">
      <alignment horizontal="center" vertical="center"/>
    </xf>
    <xf numFmtId="167" fontId="4" fillId="0" borderId="78" applyAlignment="1" pivotButton="0" quotePrefix="0" xfId="25">
      <alignment horizontal="center" vertical="center"/>
    </xf>
    <xf numFmtId="0" fontId="0" fillId="0" borderId="7" pivotButton="0" quotePrefix="0" xfId="0"/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6" fontId="4" fillId="0" borderId="14" applyAlignment="1" pivotButton="0" quotePrefix="0" xfId="25">
      <alignment horizontal="center" vertical="center"/>
    </xf>
    <xf numFmtId="0" fontId="0" fillId="0" borderId="44" pivotButton="0" quotePrefix="0" xfId="0"/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82" applyAlignment="1" pivotButton="0" quotePrefix="0" xfId="25">
      <alignment horizontal="center" vertical="center" wrapText="1"/>
    </xf>
    <xf numFmtId="164" fontId="47" fillId="0" borderId="78" applyAlignment="1" pivotButton="0" quotePrefix="0" xfId="25">
      <alignment horizontal="right" vertical="center"/>
    </xf>
    <xf numFmtId="0" fontId="36" fillId="0" borderId="42" applyAlignment="1" pivotButton="0" quotePrefix="0" xfId="24">
      <alignment horizontal="left" wrapText="1"/>
    </xf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2" fontId="4" fillId="0" borderId="34" applyAlignment="1" pivotButton="0" quotePrefix="0" xfId="25">
      <alignment horizontal="center" vertical="center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164" fontId="4" fillId="0" borderId="8" applyAlignment="1" pivotButton="0" quotePrefix="0" xfId="25">
      <alignment horizontal="right" vertical="center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166" fontId="4" fillId="0" borderId="78" applyAlignment="1" pivotButton="0" quotePrefix="0" xfId="25">
      <alignment horizontal="center" vertical="center"/>
    </xf>
    <xf numFmtId="49" fontId="41" fillId="0" borderId="50" applyAlignment="1" pivotButton="0" quotePrefix="0" xfId="25">
      <alignment horizontal="center" vertical="center" wrapText="1"/>
    </xf>
    <xf numFmtId="0" fontId="0" fillId="0" borderId="51" pivotButton="0" quotePrefix="0" xfId="0"/>
    <xf numFmtId="0" fontId="0" fillId="0" borderId="49" pivotButton="0" quotePrefix="0" xfId="0"/>
    <xf numFmtId="0" fontId="45" fillId="0" borderId="26" applyAlignment="1" pivotButton="0" quotePrefix="0" xfId="25">
      <alignment horizontal="left" vertical="top" wrapText="1"/>
    </xf>
    <xf numFmtId="0" fontId="0" fillId="0" borderId="40" pivotButton="0" quotePrefix="0" xfId="0"/>
    <xf numFmtId="0" fontId="0" fillId="0" borderId="41" pivotButton="0" quotePrefix="0" xfId="0"/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2" fontId="4" fillId="0" borderId="78" applyAlignment="1" pivotButton="0" quotePrefix="0" xfId="25">
      <alignment horizontal="center" vertical="center"/>
    </xf>
    <xf numFmtId="0" fontId="4" fillId="0" borderId="33" applyAlignment="1" pivotButton="0" quotePrefix="0" xfId="25">
      <alignment horizontal="center" vertical="center"/>
    </xf>
    <xf numFmtId="164" fontId="4" fillId="0" borderId="78" applyAlignment="1" pivotButton="0" quotePrefix="0" xfId="25">
      <alignment horizontal="right" vertical="center"/>
    </xf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" fillId="0" borderId="34" applyAlignment="1" pivotButton="0" quotePrefix="0" xfId="25">
      <alignment horizontal="center" vertical="center"/>
    </xf>
    <xf numFmtId="166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0" fontId="35" fillId="0" borderId="80" applyAlignment="1" pivotButton="0" quotePrefix="0" xfId="24">
      <alignment horizontal="center" vertical="center"/>
    </xf>
    <xf numFmtId="0" fontId="4" fillId="0" borderId="70" applyAlignment="1" pivotButton="0" quotePrefix="0" xfId="25">
      <alignment horizontal="center" vertical="center"/>
    </xf>
    <xf numFmtId="0" fontId="0" fillId="0" borderId="53" pivotButton="0" quotePrefix="0" xfId="0"/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14" fontId="36" fillId="0" borderId="27" applyAlignment="1" applyProtection="1" pivotButton="0" quotePrefix="1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4" fontId="47" fillId="0" borderId="70" applyAlignment="1" pivotButton="0" quotePrefix="0" xfId="25">
      <alignment horizontal="right" vertical="center"/>
    </xf>
    <xf numFmtId="0" fontId="4" fillId="0" borderId="107" applyAlignment="1" pivotButton="0" quotePrefix="0" xfId="25">
      <alignment horizontal="center" vertical="center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6" fontId="4" fillId="0" borderId="70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43" fillId="0" borderId="109" applyAlignment="1" pivotButton="0" quotePrefix="0" xfId="25">
      <alignment horizontal="left" vertical="center" wrapText="1"/>
    </xf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2" pivotButton="0" quotePrefix="0" xfId="0"/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50" fillId="0" borderId="0" applyAlignment="1" pivotButton="0" quotePrefix="0" xfId="24">
      <alignment horizontal="center" vertical="center"/>
    </xf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45" fillId="0" borderId="11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1" fontId="103" fillId="25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49" fontId="30" fillId="15" borderId="34" applyAlignment="1" pivotButton="0" quotePrefix="0" xfId="0">
      <alignment horizontal="center" vertical="center" wrapText="1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0" fillId="0" borderId="59" pivotButton="0" quotePrefix="0" xfId="0"/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0" fontId="0" fillId="0" borderId="30" pivotButton="0" quotePrefix="0" xfId="0"/>
    <xf numFmtId="166" fontId="99" fillId="27" borderId="89" applyAlignment="1" applyProtection="1" pivotButton="0" quotePrefix="0" xfId="0">
      <alignment vertical="center"/>
      <protection locked="0" hidden="0"/>
    </xf>
    <xf numFmtId="1" fontId="99" fillId="27" borderId="89" applyAlignment="1" applyProtection="1" pivotButton="0" quotePrefix="0" xfId="0">
      <alignment vertical="center"/>
      <protection locked="0" hidden="0"/>
    </xf>
    <xf numFmtId="49" fontId="30" fillId="25" borderId="35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15" borderId="82" applyAlignment="1" pivotButton="0" quotePrefix="0" xfId="0">
      <alignment horizontal="center" vertical="center" wrapText="1"/>
    </xf>
    <xf numFmtId="0" fontId="0" fillId="0" borderId="63" pivotButton="0" quotePrefix="0" xfId="0"/>
    <xf numFmtId="1" fontId="101" fillId="28" borderId="89" applyAlignment="1" applyProtection="1" pivotButton="0" quotePrefix="0" xfId="0">
      <alignment vertical="center"/>
      <protection locked="0" hidden="0"/>
    </xf>
    <xf numFmtId="49" fontId="30" fillId="20" borderId="87" applyAlignment="1" pivotButton="0" quotePrefix="0" xfId="0">
      <alignment horizontal="center" vertical="center" wrapText="1"/>
    </xf>
    <xf numFmtId="49" fontId="29" fillId="23" borderId="86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0" fontId="23" fillId="15" borderId="90" applyAlignment="1" pivotButton="0" quotePrefix="0" xfId="0">
      <alignment horizontal="center" vertical="center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49" fontId="2" fillId="15" borderId="74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49" fontId="2" fillId="23" borderId="74" applyAlignment="1" pivotButton="0" quotePrefix="0" xfId="0">
      <alignment horizontal="center" vertical="center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0" fontId="66" fillId="14" borderId="34" applyAlignment="1" pivotButton="0" quotePrefix="0" xfId="0">
      <alignment horizontal="center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" fontId="99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5" borderId="89" applyAlignment="1" applyProtection="1" pivotButton="0" quotePrefix="0" xfId="0">
      <alignment vertical="center"/>
      <protection locked="0" hidden="0"/>
    </xf>
    <xf numFmtId="0" fontId="70" fillId="11" borderId="36" applyAlignment="1" applyProtection="1" pivotButton="0" quotePrefix="0" xfId="0">
      <alignment horizontal="left"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166" fontId="99" fillId="23" borderId="89" applyAlignment="1" applyProtection="1" pivotButton="0" quotePrefix="0" xfId="0">
      <alignment vertical="center"/>
      <protection locked="0" hidden="0"/>
    </xf>
    <xf numFmtId="49" fontId="69" fillId="16" borderId="0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1" fontId="103" fillId="23" borderId="89" applyAlignment="1" applyProtection="1" pivotButton="0" quotePrefix="0" xfId="0">
      <alignment vertical="center"/>
      <protection locked="0" hidden="0"/>
    </xf>
    <xf numFmtId="1" fontId="99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166" fontId="99" fillId="15" borderId="89" applyAlignment="1" applyProtection="1" pivotButton="0" quotePrefix="0" xfId="0">
      <alignment vertical="center"/>
      <protection locked="0" hidden="0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0" fontId="23" fillId="25" borderId="90" applyAlignment="1" pivotButton="0" quotePrefix="0" xfId="0">
      <alignment horizontal="center" vertical="center"/>
    </xf>
    <xf numFmtId="0" fontId="23" fillId="28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49" fontId="102" fillId="0" borderId="74" applyAlignment="1" pivotButton="0" quotePrefix="0" xfId="0">
      <alignment horizontal="center" vertical="center"/>
    </xf>
    <xf numFmtId="1" fontId="104" fillId="28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20" borderId="84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91" fillId="0" borderId="44" applyAlignment="1" applyProtection="1" pivotButton="0" quotePrefix="0" xfId="27">
      <alignment horizontal="right"/>
      <protection locked="0" hidden="0"/>
    </xf>
    <xf numFmtId="0" fontId="91" fillId="0" borderId="8" applyAlignment="1" applyProtection="1" pivotButton="0" quotePrefix="0" xfId="27">
      <alignment horizontal="center"/>
      <protection locked="0" hidden="0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4" fontId="91" fillId="0" borderId="44" applyAlignment="1" pivotButton="0" quotePrefix="0" xfId="27">
      <alignment horizontal="center"/>
    </xf>
    <xf numFmtId="164" fontId="91" fillId="0" borderId="44" applyAlignment="1" pivotButton="0" quotePrefix="0" xfId="27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3" applyProtection="1" pivotButton="0" quotePrefix="0" xfId="0">
      <protection locked="0" hidden="0"/>
    </xf>
    <xf numFmtId="0" fontId="64" fillId="0" borderId="8" applyAlignment="1" pivotButton="0" quotePrefix="0" xfId="25">
      <alignment horizontal="center" vertical="center" wrapText="1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pivotButton="0" quotePrefix="0" xfId="25">
      <alignment horizontal="center" vertical="center" wrapText="1"/>
    </xf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0" fontId="0" fillId="0" borderId="14" applyProtection="1" pivotButton="0" quotePrefix="0" xfId="0">
      <protection locked="0" hidden="0"/>
    </xf>
    <xf numFmtId="0" fontId="61" fillId="0" borderId="14" applyAlignment="1" pivotButton="0" quotePrefix="0" xfId="25">
      <alignment horizontal="left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G19" sqref="A1:T19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9</v>
      </c>
    </row>
    <row r="2">
      <c r="A2" t="inlineStr">
        <is>
          <t>1P</t>
        </is>
      </c>
      <c r="B2" t="inlineStr">
        <is>
          <t>1</t>
        </is>
      </c>
      <c r="C2" t="inlineStr">
        <is>
          <t>LBZ</t>
        </is>
      </c>
      <c r="D2" t="inlineStr">
        <is>
          <t>ANTALYA OPET</t>
        </is>
      </c>
      <c r="E2" t="inlineStr">
        <is>
          <t>1P</t>
        </is>
      </c>
      <c r="F2" s="320" t="n">
        <v>105.2265415549598</v>
      </c>
      <c r="G2" s="320" t="n">
        <v>19</v>
      </c>
      <c r="H2" s="320" t="n">
        <v>97.5</v>
      </c>
      <c r="I2" s="320" t="n">
        <v>0</v>
      </c>
      <c r="J2" s="108" t="n">
        <v>105.2265415549598</v>
      </c>
      <c r="K2" s="108" t="n">
        <v>778.245</v>
      </c>
      <c r="L2" s="317" t="n">
        <v>0.9999670000000001</v>
      </c>
      <c r="M2" s="108" t="n">
        <v>778.219317915</v>
      </c>
      <c r="N2" s="317" t="n">
        <v>0.995018852618006</v>
      </c>
      <c r="O2" s="108" t="n">
        <v>774.3434693800001</v>
      </c>
      <c r="P2" s="318" t="n">
        <v>0.733</v>
      </c>
      <c r="Q2" s="108" t="n">
        <v>567.5937630555401</v>
      </c>
      <c r="R2" s="318" t="n">
        <v>0.7319</v>
      </c>
      <c r="S2" s="108" t="n">
        <v>566.7419852392221</v>
      </c>
    </row>
    <row r="3">
      <c r="A3" t="inlineStr">
        <is>
          <t>1S</t>
        </is>
      </c>
      <c r="B3" t="inlineStr">
        <is>
          <t>1</t>
        </is>
      </c>
      <c r="C3" t="inlineStr">
        <is>
          <t>LBZ</t>
        </is>
      </c>
      <c r="D3" t="inlineStr">
        <is>
          <t>ANTALYA OPET</t>
        </is>
      </c>
      <c r="E3" t="inlineStr">
        <is>
          <t>1S</t>
        </is>
      </c>
      <c r="F3" s="320" t="n">
        <v>105.7761194029851</v>
      </c>
      <c r="G3" s="320" t="n">
        <v>19</v>
      </c>
      <c r="H3" s="320" t="n">
        <v>97.5</v>
      </c>
      <c r="I3" s="320" t="n">
        <v>0</v>
      </c>
      <c r="J3" s="108" t="n">
        <v>105.7761194029851</v>
      </c>
      <c r="K3" s="108" t="n">
        <v>772.5899999999999</v>
      </c>
      <c r="L3" s="317" t="n">
        <v>0.9999670000000001</v>
      </c>
      <c r="M3" s="108" t="n">
        <v>772.5645045299999</v>
      </c>
      <c r="N3" s="317" t="n">
        <v>0.995018852618006</v>
      </c>
      <c r="O3" s="108" t="n">
        <v>768.7176263000001</v>
      </c>
      <c r="P3" s="318" t="n">
        <v>0.733</v>
      </c>
      <c r="Q3" s="108" t="n">
        <v>563.4700200779001</v>
      </c>
      <c r="R3" s="318" t="n">
        <v>0.7319</v>
      </c>
      <c r="S3" s="108" t="n">
        <v>562.6244306889701</v>
      </c>
    </row>
    <row r="4">
      <c r="A4" t="inlineStr">
        <is>
          <t>2P</t>
        </is>
      </c>
      <c r="B4" t="inlineStr">
        <is>
          <t>3</t>
        </is>
      </c>
      <c r="C4" t="inlineStr">
        <is>
          <t>MOTORİN</t>
        </is>
      </c>
      <c r="D4" t="inlineStr">
        <is>
          <t>MERSİN OPET</t>
        </is>
      </c>
      <c r="E4" t="inlineStr">
        <is>
          <t>2P</t>
        </is>
      </c>
      <c r="F4" s="320" t="n">
        <v>112.5890845070421</v>
      </c>
      <c r="G4" s="320" t="n">
        <v>19</v>
      </c>
      <c r="H4" s="320" t="n">
        <v>97.50000000000001</v>
      </c>
      <c r="I4" s="320" t="n">
        <v>0</v>
      </c>
      <c r="J4" s="108" t="n">
        <v>112.5890845070421</v>
      </c>
      <c r="K4" s="108" t="n">
        <v>1594.8075</v>
      </c>
      <c r="L4" s="317" t="n">
        <v>0.9999670000000001</v>
      </c>
      <c r="M4" s="108" t="n">
        <v>1594.7548713525</v>
      </c>
      <c r="N4" s="317" t="n">
        <v>0.9965534791203022</v>
      </c>
      <c r="O4" s="108" t="n">
        <v>1589.25309525</v>
      </c>
      <c r="P4" s="318" t="n">
        <v>0.8310999999999999</v>
      </c>
      <c r="Q4" s="108" t="n">
        <v>1320.828247462275</v>
      </c>
      <c r="R4" s="318" t="n">
        <v>0.83</v>
      </c>
      <c r="S4" s="108" t="n">
        <v>1319.0800690575</v>
      </c>
    </row>
    <row r="5">
      <c r="A5" t="inlineStr">
        <is>
          <t>2S</t>
        </is>
      </c>
      <c r="B5" t="inlineStr">
        <is>
          <t>2</t>
        </is>
      </c>
      <c r="C5" t="inlineStr">
        <is>
          <t>KBZ</t>
        </is>
      </c>
      <c r="D5" t="inlineStr">
        <is>
          <t>ANTALYA TÜPRAŞ</t>
        </is>
      </c>
      <c r="E5" t="inlineStr">
        <is>
          <t>2S</t>
        </is>
      </c>
      <c r="F5" s="320" t="n">
        <v>111.5028268551238</v>
      </c>
      <c r="G5" s="320" t="n">
        <v>19</v>
      </c>
      <c r="H5" s="320" t="n">
        <v>97.5</v>
      </c>
      <c r="I5" s="320" t="n">
        <v>0</v>
      </c>
      <c r="J5" s="108" t="n">
        <v>111.5028268551238</v>
      </c>
      <c r="K5" s="108" t="n">
        <v>1594.2225</v>
      </c>
      <c r="L5" s="317" t="n">
        <v>0.9999670000000001</v>
      </c>
      <c r="M5" s="108" t="n">
        <v>1594.1698906575</v>
      </c>
      <c r="N5" s="317" t="n">
        <v>0.995018852618006</v>
      </c>
      <c r="O5" s="108" t="n">
        <v>1586.2310334</v>
      </c>
      <c r="P5" s="318" t="n">
        <v>0.733</v>
      </c>
      <c r="Q5" s="108" t="n">
        <v>1162.7073474822</v>
      </c>
      <c r="R5" s="318" t="n">
        <v>0.7319</v>
      </c>
      <c r="S5" s="108" t="n">
        <v>1160.96249334546</v>
      </c>
    </row>
    <row r="6">
      <c r="A6" t="inlineStr">
        <is>
          <t>3P</t>
        </is>
      </c>
      <c r="B6" t="inlineStr">
        <is>
          <t>1</t>
        </is>
      </c>
      <c r="C6" t="inlineStr">
        <is>
          <t>LBZ</t>
        </is>
      </c>
      <c r="D6" t="inlineStr">
        <is>
          <t>ANTALYA OPET</t>
        </is>
      </c>
      <c r="E6" t="inlineStr">
        <is>
          <t>3P</t>
        </is>
      </c>
      <c r="F6" s="320" t="n">
        <v>113.0730533683291</v>
      </c>
      <c r="G6" s="320" t="n">
        <v>19</v>
      </c>
      <c r="H6" s="320" t="n">
        <v>97.49999999999999</v>
      </c>
      <c r="I6" s="320" t="n">
        <v>0</v>
      </c>
      <c r="J6" s="108" t="n">
        <v>113.0730533683291</v>
      </c>
      <c r="K6" s="108" t="n">
        <v>1346.9625</v>
      </c>
      <c r="L6" s="317" t="n">
        <v>0.9999670000000001</v>
      </c>
      <c r="M6" s="108" t="n">
        <v>1346.9180502375</v>
      </c>
      <c r="N6" s="317" t="n">
        <v>0.995018852618006</v>
      </c>
      <c r="O6" s="108" t="n">
        <v>1340.21034836</v>
      </c>
      <c r="P6" s="318" t="n">
        <v>0.733</v>
      </c>
      <c r="Q6" s="108" t="n">
        <v>982.3741853478799</v>
      </c>
      <c r="R6" s="318" t="n">
        <v>0.7319</v>
      </c>
      <c r="S6" s="108" t="n">
        <v>980.899953964684</v>
      </c>
    </row>
    <row r="7">
      <c r="A7" t="inlineStr">
        <is>
          <t>3S</t>
        </is>
      </c>
      <c r="B7" t="inlineStr">
        <is>
          <t>2</t>
        </is>
      </c>
      <c r="C7" t="inlineStr">
        <is>
          <t>KBZ</t>
        </is>
      </c>
      <c r="D7" t="inlineStr">
        <is>
          <t>ANTALYA TÜPRAŞ</t>
        </is>
      </c>
      <c r="E7" t="inlineStr">
        <is>
          <t>3S</t>
        </is>
      </c>
      <c r="F7" s="320" t="n">
        <v>112.025394045534</v>
      </c>
      <c r="G7" s="320" t="n">
        <v>19</v>
      </c>
      <c r="H7" s="320" t="n">
        <v>97.50000000000001</v>
      </c>
      <c r="I7" s="320" t="n">
        <v>0</v>
      </c>
      <c r="J7" s="108" t="n">
        <v>112.0253940455339</v>
      </c>
      <c r="K7" s="108" t="n">
        <v>1347.84</v>
      </c>
      <c r="L7" s="317" t="n">
        <v>0.9999670000000001</v>
      </c>
      <c r="M7" s="108" t="n">
        <v>1347.79552128</v>
      </c>
      <c r="N7" s="317" t="n">
        <v>0.995018852618006</v>
      </c>
      <c r="O7" s="108" t="n">
        <v>1341.08397592</v>
      </c>
      <c r="P7" s="318" t="n">
        <v>0.733</v>
      </c>
      <c r="Q7" s="108" t="n">
        <v>983.01455434936</v>
      </c>
      <c r="R7" s="318" t="n">
        <v>0.7319</v>
      </c>
      <c r="S7" s="108" t="n">
        <v>981.539361975848</v>
      </c>
    </row>
    <row r="8">
      <c r="A8" t="inlineStr">
        <is>
          <t>4P</t>
        </is>
      </c>
      <c r="B8" t="inlineStr">
        <is>
          <t>3</t>
        </is>
      </c>
      <c r="C8" t="inlineStr">
        <is>
          <t>MOTORİN</t>
        </is>
      </c>
      <c r="D8" t="inlineStr">
        <is>
          <t>MERSİN OPET</t>
        </is>
      </c>
      <c r="E8" t="inlineStr">
        <is>
          <t>4P</t>
        </is>
      </c>
      <c r="F8" s="320" t="n">
        <v>112.3914185639229</v>
      </c>
      <c r="G8" s="320" t="n">
        <v>19</v>
      </c>
      <c r="H8" s="320" t="n">
        <v>97.5</v>
      </c>
      <c r="I8" s="320" t="n">
        <v>0</v>
      </c>
      <c r="J8" s="108" t="n">
        <v>112.3914185639229</v>
      </c>
      <c r="K8" s="108" t="n">
        <v>1347.45</v>
      </c>
      <c r="L8" s="317" t="n">
        <v>0.9999670000000001</v>
      </c>
      <c r="M8" s="108" t="n">
        <v>1347.40553415</v>
      </c>
      <c r="N8" s="317" t="n">
        <v>0.9965534791203022</v>
      </c>
      <c r="O8" s="108" t="n">
        <v>1342.7574493</v>
      </c>
      <c r="P8" s="318" t="n">
        <v>0.8310999999999999</v>
      </c>
      <c r="Q8" s="108" t="n">
        <v>1115.96571611323</v>
      </c>
      <c r="R8" s="318" t="n">
        <v>0.83</v>
      </c>
      <c r="S8" s="108" t="n">
        <v>1114.488682919</v>
      </c>
    </row>
    <row r="9">
      <c r="A9" t="inlineStr">
        <is>
          <t>4S</t>
        </is>
      </c>
      <c r="B9" t="inlineStr">
        <is>
          <t>3</t>
        </is>
      </c>
      <c r="C9" t="inlineStr">
        <is>
          <t>MOTORİN</t>
        </is>
      </c>
      <c r="D9" t="inlineStr">
        <is>
          <t>MERSİN OPET</t>
        </is>
      </c>
      <c r="E9" t="inlineStr">
        <is>
          <t>4S</t>
        </is>
      </c>
      <c r="F9" s="320" t="n">
        <v>111.0319894829099</v>
      </c>
      <c r="G9" s="320" t="n">
        <v>19</v>
      </c>
      <c r="H9" s="320" t="n">
        <v>97.49999999999999</v>
      </c>
      <c r="I9" s="320" t="n">
        <v>0</v>
      </c>
      <c r="J9" s="108" t="n">
        <v>111.0319894829099</v>
      </c>
      <c r="K9" s="108" t="n">
        <v>1347.7425</v>
      </c>
      <c r="L9" s="317" t="n">
        <v>0.9999670000000001</v>
      </c>
      <c r="M9" s="108" t="n">
        <v>1347.6980244975</v>
      </c>
      <c r="N9" s="317" t="n">
        <v>0.9965534791203022</v>
      </c>
      <c r="O9" s="108" t="n">
        <v>1343.0484419</v>
      </c>
      <c r="P9" s="318" t="n">
        <v>0.8310999999999999</v>
      </c>
      <c r="Q9" s="108" t="n">
        <v>1116.20756006309</v>
      </c>
      <c r="R9" s="318" t="n">
        <v>0.83</v>
      </c>
      <c r="S9" s="108" t="n">
        <v>1114.730206777</v>
      </c>
    </row>
    <row r="10">
      <c r="A10" t="inlineStr">
        <is>
          <t>5P</t>
        </is>
      </c>
      <c r="B10" t="inlineStr">
        <is>
          <t>4</t>
        </is>
      </c>
      <c r="C10" t="inlineStr">
        <is>
          <t>JET</t>
        </is>
      </c>
      <c r="D10" t="inlineStr">
        <is>
          <t>MERSİN POAŞ</t>
        </is>
      </c>
      <c r="E10" t="inlineStr">
        <is>
          <t>5P</t>
        </is>
      </c>
      <c r="F10" s="320" t="n">
        <v>112.8435582822086</v>
      </c>
      <c r="G10" s="320" t="n">
        <v>19</v>
      </c>
      <c r="H10" s="320" t="n">
        <v>97.5</v>
      </c>
      <c r="I10" s="320" t="n">
        <v>0</v>
      </c>
      <c r="J10" s="108" t="n">
        <v>112.8435582822086</v>
      </c>
      <c r="K10" s="108" t="n">
        <v>1347.5475</v>
      </c>
      <c r="L10" s="317" t="n">
        <v>0.9999670000000001</v>
      </c>
      <c r="M10" s="108" t="n">
        <v>1347.5030309325</v>
      </c>
      <c r="N10" s="317" t="n">
        <v>0.9961957376526086</v>
      </c>
      <c r="O10" s="108" t="n">
        <v>1342.3824886</v>
      </c>
      <c r="P10" s="318" t="n">
        <v>0.7911</v>
      </c>
      <c r="Q10" s="108" t="n">
        <v>1061.95878673146</v>
      </c>
      <c r="R10" s="318" t="n">
        <v>0.79</v>
      </c>
      <c r="S10" s="108" t="n">
        <v>1060.482165994</v>
      </c>
    </row>
    <row r="11">
      <c r="A11" t="inlineStr">
        <is>
          <t>5S</t>
        </is>
      </c>
      <c r="B11" t="inlineStr">
        <is>
          <t>4</t>
        </is>
      </c>
      <c r="C11" t="inlineStr">
        <is>
          <t>JET</t>
        </is>
      </c>
      <c r="D11" t="inlineStr">
        <is>
          <t>MERSİN POAŞ</t>
        </is>
      </c>
      <c r="E11" t="inlineStr">
        <is>
          <t>5S</t>
        </is>
      </c>
      <c r="F11" s="320" t="n">
        <v>113.178947368421</v>
      </c>
      <c r="G11" s="320" t="n">
        <v>19</v>
      </c>
      <c r="H11" s="320" t="n">
        <v>97.5</v>
      </c>
      <c r="I11" s="320" t="n">
        <v>0</v>
      </c>
      <c r="J11" s="108" t="n">
        <v>113.178947368421</v>
      </c>
      <c r="K11" s="108" t="n">
        <v>1347.45</v>
      </c>
      <c r="L11" s="317" t="n">
        <v>0.9999670000000001</v>
      </c>
      <c r="M11" s="108" t="n">
        <v>1347.40553415</v>
      </c>
      <c r="N11" s="317" t="n">
        <v>0.9961957376526086</v>
      </c>
      <c r="O11" s="108" t="n">
        <v>1342.2858572</v>
      </c>
      <c r="P11" s="318" t="n">
        <v>0.7911</v>
      </c>
      <c r="Q11" s="108" t="n">
        <v>1061.88234163092</v>
      </c>
      <c r="R11" s="318" t="n">
        <v>0.79</v>
      </c>
      <c r="S11" s="108" t="n">
        <v>1060.405827188</v>
      </c>
    </row>
    <row r="12">
      <c r="A12" t="inlineStr">
        <is>
          <t>6P</t>
        </is>
      </c>
      <c r="B12" t="inlineStr">
        <is>
          <t>2</t>
        </is>
      </c>
      <c r="C12" t="inlineStr">
        <is>
          <t>KBZ</t>
        </is>
      </c>
      <c r="D12" t="inlineStr">
        <is>
          <t>ANTALYA TÜPRAŞ</t>
        </is>
      </c>
      <c r="E12" t="inlineStr">
        <is>
          <t>6P</t>
        </is>
      </c>
      <c r="F12" s="320" t="n">
        <v>112.2942494398806</v>
      </c>
      <c r="G12" s="320" t="n">
        <v>19</v>
      </c>
      <c r="H12" s="320" t="n">
        <v>97.49999999999999</v>
      </c>
      <c r="I12" s="320" t="n">
        <v>0</v>
      </c>
      <c r="J12" s="108" t="n">
        <v>112.2942494398806</v>
      </c>
      <c r="K12" s="108" t="n">
        <v>1345.305</v>
      </c>
      <c r="L12" s="317" t="n">
        <v>0.9999670000000001</v>
      </c>
      <c r="M12" s="108" t="n">
        <v>1345.260604935</v>
      </c>
      <c r="N12" s="317" t="n">
        <v>0.995018852618006</v>
      </c>
      <c r="O12" s="108" t="n">
        <v>1338.56160022</v>
      </c>
      <c r="P12" s="318" t="n">
        <v>0.733</v>
      </c>
      <c r="Q12" s="108" t="n">
        <v>981.16565296126</v>
      </c>
      <c r="R12" s="318" t="n">
        <v>0.7319</v>
      </c>
      <c r="S12" s="108" t="n">
        <v>979.693235201018</v>
      </c>
    </row>
    <row r="13">
      <c r="A13" t="inlineStr">
        <is>
          <t>6S</t>
        </is>
      </c>
      <c r="B13" t="inlineStr">
        <is>
          <t>2</t>
        </is>
      </c>
      <c r="C13" t="inlineStr">
        <is>
          <t>KBZ</t>
        </is>
      </c>
      <c r="D13" t="inlineStr">
        <is>
          <t>ANTALYA TÜPRAŞ</t>
        </is>
      </c>
      <c r="E13" t="inlineStr">
        <is>
          <t>6S</t>
        </is>
      </c>
      <c r="F13" s="320" t="n">
        <v>112.6928822495606</v>
      </c>
      <c r="G13" s="320" t="n">
        <v>19</v>
      </c>
      <c r="H13" s="320" t="n">
        <v>97.5</v>
      </c>
      <c r="I13" s="320" t="n">
        <v>0</v>
      </c>
      <c r="J13" s="108" t="n">
        <v>112.6928822495607</v>
      </c>
      <c r="K13" s="108" t="n">
        <v>1345.9875</v>
      </c>
      <c r="L13" s="317" t="n">
        <v>0.9999670000000001</v>
      </c>
      <c r="M13" s="108" t="n">
        <v>1345.9430824125</v>
      </c>
      <c r="N13" s="317" t="n">
        <v>0.995018852618006</v>
      </c>
      <c r="O13" s="108" t="n">
        <v>1339.24020386</v>
      </c>
      <c r="P13" s="318" t="n">
        <v>0.733</v>
      </c>
      <c r="Q13" s="108" t="n">
        <v>981.66306942938</v>
      </c>
      <c r="R13" s="318" t="n">
        <v>0.7319</v>
      </c>
      <c r="S13" s="108" t="n">
        <v>980.1899052051341</v>
      </c>
    </row>
    <row r="14">
      <c r="A14" t="inlineStr">
        <is>
          <t>7P</t>
        </is>
      </c>
      <c r="B14" t="inlineStr">
        <is>
          <t>4</t>
        </is>
      </c>
      <c r="C14" t="inlineStr">
        <is>
          <t>JET</t>
        </is>
      </c>
      <c r="D14" t="inlineStr">
        <is>
          <t>MERSİN POAŞ</t>
        </is>
      </c>
      <c r="E14" t="inlineStr">
        <is>
          <t>7P</t>
        </is>
      </c>
      <c r="F14" s="320" t="n">
        <v>113.2719298245614</v>
      </c>
      <c r="G14" s="320" t="n">
        <v>19</v>
      </c>
      <c r="H14" s="320" t="n">
        <v>97.50000000000001</v>
      </c>
      <c r="I14" s="320" t="n">
        <v>0</v>
      </c>
      <c r="J14" s="108" t="n">
        <v>113.2719298245614</v>
      </c>
      <c r="K14" s="108" t="n">
        <v>1344.135</v>
      </c>
      <c r="L14" s="317" t="n">
        <v>0.9999670000000001</v>
      </c>
      <c r="M14" s="108" t="n">
        <v>1344.090643545</v>
      </c>
      <c r="N14" s="317" t="n">
        <v>0.9961957376526086</v>
      </c>
      <c r="O14" s="108" t="n">
        <v>1338.9834542</v>
      </c>
      <c r="P14" s="318" t="n">
        <v>0.7911</v>
      </c>
      <c r="Q14" s="108" t="n">
        <v>1059.26981061762</v>
      </c>
      <c r="R14" s="318" t="n">
        <v>0.79</v>
      </c>
      <c r="S14" s="108" t="n">
        <v>1057.796928818</v>
      </c>
    </row>
    <row r="15">
      <c r="A15" t="inlineStr">
        <is>
          <t>7S</t>
        </is>
      </c>
      <c r="B15" t="inlineStr">
        <is>
          <t>4</t>
        </is>
      </c>
      <c r="C15" t="inlineStr">
        <is>
          <t>JET</t>
        </is>
      </c>
      <c r="D15" t="inlineStr">
        <is>
          <t>MERSİN POAŞ</t>
        </is>
      </c>
      <c r="E15" t="inlineStr">
        <is>
          <t>7S</t>
        </is>
      </c>
      <c r="F15" s="320" t="n">
        <v>113.3970976253297</v>
      </c>
      <c r="G15" s="320" t="n">
        <v>19</v>
      </c>
      <c r="H15" s="320" t="n">
        <v>97.5</v>
      </c>
      <c r="I15" s="320" t="n">
        <v>0</v>
      </c>
      <c r="J15" s="108" t="n">
        <v>113.3970976253297</v>
      </c>
      <c r="K15" s="108" t="n">
        <v>1343.0625</v>
      </c>
      <c r="L15" s="317" t="n">
        <v>0.9999670000000001</v>
      </c>
      <c r="M15" s="108" t="n">
        <v>1343.0181789375</v>
      </c>
      <c r="N15" s="317" t="n">
        <v>0.9961957376526086</v>
      </c>
      <c r="O15" s="108" t="n">
        <v>1337.9145316</v>
      </c>
      <c r="P15" s="318" t="n">
        <v>0.7911</v>
      </c>
      <c r="Q15" s="108" t="n">
        <v>1058.42418594876</v>
      </c>
      <c r="R15" s="318" t="n">
        <v>0.79</v>
      </c>
      <c r="S15" s="108" t="n">
        <v>1056.952479964</v>
      </c>
    </row>
    <row r="16">
      <c r="A16" t="inlineStr">
        <is>
          <t>8P</t>
        </is>
      </c>
      <c r="B16" t="inlineStr">
        <is>
          <t>1</t>
        </is>
      </c>
      <c r="C16" t="inlineStr">
        <is>
          <t>LBZ</t>
        </is>
      </c>
      <c r="D16" t="inlineStr">
        <is>
          <t>ANTALYA OPET</t>
        </is>
      </c>
      <c r="E16" t="inlineStr">
        <is>
          <t>8P</t>
        </is>
      </c>
      <c r="F16" s="320" t="n">
        <v>110.3125548726955</v>
      </c>
      <c r="G16" s="320" t="n">
        <v>19</v>
      </c>
      <c r="H16" s="320" t="n">
        <v>97.5</v>
      </c>
      <c r="I16" s="320" t="n">
        <v>0</v>
      </c>
      <c r="J16" s="108" t="n">
        <v>110.3125548726955</v>
      </c>
      <c r="K16" s="108" t="n">
        <v>1270.035</v>
      </c>
      <c r="L16" s="317" t="n">
        <v>0.9999670000000001</v>
      </c>
      <c r="M16" s="108" t="n">
        <v>1269.993088845</v>
      </c>
      <c r="N16" s="317" t="n">
        <v>0.995018852618006</v>
      </c>
      <c r="O16" s="108" t="n">
        <v>1263.66843486</v>
      </c>
      <c r="P16" s="318" t="n">
        <v>0.733</v>
      </c>
      <c r="Q16" s="108" t="n">
        <v>926.2689627523799</v>
      </c>
      <c r="R16" s="318" t="n">
        <v>0.7319</v>
      </c>
      <c r="S16" s="108" t="n">
        <v>924.878927474034</v>
      </c>
    </row>
    <row r="17">
      <c r="A17" t="inlineStr">
        <is>
          <t>8S</t>
        </is>
      </c>
      <c r="B17" t="inlineStr">
        <is>
          <t>1</t>
        </is>
      </c>
      <c r="C17" t="inlineStr">
        <is>
          <t>LBZ</t>
        </is>
      </c>
      <c r="D17" t="inlineStr">
        <is>
          <t>ANTALYA OPET</t>
        </is>
      </c>
      <c r="E17" t="inlineStr">
        <is>
          <t>8S</t>
        </is>
      </c>
      <c r="F17" s="320" t="n">
        <v>112.1182937554968</v>
      </c>
      <c r="G17" s="320" t="n">
        <v>19</v>
      </c>
      <c r="H17" s="320" t="n">
        <v>97.5</v>
      </c>
      <c r="I17" s="320" t="n">
        <v>0</v>
      </c>
      <c r="J17" s="108" t="n">
        <v>112.1182937554968</v>
      </c>
      <c r="K17" s="108" t="n">
        <v>1269.9375</v>
      </c>
      <c r="L17" s="317" t="n">
        <v>0.9999670000000001</v>
      </c>
      <c r="M17" s="108" t="n">
        <v>1269.8955920625</v>
      </c>
      <c r="N17" s="317" t="n">
        <v>0.995018852618006</v>
      </c>
      <c r="O17" s="108" t="n">
        <v>1263.57191792</v>
      </c>
      <c r="P17" s="318" t="n">
        <v>0.733</v>
      </c>
      <c r="Q17" s="108" t="n">
        <v>926.19821583536</v>
      </c>
      <c r="R17" s="318" t="n">
        <v>0.7319</v>
      </c>
      <c r="S17" s="108" t="n">
        <v>924.808286725648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0" t="n"/>
      <c r="G18" s="320" t="n">
        <v>19</v>
      </c>
      <c r="H18" s="320" t="n"/>
      <c r="I18" s="320" t="n">
        <v>0</v>
      </c>
      <c r="J18" s="108" t="n"/>
      <c r="K18" s="108" t="n">
        <v>0</v>
      </c>
      <c r="L18" s="317" t="n">
        <v>1</v>
      </c>
      <c r="M18" s="108" t="n">
        <v>0</v>
      </c>
      <c r="N18" s="317" t="n">
        <v>1</v>
      </c>
      <c r="O18" s="108" t="n">
        <v>0</v>
      </c>
      <c r="P18" s="318" t="n">
        <v>0.9</v>
      </c>
      <c r="Q18" s="108" t="n">
        <v>0</v>
      </c>
      <c r="R18" s="318" t="n">
        <v>0</v>
      </c>
      <c r="S18" s="108" t="n">
        <v>0</v>
      </c>
    </row>
    <row r="19">
      <c r="A19" t="inlineStr">
        <is>
          <t>SlopS</t>
        </is>
      </c>
      <c r="B19" t="inlineStr">
        <is>
          <t>3</t>
        </is>
      </c>
      <c r="C19" t="inlineStr">
        <is>
          <t>MOTORİN</t>
        </is>
      </c>
      <c r="D19" t="inlineStr">
        <is>
          <t>MERSİN OPET</t>
        </is>
      </c>
      <c r="E19" t="inlineStr">
        <is>
          <t>SlopS</t>
        </is>
      </c>
      <c r="F19" s="320" t="n">
        <v>183.6128205128205</v>
      </c>
      <c r="G19" s="320" t="n">
        <v>19</v>
      </c>
      <c r="H19" s="320" t="n">
        <v>90</v>
      </c>
      <c r="I19" s="320" t="n">
        <v>0</v>
      </c>
      <c r="J19" s="108" t="n">
        <v>183.6128205128205</v>
      </c>
      <c r="K19" s="108" t="n">
        <v>358.74</v>
      </c>
      <c r="L19" s="317" t="n">
        <v>0.9999670000000001</v>
      </c>
      <c r="M19" s="108" t="n">
        <v>358.72816158</v>
      </c>
      <c r="N19" s="317" t="n">
        <v>0.9965534791203022</v>
      </c>
      <c r="O19" s="108" t="n">
        <v>357.4903884</v>
      </c>
      <c r="P19" s="318" t="n">
        <v>0.8310999999999999</v>
      </c>
      <c r="Q19" s="108" t="n">
        <v>297.11026179924</v>
      </c>
      <c r="R19" s="318" t="n">
        <v>0.83</v>
      </c>
      <c r="S19" s="108" t="n">
        <v>296.717022372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B16" sqref="A1:XFD1048576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1</t>
        </is>
      </c>
      <c r="B2" t="inlineStr">
        <is>
          <t>LBZ</t>
        </is>
      </c>
      <c r="C2" t="inlineStr">
        <is>
          <t>ANTALYA OPET</t>
        </is>
      </c>
      <c r="D2" s="318" t="n">
        <v>0.733</v>
      </c>
      <c r="E2" s="108" t="n">
        <v>5437.77</v>
      </c>
      <c r="F2" s="108" t="n">
        <v>5437.59055359</v>
      </c>
      <c r="G2" s="108" t="n">
        <v>3965.90514706906</v>
      </c>
      <c r="H2" s="108" t="n">
        <v>3959.953584092558</v>
      </c>
      <c r="I2" t="inlineStr">
        <is>
          <t>#FF6B6B</t>
        </is>
      </c>
    </row>
    <row r="3">
      <c r="A3" t="inlineStr">
        <is>
          <t>3</t>
        </is>
      </c>
      <c r="B3" t="inlineStr">
        <is>
          <t>MOTORİN</t>
        </is>
      </c>
      <c r="C3" t="inlineStr">
        <is>
          <t>MERSİN OPET</t>
        </is>
      </c>
      <c r="D3" s="318" t="n">
        <v>0.8310999999999999</v>
      </c>
      <c r="E3" s="108" t="n">
        <v>4648.74</v>
      </c>
      <c r="F3" s="108" t="n">
        <v>4648.58659158</v>
      </c>
      <c r="G3" s="108" t="n">
        <v>3850.111785437835</v>
      </c>
      <c r="H3" s="108" t="n">
        <v>3845.0159811255</v>
      </c>
      <c r="I3" t="inlineStr">
        <is>
          <t>#45B7D1</t>
        </is>
      </c>
    </row>
    <row r="4">
      <c r="A4" t="inlineStr">
        <is>
          <t>2</t>
        </is>
      </c>
      <c r="B4" t="inlineStr">
        <is>
          <t>KBZ</t>
        </is>
      </c>
      <c r="C4" t="inlineStr">
        <is>
          <t>ANTALYA TÜPRAŞ</t>
        </is>
      </c>
      <c r="D4" s="318" t="n">
        <v>0.733</v>
      </c>
      <c r="E4" s="108" t="n">
        <v>5633.355</v>
      </c>
      <c r="F4" s="108" t="n">
        <v>5633.169099285</v>
      </c>
      <c r="G4" s="108" t="n">
        <v>4108.5506242222</v>
      </c>
      <c r="H4" s="108" t="n">
        <v>4102.384995727461</v>
      </c>
      <c r="I4" t="inlineStr">
        <is>
          <t>#4ECDC4</t>
        </is>
      </c>
    </row>
    <row r="5">
      <c r="A5" t="inlineStr">
        <is>
          <t>4</t>
        </is>
      </c>
      <c r="B5" t="inlineStr">
        <is>
          <t>JET</t>
        </is>
      </c>
      <c r="C5" t="inlineStr">
        <is>
          <t>MERSİN POAŞ</t>
        </is>
      </c>
      <c r="D5" s="318" t="n">
        <v>0.7911</v>
      </c>
      <c r="E5" s="108" t="n">
        <v>5382.195</v>
      </c>
      <c r="F5" s="108" t="n">
        <v>5382.017387565</v>
      </c>
      <c r="G5" s="108" t="n">
        <v>4241.53512492876</v>
      </c>
      <c r="H5" s="108" t="n">
        <v>4235.637401964001</v>
      </c>
      <c r="I5" t="inlineStr">
        <is>
          <t>#96CEB4</t>
        </is>
      </c>
    </row>
    <row r="6">
      <c r="A6" t="inlineStr">
        <is>
          <t>0</t>
        </is>
      </c>
      <c r="B6" t="inlineStr">
        <is>
          <t>SLOP</t>
        </is>
      </c>
      <c r="C6" t="inlineStr"/>
      <c r="D6" s="318" t="n">
        <v>0</v>
      </c>
      <c r="E6" s="108" t="n">
        <v>0</v>
      </c>
      <c r="F6" s="108" t="n">
        <v>0</v>
      </c>
      <c r="G6" s="108" t="n">
        <v>0</v>
      </c>
      <c r="H6" s="108" t="n">
        <v>0</v>
      </c>
      <c r="I6" t="inlineStr">
        <is>
          <t>#9CA3AF</t>
        </is>
      </c>
    </row>
    <row r="7">
      <c r="D7" s="318" t="n"/>
      <c r="E7" s="108" t="n"/>
      <c r="F7" s="108" t="n"/>
      <c r="G7" s="108" t="n"/>
      <c r="H7" s="108" t="n"/>
    </row>
    <row r="8">
      <c r="D8" s="318" t="n"/>
      <c r="E8" s="108" t="n"/>
      <c r="F8" s="108" t="n"/>
      <c r="G8" s="108" t="n"/>
      <c r="H8" s="108" t="n"/>
    </row>
    <row r="9">
      <c r="D9" s="318" t="n"/>
      <c r="E9" s="108" t="n"/>
      <c r="F9" s="108" t="n"/>
      <c r="G9" s="108" t="n"/>
      <c r="H9" s="108" t="n"/>
    </row>
    <row r="10">
      <c r="D10" s="318" t="n"/>
      <c r="E10" s="108" t="n"/>
      <c r="F10" s="108" t="n"/>
      <c r="G10" s="108" t="n"/>
      <c r="H10" s="108" t="n"/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tabSelected="1" workbookViewId="0">
      <selection activeCell="C11" sqref="A1:XFD1048576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2026_01</t>
        </is>
      </c>
    </row>
    <row r="4">
      <c r="A4" t="inlineStr">
        <is>
          <t>DATE</t>
        </is>
      </c>
      <c r="B4" t="inlineStr">
        <is>
          <t>07-01-2026</t>
        </is>
      </c>
    </row>
    <row r="5">
      <c r="A5" t="inlineStr">
        <is>
          <t>VEF</t>
        </is>
      </c>
      <c r="B5" t="n">
        <v>0.9993</v>
      </c>
    </row>
    <row r="6">
      <c r="A6" t="inlineStr">
        <is>
          <t>DRAFT_AFT</t>
        </is>
      </c>
      <c r="B6" s="319" t="n">
        <v>9</v>
      </c>
    </row>
    <row r="7">
      <c r="A7" t="inlineStr">
        <is>
          <t>DRAFT_FWD</t>
        </is>
      </c>
      <c r="B7" s="319" t="n">
        <v>9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361" min="2" max="2"/>
    <col width="15.625" customWidth="1" style="361" min="3" max="3"/>
    <col width="28.875" customWidth="1" style="361" min="4" max="4"/>
    <col width="5.875" customWidth="1" style="361" min="5" max="5"/>
    <col width="11.25" customWidth="1" style="361" min="6" max="6"/>
    <col width="9.375" customWidth="1" style="361" min="7" max="8"/>
    <col width="5" customWidth="1" style="362" min="9" max="9"/>
    <col width="10.125" customWidth="1" style="361" min="10" max="11"/>
    <col width="11.5" customWidth="1" style="361" min="12" max="12"/>
    <col width="8.75" customWidth="1" style="361" min="13" max="13"/>
    <col width="9.0625" customWidth="1" style="361" min="14" max="14"/>
    <col width="9" customWidth="1" style="361" min="15" max="15"/>
    <col width="9.875" customWidth="1" style="361" min="16" max="16"/>
    <col width="11.8125" customWidth="1" style="361" min="17" max="17"/>
    <col width="11.25" customWidth="1" style="361" min="18" max="18"/>
    <col width="5.75" customWidth="1" style="361" min="19" max="19"/>
    <col width="1.5625" customWidth="1" style="361" min="20" max="20"/>
    <col width="4" customWidth="1" style="361" min="21" max="21"/>
    <col width="20.5" customWidth="1" style="361" min="22" max="22"/>
    <col width="7.125" customWidth="1" style="361" min="23" max="23"/>
    <col width="31.625" customWidth="1" style="361" min="24" max="24"/>
    <col width="10.25" customWidth="1" style="361" min="25" max="25"/>
    <col width="1.125" customWidth="1" style="121" min="26" max="26"/>
    <col width="13.5" customWidth="1" style="361" min="27" max="27"/>
  </cols>
  <sheetData>
    <row r="1" ht="5.25" customHeight="1" s="361" thickBot="1" thickTop="1">
      <c r="A1" s="298" t="n"/>
      <c r="B1" s="358" t="n"/>
      <c r="C1" s="350" t="n"/>
      <c r="D1" s="350" t="n"/>
      <c r="E1" s="350" t="n"/>
      <c r="F1" s="350" t="n"/>
      <c r="G1" s="350" t="n"/>
      <c r="H1" s="350" t="n"/>
      <c r="I1" s="350" t="n"/>
      <c r="J1" s="350" t="n"/>
      <c r="K1" s="350" t="n"/>
      <c r="L1" s="350" t="n"/>
      <c r="M1" s="350" t="n"/>
      <c r="N1" s="350" t="n"/>
      <c r="O1" s="350" t="n"/>
      <c r="P1" s="350" t="n"/>
      <c r="Q1" s="350" t="n"/>
      <c r="R1" s="350" t="n"/>
      <c r="S1" s="350" t="n"/>
      <c r="T1" s="350" t="n"/>
      <c r="U1" s="350" t="n"/>
      <c r="V1" s="350" t="n"/>
      <c r="W1" s="350" t="n"/>
      <c r="X1" s="350" t="n"/>
      <c r="Y1" s="351" t="n"/>
      <c r="Z1" s="304" t="n"/>
    </row>
    <row r="2" ht="31.9" customHeight="1" s="361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361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361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361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361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361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361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361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361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361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361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361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361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361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361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361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361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361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361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361" thickBot="1" thickTop="1">
      <c r="A21" s="301" t="n"/>
      <c r="B21" s="352" t="inlineStr">
        <is>
          <t>LİMAN / PORT</t>
        </is>
      </c>
      <c r="C21" s="351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3" t="n"/>
      <c r="H21" s="354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7">
        <f>SUM(Q3:Q20)</f>
        <v/>
      </c>
      <c r="S21" s="360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361" thickBot="1" thickTop="1">
      <c r="A22" s="301" t="n"/>
      <c r="B22" s="357" t="inlineStr">
        <is>
          <t>TERMINAL</t>
        </is>
      </c>
      <c r="C22" s="351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5" t="n"/>
      <c r="H22" s="356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8">
        <f>SUM(R3:R20)</f>
        <v/>
      </c>
      <c r="S22" s="351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361" thickBot="1" thickTop="1">
      <c r="A23" s="301" t="n"/>
      <c r="B23" s="272" t="n"/>
      <c r="C23" s="359" t="n"/>
      <c r="D23" s="354" t="n"/>
      <c r="E23" s="354" t="n"/>
      <c r="F23" s="354" t="n"/>
      <c r="G23" s="354" t="n"/>
      <c r="H23" s="354" t="n"/>
      <c r="I23" s="354" t="n"/>
      <c r="J23" s="354" t="n"/>
      <c r="K23" s="354" t="n"/>
      <c r="L23" s="354" t="n"/>
      <c r="M23" s="354" t="n"/>
      <c r="N23" s="354" t="n"/>
      <c r="O23" s="354" t="n"/>
      <c r="P23" s="354" t="n"/>
      <c r="Q23" s="354" t="n"/>
      <c r="R23" s="354" t="n"/>
      <c r="S23" s="360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361" thickBot="1" thickTop="1">
      <c r="A24" s="301" t="n"/>
      <c r="B24" s="365" t="n">
        <v>1</v>
      </c>
      <c r="S24" s="363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361" thickBot="1">
      <c r="A25" s="301" t="n"/>
      <c r="B25" s="366" t="n"/>
      <c r="S25" s="363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361" thickBot="1">
      <c r="A26" s="301" t="n"/>
      <c r="B26" s="273" t="n"/>
      <c r="C26" s="356" t="n"/>
      <c r="D26" s="356" t="n"/>
      <c r="E26" s="356" t="n"/>
      <c r="F26" s="356" t="n"/>
      <c r="G26" s="356" t="n"/>
      <c r="H26" s="356" t="n"/>
      <c r="I26" s="356" t="n"/>
      <c r="J26" s="356" t="n"/>
      <c r="K26" s="356" t="n"/>
      <c r="L26" s="356" t="n"/>
      <c r="M26" s="356" t="n"/>
      <c r="N26" s="356" t="n"/>
      <c r="O26" s="356" t="n"/>
      <c r="P26" s="356" t="n"/>
      <c r="Q26" s="356" t="n"/>
      <c r="R26" s="356" t="n"/>
      <c r="S26" s="364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361" thickBot="1" thickTop="1">
      <c r="A27" s="302" t="n"/>
      <c r="B27" s="349" t="n"/>
      <c r="C27" s="350" t="n"/>
      <c r="D27" s="350" t="n"/>
      <c r="E27" s="350" t="n"/>
      <c r="F27" s="350" t="n"/>
      <c r="G27" s="350" t="n"/>
      <c r="H27" s="350" t="n"/>
      <c r="I27" s="350" t="n"/>
      <c r="J27" s="350" t="n"/>
      <c r="K27" s="350" t="n"/>
      <c r="L27" s="350" t="n"/>
      <c r="M27" s="350" t="n"/>
      <c r="N27" s="350" t="n"/>
      <c r="O27" s="350" t="n"/>
      <c r="P27" s="350" t="n"/>
      <c r="Q27" s="350" t="n"/>
      <c r="R27" s="350" t="n"/>
      <c r="S27" s="350" t="n"/>
      <c r="T27" s="350" t="n"/>
      <c r="U27" s="350" t="n"/>
      <c r="V27" s="350" t="n"/>
      <c r="W27" s="350" t="n"/>
      <c r="X27" s="350" t="n"/>
      <c r="Y27" s="351" t="n"/>
      <c r="Z27" s="324" t="n"/>
    </row>
    <row r="28" ht="13.9" customHeight="1" s="361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72" min="1" max="1"/>
    <col width="5" customWidth="1" style="372" min="2" max="2"/>
    <col width="3.75" customWidth="1" style="372" min="3" max="3"/>
    <col width="4.5" customWidth="1" style="372" min="4" max="4"/>
    <col width="5" customWidth="1" style="372" min="5" max="5"/>
    <col width="4.375" customWidth="1" style="372" min="6" max="6"/>
    <col width="5.75" customWidth="1" style="372" min="7" max="7"/>
    <col width="5.5" customWidth="1" style="372" min="8" max="8"/>
    <col width="5" customWidth="1" style="372" min="9" max="9"/>
    <col width="4.125" customWidth="1" style="372" min="10" max="10"/>
    <col width="5.5" customWidth="1" style="372" min="11" max="11"/>
    <col width="4.375" customWidth="1" style="372" min="12" max="12"/>
    <col width="6.25" customWidth="1" style="372" min="13" max="13"/>
    <col width="4.5" customWidth="1" style="372" min="14" max="14"/>
    <col width="5.5" customWidth="1" style="372" min="15" max="15"/>
    <col width="4.5" customWidth="1" style="372" min="16" max="16"/>
    <col width="6.875" customWidth="1" style="372" min="17" max="17"/>
    <col width="4.5" customWidth="1" style="372" min="18" max="18"/>
    <col width="3.75" customWidth="1" style="372" min="19" max="19"/>
    <col width="3.625" customWidth="1" style="372" min="20" max="20"/>
    <col width="1.75" customWidth="1" style="372" min="21" max="21"/>
    <col width="5" customWidth="1" style="372" min="22" max="22"/>
    <col width="5.5" customWidth="1" style="372" min="23" max="23"/>
    <col width="3.875" customWidth="1" style="372" min="24" max="24"/>
    <col width="5.25" customWidth="1" style="372" min="25" max="25"/>
    <col width="4.5" customWidth="1" style="372" min="26" max="26"/>
    <col width="7.125" customWidth="1" style="372" min="27" max="27"/>
    <col width="3.625" customWidth="1" style="372" min="28" max="28"/>
    <col width="3.125" customWidth="1" style="372" min="29" max="29"/>
    <col width="7" customWidth="1" style="372" min="30" max="30"/>
    <col width="8.75" customWidth="1" style="372" min="31" max="256"/>
    <col width="3.625" customWidth="1" style="372" min="257" max="257"/>
    <col width="5" customWidth="1" style="372" min="258" max="258"/>
    <col width="3.75" customWidth="1" style="372" min="259" max="259"/>
    <col width="4.5" customWidth="1" style="372" min="260" max="260"/>
    <col width="5" customWidth="1" style="372" min="261" max="261"/>
    <col width="4.375" customWidth="1" style="372" min="262" max="262"/>
    <col width="5.75" customWidth="1" style="372" min="263" max="263"/>
    <col width="5.5" customWidth="1" style="372" min="264" max="264"/>
    <col width="5" customWidth="1" style="372" min="265" max="265"/>
    <col width="4.125" customWidth="1" style="372" min="266" max="266"/>
    <col width="5.5" customWidth="1" style="372" min="267" max="267"/>
    <col width="4.375" customWidth="1" style="372" min="268" max="268"/>
    <col width="6.25" customWidth="1" style="372" min="269" max="269"/>
    <col width="4.5" customWidth="1" style="372" min="270" max="270"/>
    <col width="5.5" customWidth="1" style="372" min="271" max="271"/>
    <col width="4.5" customWidth="1" style="372" min="272" max="272"/>
    <col width="8.75" customWidth="1" style="372" min="273" max="273"/>
    <col width="4.5" customWidth="1" style="372" min="274" max="274"/>
    <col width="3.75" customWidth="1" style="372" min="275" max="275"/>
    <col width="3.625" customWidth="1" style="372" min="276" max="276"/>
    <col width="4.625" customWidth="1" style="372" min="277" max="277"/>
    <col width="5" customWidth="1" style="372" min="278" max="278"/>
    <col width="5.5" customWidth="1" style="372" min="279" max="279"/>
    <col width="3.875" customWidth="1" style="372" min="280" max="280"/>
    <col width="5.25" customWidth="1" style="372" min="281" max="281"/>
    <col width="4.5" customWidth="1" style="372" min="282" max="282"/>
    <col width="4.125" customWidth="1" style="372" min="283" max="283"/>
    <col width="3.625" customWidth="1" style="372" min="284" max="284"/>
    <col width="4.375" customWidth="1" style="372" min="285" max="285"/>
    <col width="8.75" customWidth="1" style="372" min="286" max="512"/>
    <col width="3.625" customWidth="1" style="372" min="513" max="513"/>
    <col width="5" customWidth="1" style="372" min="514" max="514"/>
    <col width="3.75" customWidth="1" style="372" min="515" max="515"/>
    <col width="4.5" customWidth="1" style="372" min="516" max="516"/>
    <col width="5" customWidth="1" style="372" min="517" max="517"/>
    <col width="4.375" customWidth="1" style="372" min="518" max="518"/>
    <col width="5.75" customWidth="1" style="372" min="519" max="519"/>
    <col width="5.5" customWidth="1" style="372" min="520" max="520"/>
    <col width="5" customWidth="1" style="372" min="521" max="521"/>
    <col width="4.125" customWidth="1" style="372" min="522" max="522"/>
    <col width="5.5" customWidth="1" style="372" min="523" max="523"/>
    <col width="4.375" customWidth="1" style="372" min="524" max="524"/>
    <col width="6.25" customWidth="1" style="372" min="525" max="525"/>
    <col width="4.5" customWidth="1" style="372" min="526" max="526"/>
    <col width="5.5" customWidth="1" style="372" min="527" max="527"/>
    <col width="4.5" customWidth="1" style="372" min="528" max="528"/>
    <col width="8.75" customWidth="1" style="372" min="529" max="529"/>
    <col width="4.5" customWidth="1" style="372" min="530" max="530"/>
    <col width="3.75" customWidth="1" style="372" min="531" max="531"/>
    <col width="3.625" customWidth="1" style="372" min="532" max="532"/>
    <col width="4.625" customWidth="1" style="372" min="533" max="533"/>
    <col width="5" customWidth="1" style="372" min="534" max="534"/>
    <col width="5.5" customWidth="1" style="372" min="535" max="535"/>
    <col width="3.875" customWidth="1" style="372" min="536" max="536"/>
    <col width="5.25" customWidth="1" style="372" min="537" max="537"/>
    <col width="4.5" customWidth="1" style="372" min="538" max="538"/>
    <col width="4.125" customWidth="1" style="372" min="539" max="539"/>
    <col width="3.625" customWidth="1" style="372" min="540" max="540"/>
    <col width="4.375" customWidth="1" style="372" min="541" max="541"/>
    <col width="8.75" customWidth="1" style="372" min="542" max="768"/>
    <col width="3.625" customWidth="1" style="372" min="769" max="769"/>
    <col width="5" customWidth="1" style="372" min="770" max="770"/>
    <col width="3.75" customWidth="1" style="372" min="771" max="771"/>
    <col width="4.5" customWidth="1" style="372" min="772" max="772"/>
    <col width="5" customWidth="1" style="372" min="773" max="773"/>
    <col width="4.375" customWidth="1" style="372" min="774" max="774"/>
    <col width="5.75" customWidth="1" style="372" min="775" max="775"/>
    <col width="5.5" customWidth="1" style="372" min="776" max="776"/>
    <col width="5" customWidth="1" style="372" min="777" max="777"/>
    <col width="4.125" customWidth="1" style="372" min="778" max="778"/>
    <col width="5.5" customWidth="1" style="372" min="779" max="779"/>
    <col width="4.375" customWidth="1" style="372" min="780" max="780"/>
    <col width="6.25" customWidth="1" style="372" min="781" max="781"/>
    <col width="4.5" customWidth="1" style="372" min="782" max="782"/>
    <col width="5.5" customWidth="1" style="372" min="783" max="783"/>
    <col width="4.5" customWidth="1" style="372" min="784" max="784"/>
    <col width="8.75" customWidth="1" style="372" min="785" max="785"/>
    <col width="4.5" customWidth="1" style="372" min="786" max="786"/>
    <col width="3.75" customWidth="1" style="372" min="787" max="787"/>
    <col width="3.625" customWidth="1" style="372" min="788" max="788"/>
    <col width="4.625" customWidth="1" style="372" min="789" max="789"/>
    <col width="5" customWidth="1" style="372" min="790" max="790"/>
    <col width="5.5" customWidth="1" style="372" min="791" max="791"/>
    <col width="3.875" customWidth="1" style="372" min="792" max="792"/>
    <col width="5.25" customWidth="1" style="372" min="793" max="793"/>
    <col width="4.5" customWidth="1" style="372" min="794" max="794"/>
    <col width="4.125" customWidth="1" style="372" min="795" max="795"/>
    <col width="3.625" customWidth="1" style="372" min="796" max="796"/>
    <col width="4.375" customWidth="1" style="372" min="797" max="797"/>
    <col width="8.75" customWidth="1" style="372" min="798" max="1024"/>
    <col width="3.625" customWidth="1" style="372" min="1025" max="1025"/>
    <col width="5" customWidth="1" style="372" min="1026" max="1026"/>
    <col width="3.75" customWidth="1" style="372" min="1027" max="1027"/>
    <col width="4.5" customWidth="1" style="372" min="1028" max="1028"/>
    <col width="5" customWidth="1" style="372" min="1029" max="1029"/>
    <col width="4.375" customWidth="1" style="372" min="1030" max="1030"/>
    <col width="5.75" customWidth="1" style="372" min="1031" max="1031"/>
    <col width="5.5" customWidth="1" style="372" min="1032" max="1032"/>
    <col width="5" customWidth="1" style="372" min="1033" max="1033"/>
    <col width="4.125" customWidth="1" style="372" min="1034" max="1034"/>
    <col width="5.5" customWidth="1" style="372" min="1035" max="1035"/>
    <col width="4.375" customWidth="1" style="372" min="1036" max="1036"/>
    <col width="6.25" customWidth="1" style="372" min="1037" max="1037"/>
    <col width="4.5" customWidth="1" style="372" min="1038" max="1038"/>
    <col width="5.5" customWidth="1" style="372" min="1039" max="1039"/>
    <col width="4.5" customWidth="1" style="372" min="1040" max="1040"/>
    <col width="8.75" customWidth="1" style="372" min="1041" max="1041"/>
    <col width="4.5" customWidth="1" style="372" min="1042" max="1042"/>
    <col width="3.75" customWidth="1" style="372" min="1043" max="1043"/>
    <col width="3.625" customWidth="1" style="372" min="1044" max="1044"/>
    <col width="4.625" customWidth="1" style="372" min="1045" max="1045"/>
    <col width="5" customWidth="1" style="372" min="1046" max="1046"/>
    <col width="5.5" customWidth="1" style="372" min="1047" max="1047"/>
    <col width="3.875" customWidth="1" style="372" min="1048" max="1048"/>
    <col width="5.25" customWidth="1" style="372" min="1049" max="1049"/>
    <col width="4.5" customWidth="1" style="372" min="1050" max="1050"/>
    <col width="4.125" customWidth="1" style="372" min="1051" max="1051"/>
    <col width="3.625" customWidth="1" style="372" min="1052" max="1052"/>
    <col width="4.375" customWidth="1" style="372" min="1053" max="1053"/>
    <col width="8.75" customWidth="1" style="372" min="1054" max="1280"/>
    <col width="3.625" customWidth="1" style="372" min="1281" max="1281"/>
    <col width="5" customWidth="1" style="372" min="1282" max="1282"/>
    <col width="3.75" customWidth="1" style="372" min="1283" max="1283"/>
    <col width="4.5" customWidth="1" style="372" min="1284" max="1284"/>
    <col width="5" customWidth="1" style="372" min="1285" max="1285"/>
    <col width="4.375" customWidth="1" style="372" min="1286" max="1286"/>
    <col width="5.75" customWidth="1" style="372" min="1287" max="1287"/>
    <col width="5.5" customWidth="1" style="372" min="1288" max="1288"/>
    <col width="5" customWidth="1" style="372" min="1289" max="1289"/>
    <col width="4.125" customWidth="1" style="372" min="1290" max="1290"/>
    <col width="5.5" customWidth="1" style="372" min="1291" max="1291"/>
    <col width="4.375" customWidth="1" style="372" min="1292" max="1292"/>
    <col width="6.25" customWidth="1" style="372" min="1293" max="1293"/>
    <col width="4.5" customWidth="1" style="372" min="1294" max="1294"/>
    <col width="5.5" customWidth="1" style="372" min="1295" max="1295"/>
    <col width="4.5" customWidth="1" style="372" min="1296" max="1296"/>
    <col width="8.75" customWidth="1" style="372" min="1297" max="1297"/>
    <col width="4.5" customWidth="1" style="372" min="1298" max="1298"/>
    <col width="3.75" customWidth="1" style="372" min="1299" max="1299"/>
    <col width="3.625" customWidth="1" style="372" min="1300" max="1300"/>
    <col width="4.625" customWidth="1" style="372" min="1301" max="1301"/>
    <col width="5" customWidth="1" style="372" min="1302" max="1302"/>
    <col width="5.5" customWidth="1" style="372" min="1303" max="1303"/>
    <col width="3.875" customWidth="1" style="372" min="1304" max="1304"/>
    <col width="5.25" customWidth="1" style="372" min="1305" max="1305"/>
    <col width="4.5" customWidth="1" style="372" min="1306" max="1306"/>
    <col width="4.125" customWidth="1" style="372" min="1307" max="1307"/>
    <col width="3.625" customWidth="1" style="372" min="1308" max="1308"/>
    <col width="4.375" customWidth="1" style="372" min="1309" max="1309"/>
    <col width="8.75" customWidth="1" style="372" min="1310" max="1536"/>
    <col width="3.625" customWidth="1" style="372" min="1537" max="1537"/>
    <col width="5" customWidth="1" style="372" min="1538" max="1538"/>
    <col width="3.75" customWidth="1" style="372" min="1539" max="1539"/>
    <col width="4.5" customWidth="1" style="372" min="1540" max="1540"/>
    <col width="5" customWidth="1" style="372" min="1541" max="1541"/>
    <col width="4.375" customWidth="1" style="372" min="1542" max="1542"/>
    <col width="5.75" customWidth="1" style="372" min="1543" max="1543"/>
    <col width="5.5" customWidth="1" style="372" min="1544" max="1544"/>
    <col width="5" customWidth="1" style="372" min="1545" max="1545"/>
    <col width="4.125" customWidth="1" style="372" min="1546" max="1546"/>
    <col width="5.5" customWidth="1" style="372" min="1547" max="1547"/>
    <col width="4.375" customWidth="1" style="372" min="1548" max="1548"/>
    <col width="6.25" customWidth="1" style="372" min="1549" max="1549"/>
    <col width="4.5" customWidth="1" style="372" min="1550" max="1550"/>
    <col width="5.5" customWidth="1" style="372" min="1551" max="1551"/>
    <col width="4.5" customWidth="1" style="372" min="1552" max="1552"/>
    <col width="8.75" customWidth="1" style="372" min="1553" max="1553"/>
    <col width="4.5" customWidth="1" style="372" min="1554" max="1554"/>
    <col width="3.75" customWidth="1" style="372" min="1555" max="1555"/>
    <col width="3.625" customWidth="1" style="372" min="1556" max="1556"/>
    <col width="4.625" customWidth="1" style="372" min="1557" max="1557"/>
    <col width="5" customWidth="1" style="372" min="1558" max="1558"/>
    <col width="5.5" customWidth="1" style="372" min="1559" max="1559"/>
    <col width="3.875" customWidth="1" style="372" min="1560" max="1560"/>
    <col width="5.25" customWidth="1" style="372" min="1561" max="1561"/>
    <col width="4.5" customWidth="1" style="372" min="1562" max="1562"/>
    <col width="4.125" customWidth="1" style="372" min="1563" max="1563"/>
    <col width="3.625" customWidth="1" style="372" min="1564" max="1564"/>
    <col width="4.375" customWidth="1" style="372" min="1565" max="1565"/>
    <col width="8.75" customWidth="1" style="372" min="1566" max="1792"/>
    <col width="3.625" customWidth="1" style="372" min="1793" max="1793"/>
    <col width="5" customWidth="1" style="372" min="1794" max="1794"/>
    <col width="3.75" customWidth="1" style="372" min="1795" max="1795"/>
    <col width="4.5" customWidth="1" style="372" min="1796" max="1796"/>
    <col width="5" customWidth="1" style="372" min="1797" max="1797"/>
    <col width="4.375" customWidth="1" style="372" min="1798" max="1798"/>
    <col width="5.75" customWidth="1" style="372" min="1799" max="1799"/>
    <col width="5.5" customWidth="1" style="372" min="1800" max="1800"/>
    <col width="5" customWidth="1" style="372" min="1801" max="1801"/>
    <col width="4.125" customWidth="1" style="372" min="1802" max="1802"/>
    <col width="5.5" customWidth="1" style="372" min="1803" max="1803"/>
    <col width="4.375" customWidth="1" style="372" min="1804" max="1804"/>
    <col width="6.25" customWidth="1" style="372" min="1805" max="1805"/>
    <col width="4.5" customWidth="1" style="372" min="1806" max="1806"/>
    <col width="5.5" customWidth="1" style="372" min="1807" max="1807"/>
    <col width="4.5" customWidth="1" style="372" min="1808" max="1808"/>
    <col width="8.75" customWidth="1" style="372" min="1809" max="1809"/>
    <col width="4.5" customWidth="1" style="372" min="1810" max="1810"/>
    <col width="3.75" customWidth="1" style="372" min="1811" max="1811"/>
    <col width="3.625" customWidth="1" style="372" min="1812" max="1812"/>
    <col width="4.625" customWidth="1" style="372" min="1813" max="1813"/>
    <col width="5" customWidth="1" style="372" min="1814" max="1814"/>
    <col width="5.5" customWidth="1" style="372" min="1815" max="1815"/>
    <col width="3.875" customWidth="1" style="372" min="1816" max="1816"/>
    <col width="5.25" customWidth="1" style="372" min="1817" max="1817"/>
    <col width="4.5" customWidth="1" style="372" min="1818" max="1818"/>
    <col width="4.125" customWidth="1" style="372" min="1819" max="1819"/>
    <col width="3.625" customWidth="1" style="372" min="1820" max="1820"/>
    <col width="4.375" customWidth="1" style="372" min="1821" max="1821"/>
    <col width="8.75" customWidth="1" style="372" min="1822" max="2048"/>
    <col width="3.625" customWidth="1" style="372" min="2049" max="2049"/>
    <col width="5" customWidth="1" style="372" min="2050" max="2050"/>
    <col width="3.75" customWidth="1" style="372" min="2051" max="2051"/>
    <col width="4.5" customWidth="1" style="372" min="2052" max="2052"/>
    <col width="5" customWidth="1" style="372" min="2053" max="2053"/>
    <col width="4.375" customWidth="1" style="372" min="2054" max="2054"/>
    <col width="5.75" customWidth="1" style="372" min="2055" max="2055"/>
    <col width="5.5" customWidth="1" style="372" min="2056" max="2056"/>
    <col width="5" customWidth="1" style="372" min="2057" max="2057"/>
    <col width="4.125" customWidth="1" style="372" min="2058" max="2058"/>
    <col width="5.5" customWidth="1" style="372" min="2059" max="2059"/>
    <col width="4.375" customWidth="1" style="372" min="2060" max="2060"/>
    <col width="6.25" customWidth="1" style="372" min="2061" max="2061"/>
    <col width="4.5" customWidth="1" style="372" min="2062" max="2062"/>
    <col width="5.5" customWidth="1" style="372" min="2063" max="2063"/>
    <col width="4.5" customWidth="1" style="372" min="2064" max="2064"/>
    <col width="8.75" customWidth="1" style="372" min="2065" max="2065"/>
    <col width="4.5" customWidth="1" style="372" min="2066" max="2066"/>
    <col width="3.75" customWidth="1" style="372" min="2067" max="2067"/>
    <col width="3.625" customWidth="1" style="372" min="2068" max="2068"/>
    <col width="4.625" customWidth="1" style="372" min="2069" max="2069"/>
    <col width="5" customWidth="1" style="372" min="2070" max="2070"/>
    <col width="5.5" customWidth="1" style="372" min="2071" max="2071"/>
    <col width="3.875" customWidth="1" style="372" min="2072" max="2072"/>
    <col width="5.25" customWidth="1" style="372" min="2073" max="2073"/>
    <col width="4.5" customWidth="1" style="372" min="2074" max="2074"/>
    <col width="4.125" customWidth="1" style="372" min="2075" max="2075"/>
    <col width="3.625" customWidth="1" style="372" min="2076" max="2076"/>
    <col width="4.375" customWidth="1" style="372" min="2077" max="2077"/>
    <col width="8.75" customWidth="1" style="372" min="2078" max="2304"/>
    <col width="3.625" customWidth="1" style="372" min="2305" max="2305"/>
    <col width="5" customWidth="1" style="372" min="2306" max="2306"/>
    <col width="3.75" customWidth="1" style="372" min="2307" max="2307"/>
    <col width="4.5" customWidth="1" style="372" min="2308" max="2308"/>
    <col width="5" customWidth="1" style="372" min="2309" max="2309"/>
    <col width="4.375" customWidth="1" style="372" min="2310" max="2310"/>
    <col width="5.75" customWidth="1" style="372" min="2311" max="2311"/>
    <col width="5.5" customWidth="1" style="372" min="2312" max="2312"/>
    <col width="5" customWidth="1" style="372" min="2313" max="2313"/>
    <col width="4.125" customWidth="1" style="372" min="2314" max="2314"/>
    <col width="5.5" customWidth="1" style="372" min="2315" max="2315"/>
    <col width="4.375" customWidth="1" style="372" min="2316" max="2316"/>
    <col width="6.25" customWidth="1" style="372" min="2317" max="2317"/>
    <col width="4.5" customWidth="1" style="372" min="2318" max="2318"/>
    <col width="5.5" customWidth="1" style="372" min="2319" max="2319"/>
    <col width="4.5" customWidth="1" style="372" min="2320" max="2320"/>
    <col width="8.75" customWidth="1" style="372" min="2321" max="2321"/>
    <col width="4.5" customWidth="1" style="372" min="2322" max="2322"/>
    <col width="3.75" customWidth="1" style="372" min="2323" max="2323"/>
    <col width="3.625" customWidth="1" style="372" min="2324" max="2324"/>
    <col width="4.625" customWidth="1" style="372" min="2325" max="2325"/>
    <col width="5" customWidth="1" style="372" min="2326" max="2326"/>
    <col width="5.5" customWidth="1" style="372" min="2327" max="2327"/>
    <col width="3.875" customWidth="1" style="372" min="2328" max="2328"/>
    <col width="5.25" customWidth="1" style="372" min="2329" max="2329"/>
    <col width="4.5" customWidth="1" style="372" min="2330" max="2330"/>
    <col width="4.125" customWidth="1" style="372" min="2331" max="2331"/>
    <col width="3.625" customWidth="1" style="372" min="2332" max="2332"/>
    <col width="4.375" customWidth="1" style="372" min="2333" max="2333"/>
    <col width="8.75" customWidth="1" style="372" min="2334" max="2560"/>
    <col width="3.625" customWidth="1" style="372" min="2561" max="2561"/>
    <col width="5" customWidth="1" style="372" min="2562" max="2562"/>
    <col width="3.75" customWidth="1" style="372" min="2563" max="2563"/>
    <col width="4.5" customWidth="1" style="372" min="2564" max="2564"/>
    <col width="5" customWidth="1" style="372" min="2565" max="2565"/>
    <col width="4.375" customWidth="1" style="372" min="2566" max="2566"/>
    <col width="5.75" customWidth="1" style="372" min="2567" max="2567"/>
    <col width="5.5" customWidth="1" style="372" min="2568" max="2568"/>
    <col width="5" customWidth="1" style="372" min="2569" max="2569"/>
    <col width="4.125" customWidth="1" style="372" min="2570" max="2570"/>
    <col width="5.5" customWidth="1" style="372" min="2571" max="2571"/>
    <col width="4.375" customWidth="1" style="372" min="2572" max="2572"/>
    <col width="6.25" customWidth="1" style="372" min="2573" max="2573"/>
    <col width="4.5" customWidth="1" style="372" min="2574" max="2574"/>
    <col width="5.5" customWidth="1" style="372" min="2575" max="2575"/>
    <col width="4.5" customWidth="1" style="372" min="2576" max="2576"/>
    <col width="8.75" customWidth="1" style="372" min="2577" max="2577"/>
    <col width="4.5" customWidth="1" style="372" min="2578" max="2578"/>
    <col width="3.75" customWidth="1" style="372" min="2579" max="2579"/>
    <col width="3.625" customWidth="1" style="372" min="2580" max="2580"/>
    <col width="4.625" customWidth="1" style="372" min="2581" max="2581"/>
    <col width="5" customWidth="1" style="372" min="2582" max="2582"/>
    <col width="5.5" customWidth="1" style="372" min="2583" max="2583"/>
    <col width="3.875" customWidth="1" style="372" min="2584" max="2584"/>
    <col width="5.25" customWidth="1" style="372" min="2585" max="2585"/>
    <col width="4.5" customWidth="1" style="372" min="2586" max="2586"/>
    <col width="4.125" customWidth="1" style="372" min="2587" max="2587"/>
    <col width="3.625" customWidth="1" style="372" min="2588" max="2588"/>
    <col width="4.375" customWidth="1" style="372" min="2589" max="2589"/>
    <col width="8.75" customWidth="1" style="372" min="2590" max="2816"/>
    <col width="3.625" customWidth="1" style="372" min="2817" max="2817"/>
    <col width="5" customWidth="1" style="372" min="2818" max="2818"/>
    <col width="3.75" customWidth="1" style="372" min="2819" max="2819"/>
    <col width="4.5" customWidth="1" style="372" min="2820" max="2820"/>
    <col width="5" customWidth="1" style="372" min="2821" max="2821"/>
    <col width="4.375" customWidth="1" style="372" min="2822" max="2822"/>
    <col width="5.75" customWidth="1" style="372" min="2823" max="2823"/>
    <col width="5.5" customWidth="1" style="372" min="2824" max="2824"/>
    <col width="5" customWidth="1" style="372" min="2825" max="2825"/>
    <col width="4.125" customWidth="1" style="372" min="2826" max="2826"/>
    <col width="5.5" customWidth="1" style="372" min="2827" max="2827"/>
    <col width="4.375" customWidth="1" style="372" min="2828" max="2828"/>
    <col width="6.25" customWidth="1" style="372" min="2829" max="2829"/>
    <col width="4.5" customWidth="1" style="372" min="2830" max="2830"/>
    <col width="5.5" customWidth="1" style="372" min="2831" max="2831"/>
    <col width="4.5" customWidth="1" style="372" min="2832" max="2832"/>
    <col width="8.75" customWidth="1" style="372" min="2833" max="2833"/>
    <col width="4.5" customWidth="1" style="372" min="2834" max="2834"/>
    <col width="3.75" customWidth="1" style="372" min="2835" max="2835"/>
    <col width="3.625" customWidth="1" style="372" min="2836" max="2836"/>
    <col width="4.625" customWidth="1" style="372" min="2837" max="2837"/>
    <col width="5" customWidth="1" style="372" min="2838" max="2838"/>
    <col width="5.5" customWidth="1" style="372" min="2839" max="2839"/>
    <col width="3.875" customWidth="1" style="372" min="2840" max="2840"/>
    <col width="5.25" customWidth="1" style="372" min="2841" max="2841"/>
    <col width="4.5" customWidth="1" style="372" min="2842" max="2842"/>
    <col width="4.125" customWidth="1" style="372" min="2843" max="2843"/>
    <col width="3.625" customWidth="1" style="372" min="2844" max="2844"/>
    <col width="4.375" customWidth="1" style="372" min="2845" max="2845"/>
    <col width="8.75" customWidth="1" style="372" min="2846" max="3072"/>
    <col width="3.625" customWidth="1" style="372" min="3073" max="3073"/>
    <col width="5" customWidth="1" style="372" min="3074" max="3074"/>
    <col width="3.75" customWidth="1" style="372" min="3075" max="3075"/>
    <col width="4.5" customWidth="1" style="372" min="3076" max="3076"/>
    <col width="5" customWidth="1" style="372" min="3077" max="3077"/>
    <col width="4.375" customWidth="1" style="372" min="3078" max="3078"/>
    <col width="5.75" customWidth="1" style="372" min="3079" max="3079"/>
    <col width="5.5" customWidth="1" style="372" min="3080" max="3080"/>
    <col width="5" customWidth="1" style="372" min="3081" max="3081"/>
    <col width="4.125" customWidth="1" style="372" min="3082" max="3082"/>
    <col width="5.5" customWidth="1" style="372" min="3083" max="3083"/>
    <col width="4.375" customWidth="1" style="372" min="3084" max="3084"/>
    <col width="6.25" customWidth="1" style="372" min="3085" max="3085"/>
    <col width="4.5" customWidth="1" style="372" min="3086" max="3086"/>
    <col width="5.5" customWidth="1" style="372" min="3087" max="3087"/>
    <col width="4.5" customWidth="1" style="372" min="3088" max="3088"/>
    <col width="8.75" customWidth="1" style="372" min="3089" max="3089"/>
    <col width="4.5" customWidth="1" style="372" min="3090" max="3090"/>
    <col width="3.75" customWidth="1" style="372" min="3091" max="3091"/>
    <col width="3.625" customWidth="1" style="372" min="3092" max="3092"/>
    <col width="4.625" customWidth="1" style="372" min="3093" max="3093"/>
    <col width="5" customWidth="1" style="372" min="3094" max="3094"/>
    <col width="5.5" customWidth="1" style="372" min="3095" max="3095"/>
    <col width="3.875" customWidth="1" style="372" min="3096" max="3096"/>
    <col width="5.25" customWidth="1" style="372" min="3097" max="3097"/>
    <col width="4.5" customWidth="1" style="372" min="3098" max="3098"/>
    <col width="4.125" customWidth="1" style="372" min="3099" max="3099"/>
    <col width="3.625" customWidth="1" style="372" min="3100" max="3100"/>
    <col width="4.375" customWidth="1" style="372" min="3101" max="3101"/>
    <col width="8.75" customWidth="1" style="372" min="3102" max="3328"/>
    <col width="3.625" customWidth="1" style="372" min="3329" max="3329"/>
    <col width="5" customWidth="1" style="372" min="3330" max="3330"/>
    <col width="3.75" customWidth="1" style="372" min="3331" max="3331"/>
    <col width="4.5" customWidth="1" style="372" min="3332" max="3332"/>
    <col width="5" customWidth="1" style="372" min="3333" max="3333"/>
    <col width="4.375" customWidth="1" style="372" min="3334" max="3334"/>
    <col width="5.75" customWidth="1" style="372" min="3335" max="3335"/>
    <col width="5.5" customWidth="1" style="372" min="3336" max="3336"/>
    <col width="5" customWidth="1" style="372" min="3337" max="3337"/>
    <col width="4.125" customWidth="1" style="372" min="3338" max="3338"/>
    <col width="5.5" customWidth="1" style="372" min="3339" max="3339"/>
    <col width="4.375" customWidth="1" style="372" min="3340" max="3340"/>
    <col width="6.25" customWidth="1" style="372" min="3341" max="3341"/>
    <col width="4.5" customWidth="1" style="372" min="3342" max="3342"/>
    <col width="5.5" customWidth="1" style="372" min="3343" max="3343"/>
    <col width="4.5" customWidth="1" style="372" min="3344" max="3344"/>
    <col width="8.75" customWidth="1" style="372" min="3345" max="3345"/>
    <col width="4.5" customWidth="1" style="372" min="3346" max="3346"/>
    <col width="3.75" customWidth="1" style="372" min="3347" max="3347"/>
    <col width="3.625" customWidth="1" style="372" min="3348" max="3348"/>
    <col width="4.625" customWidth="1" style="372" min="3349" max="3349"/>
    <col width="5" customWidth="1" style="372" min="3350" max="3350"/>
    <col width="5.5" customWidth="1" style="372" min="3351" max="3351"/>
    <col width="3.875" customWidth="1" style="372" min="3352" max="3352"/>
    <col width="5.25" customWidth="1" style="372" min="3353" max="3353"/>
    <col width="4.5" customWidth="1" style="372" min="3354" max="3354"/>
    <col width="4.125" customWidth="1" style="372" min="3355" max="3355"/>
    <col width="3.625" customWidth="1" style="372" min="3356" max="3356"/>
    <col width="4.375" customWidth="1" style="372" min="3357" max="3357"/>
    <col width="8.75" customWidth="1" style="372" min="3358" max="3584"/>
    <col width="3.625" customWidth="1" style="372" min="3585" max="3585"/>
    <col width="5" customWidth="1" style="372" min="3586" max="3586"/>
    <col width="3.75" customWidth="1" style="372" min="3587" max="3587"/>
    <col width="4.5" customWidth="1" style="372" min="3588" max="3588"/>
    <col width="5" customWidth="1" style="372" min="3589" max="3589"/>
    <col width="4.375" customWidth="1" style="372" min="3590" max="3590"/>
    <col width="5.75" customWidth="1" style="372" min="3591" max="3591"/>
    <col width="5.5" customWidth="1" style="372" min="3592" max="3592"/>
    <col width="5" customWidth="1" style="372" min="3593" max="3593"/>
    <col width="4.125" customWidth="1" style="372" min="3594" max="3594"/>
    <col width="5.5" customWidth="1" style="372" min="3595" max="3595"/>
    <col width="4.375" customWidth="1" style="372" min="3596" max="3596"/>
    <col width="6.25" customWidth="1" style="372" min="3597" max="3597"/>
    <col width="4.5" customWidth="1" style="372" min="3598" max="3598"/>
    <col width="5.5" customWidth="1" style="372" min="3599" max="3599"/>
    <col width="4.5" customWidth="1" style="372" min="3600" max="3600"/>
    <col width="8.75" customWidth="1" style="372" min="3601" max="3601"/>
    <col width="4.5" customWidth="1" style="372" min="3602" max="3602"/>
    <col width="3.75" customWidth="1" style="372" min="3603" max="3603"/>
    <col width="3.625" customWidth="1" style="372" min="3604" max="3604"/>
    <col width="4.625" customWidth="1" style="372" min="3605" max="3605"/>
    <col width="5" customWidth="1" style="372" min="3606" max="3606"/>
    <col width="5.5" customWidth="1" style="372" min="3607" max="3607"/>
    <col width="3.875" customWidth="1" style="372" min="3608" max="3608"/>
    <col width="5.25" customWidth="1" style="372" min="3609" max="3609"/>
    <col width="4.5" customWidth="1" style="372" min="3610" max="3610"/>
    <col width="4.125" customWidth="1" style="372" min="3611" max="3611"/>
    <col width="3.625" customWidth="1" style="372" min="3612" max="3612"/>
    <col width="4.375" customWidth="1" style="372" min="3613" max="3613"/>
    <col width="8.75" customWidth="1" style="372" min="3614" max="3840"/>
    <col width="3.625" customWidth="1" style="372" min="3841" max="3841"/>
    <col width="5" customWidth="1" style="372" min="3842" max="3842"/>
    <col width="3.75" customWidth="1" style="372" min="3843" max="3843"/>
    <col width="4.5" customWidth="1" style="372" min="3844" max="3844"/>
    <col width="5" customWidth="1" style="372" min="3845" max="3845"/>
    <col width="4.375" customWidth="1" style="372" min="3846" max="3846"/>
    <col width="5.75" customWidth="1" style="372" min="3847" max="3847"/>
    <col width="5.5" customWidth="1" style="372" min="3848" max="3848"/>
    <col width="5" customWidth="1" style="372" min="3849" max="3849"/>
    <col width="4.125" customWidth="1" style="372" min="3850" max="3850"/>
    <col width="5.5" customWidth="1" style="372" min="3851" max="3851"/>
    <col width="4.375" customWidth="1" style="372" min="3852" max="3852"/>
    <col width="6.25" customWidth="1" style="372" min="3853" max="3853"/>
    <col width="4.5" customWidth="1" style="372" min="3854" max="3854"/>
    <col width="5.5" customWidth="1" style="372" min="3855" max="3855"/>
    <col width="4.5" customWidth="1" style="372" min="3856" max="3856"/>
    <col width="8.75" customWidth="1" style="372" min="3857" max="3857"/>
    <col width="4.5" customWidth="1" style="372" min="3858" max="3858"/>
    <col width="3.75" customWidth="1" style="372" min="3859" max="3859"/>
    <col width="3.625" customWidth="1" style="372" min="3860" max="3860"/>
    <col width="4.625" customWidth="1" style="372" min="3861" max="3861"/>
    <col width="5" customWidth="1" style="372" min="3862" max="3862"/>
    <col width="5.5" customWidth="1" style="372" min="3863" max="3863"/>
    <col width="3.875" customWidth="1" style="372" min="3864" max="3864"/>
    <col width="5.25" customWidth="1" style="372" min="3865" max="3865"/>
    <col width="4.5" customWidth="1" style="372" min="3866" max="3866"/>
    <col width="4.125" customWidth="1" style="372" min="3867" max="3867"/>
    <col width="3.625" customWidth="1" style="372" min="3868" max="3868"/>
    <col width="4.375" customWidth="1" style="372" min="3869" max="3869"/>
    <col width="8.75" customWidth="1" style="372" min="3870" max="4096"/>
    <col width="3.625" customWidth="1" style="372" min="4097" max="4097"/>
    <col width="5" customWidth="1" style="372" min="4098" max="4098"/>
    <col width="3.75" customWidth="1" style="372" min="4099" max="4099"/>
    <col width="4.5" customWidth="1" style="372" min="4100" max="4100"/>
    <col width="5" customWidth="1" style="372" min="4101" max="4101"/>
    <col width="4.375" customWidth="1" style="372" min="4102" max="4102"/>
    <col width="5.75" customWidth="1" style="372" min="4103" max="4103"/>
    <col width="5.5" customWidth="1" style="372" min="4104" max="4104"/>
    <col width="5" customWidth="1" style="372" min="4105" max="4105"/>
    <col width="4.125" customWidth="1" style="372" min="4106" max="4106"/>
    <col width="5.5" customWidth="1" style="372" min="4107" max="4107"/>
    <col width="4.375" customWidth="1" style="372" min="4108" max="4108"/>
    <col width="6.25" customWidth="1" style="372" min="4109" max="4109"/>
    <col width="4.5" customWidth="1" style="372" min="4110" max="4110"/>
    <col width="5.5" customWidth="1" style="372" min="4111" max="4111"/>
    <col width="4.5" customWidth="1" style="372" min="4112" max="4112"/>
    <col width="8.75" customWidth="1" style="372" min="4113" max="4113"/>
    <col width="4.5" customWidth="1" style="372" min="4114" max="4114"/>
    <col width="3.75" customWidth="1" style="372" min="4115" max="4115"/>
    <col width="3.625" customWidth="1" style="372" min="4116" max="4116"/>
    <col width="4.625" customWidth="1" style="372" min="4117" max="4117"/>
    <col width="5" customWidth="1" style="372" min="4118" max="4118"/>
    <col width="5.5" customWidth="1" style="372" min="4119" max="4119"/>
    <col width="3.875" customWidth="1" style="372" min="4120" max="4120"/>
    <col width="5.25" customWidth="1" style="372" min="4121" max="4121"/>
    <col width="4.5" customWidth="1" style="372" min="4122" max="4122"/>
    <col width="4.125" customWidth="1" style="372" min="4123" max="4123"/>
    <col width="3.625" customWidth="1" style="372" min="4124" max="4124"/>
    <col width="4.375" customWidth="1" style="372" min="4125" max="4125"/>
    <col width="8.75" customWidth="1" style="372" min="4126" max="4352"/>
    <col width="3.625" customWidth="1" style="372" min="4353" max="4353"/>
    <col width="5" customWidth="1" style="372" min="4354" max="4354"/>
    <col width="3.75" customWidth="1" style="372" min="4355" max="4355"/>
    <col width="4.5" customWidth="1" style="372" min="4356" max="4356"/>
    <col width="5" customWidth="1" style="372" min="4357" max="4357"/>
    <col width="4.375" customWidth="1" style="372" min="4358" max="4358"/>
    <col width="5.75" customWidth="1" style="372" min="4359" max="4359"/>
    <col width="5.5" customWidth="1" style="372" min="4360" max="4360"/>
    <col width="5" customWidth="1" style="372" min="4361" max="4361"/>
    <col width="4.125" customWidth="1" style="372" min="4362" max="4362"/>
    <col width="5.5" customWidth="1" style="372" min="4363" max="4363"/>
    <col width="4.375" customWidth="1" style="372" min="4364" max="4364"/>
    <col width="6.25" customWidth="1" style="372" min="4365" max="4365"/>
    <col width="4.5" customWidth="1" style="372" min="4366" max="4366"/>
    <col width="5.5" customWidth="1" style="372" min="4367" max="4367"/>
    <col width="4.5" customWidth="1" style="372" min="4368" max="4368"/>
    <col width="8.75" customWidth="1" style="372" min="4369" max="4369"/>
    <col width="4.5" customWidth="1" style="372" min="4370" max="4370"/>
    <col width="3.75" customWidth="1" style="372" min="4371" max="4371"/>
    <col width="3.625" customWidth="1" style="372" min="4372" max="4372"/>
    <col width="4.625" customWidth="1" style="372" min="4373" max="4373"/>
    <col width="5" customWidth="1" style="372" min="4374" max="4374"/>
    <col width="5.5" customWidth="1" style="372" min="4375" max="4375"/>
    <col width="3.875" customWidth="1" style="372" min="4376" max="4376"/>
    <col width="5.25" customWidth="1" style="372" min="4377" max="4377"/>
    <col width="4.5" customWidth="1" style="372" min="4378" max="4378"/>
    <col width="4.125" customWidth="1" style="372" min="4379" max="4379"/>
    <col width="3.625" customWidth="1" style="372" min="4380" max="4380"/>
    <col width="4.375" customWidth="1" style="372" min="4381" max="4381"/>
    <col width="8.75" customWidth="1" style="372" min="4382" max="4608"/>
    <col width="3.625" customWidth="1" style="372" min="4609" max="4609"/>
    <col width="5" customWidth="1" style="372" min="4610" max="4610"/>
    <col width="3.75" customWidth="1" style="372" min="4611" max="4611"/>
    <col width="4.5" customWidth="1" style="372" min="4612" max="4612"/>
    <col width="5" customWidth="1" style="372" min="4613" max="4613"/>
    <col width="4.375" customWidth="1" style="372" min="4614" max="4614"/>
    <col width="5.75" customWidth="1" style="372" min="4615" max="4615"/>
    <col width="5.5" customWidth="1" style="372" min="4616" max="4616"/>
    <col width="5" customWidth="1" style="372" min="4617" max="4617"/>
    <col width="4.125" customWidth="1" style="372" min="4618" max="4618"/>
    <col width="5.5" customWidth="1" style="372" min="4619" max="4619"/>
    <col width="4.375" customWidth="1" style="372" min="4620" max="4620"/>
    <col width="6.25" customWidth="1" style="372" min="4621" max="4621"/>
    <col width="4.5" customWidth="1" style="372" min="4622" max="4622"/>
    <col width="5.5" customWidth="1" style="372" min="4623" max="4623"/>
    <col width="4.5" customWidth="1" style="372" min="4624" max="4624"/>
    <col width="8.75" customWidth="1" style="372" min="4625" max="4625"/>
    <col width="4.5" customWidth="1" style="372" min="4626" max="4626"/>
    <col width="3.75" customWidth="1" style="372" min="4627" max="4627"/>
    <col width="3.625" customWidth="1" style="372" min="4628" max="4628"/>
    <col width="4.625" customWidth="1" style="372" min="4629" max="4629"/>
    <col width="5" customWidth="1" style="372" min="4630" max="4630"/>
    <col width="5.5" customWidth="1" style="372" min="4631" max="4631"/>
    <col width="3.875" customWidth="1" style="372" min="4632" max="4632"/>
    <col width="5.25" customWidth="1" style="372" min="4633" max="4633"/>
    <col width="4.5" customWidth="1" style="372" min="4634" max="4634"/>
    <col width="4.125" customWidth="1" style="372" min="4635" max="4635"/>
    <col width="3.625" customWidth="1" style="372" min="4636" max="4636"/>
    <col width="4.375" customWidth="1" style="372" min="4637" max="4637"/>
    <col width="8.75" customWidth="1" style="372" min="4638" max="4864"/>
    <col width="3.625" customWidth="1" style="372" min="4865" max="4865"/>
    <col width="5" customWidth="1" style="372" min="4866" max="4866"/>
    <col width="3.75" customWidth="1" style="372" min="4867" max="4867"/>
    <col width="4.5" customWidth="1" style="372" min="4868" max="4868"/>
    <col width="5" customWidth="1" style="372" min="4869" max="4869"/>
    <col width="4.375" customWidth="1" style="372" min="4870" max="4870"/>
    <col width="5.75" customWidth="1" style="372" min="4871" max="4871"/>
    <col width="5.5" customWidth="1" style="372" min="4872" max="4872"/>
    <col width="5" customWidth="1" style="372" min="4873" max="4873"/>
    <col width="4.125" customWidth="1" style="372" min="4874" max="4874"/>
    <col width="5.5" customWidth="1" style="372" min="4875" max="4875"/>
    <col width="4.375" customWidth="1" style="372" min="4876" max="4876"/>
    <col width="6.25" customWidth="1" style="372" min="4877" max="4877"/>
    <col width="4.5" customWidth="1" style="372" min="4878" max="4878"/>
    <col width="5.5" customWidth="1" style="372" min="4879" max="4879"/>
    <col width="4.5" customWidth="1" style="372" min="4880" max="4880"/>
    <col width="8.75" customWidth="1" style="372" min="4881" max="4881"/>
    <col width="4.5" customWidth="1" style="372" min="4882" max="4882"/>
    <col width="3.75" customWidth="1" style="372" min="4883" max="4883"/>
    <col width="3.625" customWidth="1" style="372" min="4884" max="4884"/>
    <col width="4.625" customWidth="1" style="372" min="4885" max="4885"/>
    <col width="5" customWidth="1" style="372" min="4886" max="4886"/>
    <col width="5.5" customWidth="1" style="372" min="4887" max="4887"/>
    <col width="3.875" customWidth="1" style="372" min="4888" max="4888"/>
    <col width="5.25" customWidth="1" style="372" min="4889" max="4889"/>
    <col width="4.5" customWidth="1" style="372" min="4890" max="4890"/>
    <col width="4.125" customWidth="1" style="372" min="4891" max="4891"/>
    <col width="3.625" customWidth="1" style="372" min="4892" max="4892"/>
    <col width="4.375" customWidth="1" style="372" min="4893" max="4893"/>
    <col width="8.75" customWidth="1" style="372" min="4894" max="5120"/>
    <col width="3.625" customWidth="1" style="372" min="5121" max="5121"/>
    <col width="5" customWidth="1" style="372" min="5122" max="5122"/>
    <col width="3.75" customWidth="1" style="372" min="5123" max="5123"/>
    <col width="4.5" customWidth="1" style="372" min="5124" max="5124"/>
    <col width="5" customWidth="1" style="372" min="5125" max="5125"/>
    <col width="4.375" customWidth="1" style="372" min="5126" max="5126"/>
    <col width="5.75" customWidth="1" style="372" min="5127" max="5127"/>
    <col width="5.5" customWidth="1" style="372" min="5128" max="5128"/>
    <col width="5" customWidth="1" style="372" min="5129" max="5129"/>
    <col width="4.125" customWidth="1" style="372" min="5130" max="5130"/>
    <col width="5.5" customWidth="1" style="372" min="5131" max="5131"/>
    <col width="4.375" customWidth="1" style="372" min="5132" max="5132"/>
    <col width="6.25" customWidth="1" style="372" min="5133" max="5133"/>
    <col width="4.5" customWidth="1" style="372" min="5134" max="5134"/>
    <col width="5.5" customWidth="1" style="372" min="5135" max="5135"/>
    <col width="4.5" customWidth="1" style="372" min="5136" max="5136"/>
    <col width="8.75" customWidth="1" style="372" min="5137" max="5137"/>
    <col width="4.5" customWidth="1" style="372" min="5138" max="5138"/>
    <col width="3.75" customWidth="1" style="372" min="5139" max="5139"/>
    <col width="3.625" customWidth="1" style="372" min="5140" max="5140"/>
    <col width="4.625" customWidth="1" style="372" min="5141" max="5141"/>
    <col width="5" customWidth="1" style="372" min="5142" max="5142"/>
    <col width="5.5" customWidth="1" style="372" min="5143" max="5143"/>
    <col width="3.875" customWidth="1" style="372" min="5144" max="5144"/>
    <col width="5.25" customWidth="1" style="372" min="5145" max="5145"/>
    <col width="4.5" customWidth="1" style="372" min="5146" max="5146"/>
    <col width="4.125" customWidth="1" style="372" min="5147" max="5147"/>
    <col width="3.625" customWidth="1" style="372" min="5148" max="5148"/>
    <col width="4.375" customWidth="1" style="372" min="5149" max="5149"/>
    <col width="8.75" customWidth="1" style="372" min="5150" max="5376"/>
    <col width="3.625" customWidth="1" style="372" min="5377" max="5377"/>
    <col width="5" customWidth="1" style="372" min="5378" max="5378"/>
    <col width="3.75" customWidth="1" style="372" min="5379" max="5379"/>
    <col width="4.5" customWidth="1" style="372" min="5380" max="5380"/>
    <col width="5" customWidth="1" style="372" min="5381" max="5381"/>
    <col width="4.375" customWidth="1" style="372" min="5382" max="5382"/>
    <col width="5.75" customWidth="1" style="372" min="5383" max="5383"/>
    <col width="5.5" customWidth="1" style="372" min="5384" max="5384"/>
    <col width="5" customWidth="1" style="372" min="5385" max="5385"/>
    <col width="4.125" customWidth="1" style="372" min="5386" max="5386"/>
    <col width="5.5" customWidth="1" style="372" min="5387" max="5387"/>
    <col width="4.375" customWidth="1" style="372" min="5388" max="5388"/>
    <col width="6.25" customWidth="1" style="372" min="5389" max="5389"/>
    <col width="4.5" customWidth="1" style="372" min="5390" max="5390"/>
    <col width="5.5" customWidth="1" style="372" min="5391" max="5391"/>
    <col width="4.5" customWidth="1" style="372" min="5392" max="5392"/>
    <col width="8.75" customWidth="1" style="372" min="5393" max="5393"/>
    <col width="4.5" customWidth="1" style="372" min="5394" max="5394"/>
    <col width="3.75" customWidth="1" style="372" min="5395" max="5395"/>
    <col width="3.625" customWidth="1" style="372" min="5396" max="5396"/>
    <col width="4.625" customWidth="1" style="372" min="5397" max="5397"/>
    <col width="5" customWidth="1" style="372" min="5398" max="5398"/>
    <col width="5.5" customWidth="1" style="372" min="5399" max="5399"/>
    <col width="3.875" customWidth="1" style="372" min="5400" max="5400"/>
    <col width="5.25" customWidth="1" style="372" min="5401" max="5401"/>
    <col width="4.5" customWidth="1" style="372" min="5402" max="5402"/>
    <col width="4.125" customWidth="1" style="372" min="5403" max="5403"/>
    <col width="3.625" customWidth="1" style="372" min="5404" max="5404"/>
    <col width="4.375" customWidth="1" style="372" min="5405" max="5405"/>
    <col width="8.75" customWidth="1" style="372" min="5406" max="5632"/>
    <col width="3.625" customWidth="1" style="372" min="5633" max="5633"/>
    <col width="5" customWidth="1" style="372" min="5634" max="5634"/>
    <col width="3.75" customWidth="1" style="372" min="5635" max="5635"/>
    <col width="4.5" customWidth="1" style="372" min="5636" max="5636"/>
    <col width="5" customWidth="1" style="372" min="5637" max="5637"/>
    <col width="4.375" customWidth="1" style="372" min="5638" max="5638"/>
    <col width="5.75" customWidth="1" style="372" min="5639" max="5639"/>
    <col width="5.5" customWidth="1" style="372" min="5640" max="5640"/>
    <col width="5" customWidth="1" style="372" min="5641" max="5641"/>
    <col width="4.125" customWidth="1" style="372" min="5642" max="5642"/>
    <col width="5.5" customWidth="1" style="372" min="5643" max="5643"/>
    <col width="4.375" customWidth="1" style="372" min="5644" max="5644"/>
    <col width="6.25" customWidth="1" style="372" min="5645" max="5645"/>
    <col width="4.5" customWidth="1" style="372" min="5646" max="5646"/>
    <col width="5.5" customWidth="1" style="372" min="5647" max="5647"/>
    <col width="4.5" customWidth="1" style="372" min="5648" max="5648"/>
    <col width="8.75" customWidth="1" style="372" min="5649" max="5649"/>
    <col width="4.5" customWidth="1" style="372" min="5650" max="5650"/>
    <col width="3.75" customWidth="1" style="372" min="5651" max="5651"/>
    <col width="3.625" customWidth="1" style="372" min="5652" max="5652"/>
    <col width="4.625" customWidth="1" style="372" min="5653" max="5653"/>
    <col width="5" customWidth="1" style="372" min="5654" max="5654"/>
    <col width="5.5" customWidth="1" style="372" min="5655" max="5655"/>
    <col width="3.875" customWidth="1" style="372" min="5656" max="5656"/>
    <col width="5.25" customWidth="1" style="372" min="5657" max="5657"/>
    <col width="4.5" customWidth="1" style="372" min="5658" max="5658"/>
    <col width="4.125" customWidth="1" style="372" min="5659" max="5659"/>
    <col width="3.625" customWidth="1" style="372" min="5660" max="5660"/>
    <col width="4.375" customWidth="1" style="372" min="5661" max="5661"/>
    <col width="8.75" customWidth="1" style="372" min="5662" max="5888"/>
    <col width="3.625" customWidth="1" style="372" min="5889" max="5889"/>
    <col width="5" customWidth="1" style="372" min="5890" max="5890"/>
    <col width="3.75" customWidth="1" style="372" min="5891" max="5891"/>
    <col width="4.5" customWidth="1" style="372" min="5892" max="5892"/>
    <col width="5" customWidth="1" style="372" min="5893" max="5893"/>
    <col width="4.375" customWidth="1" style="372" min="5894" max="5894"/>
    <col width="5.75" customWidth="1" style="372" min="5895" max="5895"/>
    <col width="5.5" customWidth="1" style="372" min="5896" max="5896"/>
    <col width="5" customWidth="1" style="372" min="5897" max="5897"/>
    <col width="4.125" customWidth="1" style="372" min="5898" max="5898"/>
    <col width="5.5" customWidth="1" style="372" min="5899" max="5899"/>
    <col width="4.375" customWidth="1" style="372" min="5900" max="5900"/>
    <col width="6.25" customWidth="1" style="372" min="5901" max="5901"/>
    <col width="4.5" customWidth="1" style="372" min="5902" max="5902"/>
    <col width="5.5" customWidth="1" style="372" min="5903" max="5903"/>
    <col width="4.5" customWidth="1" style="372" min="5904" max="5904"/>
    <col width="8.75" customWidth="1" style="372" min="5905" max="5905"/>
    <col width="4.5" customWidth="1" style="372" min="5906" max="5906"/>
    <col width="3.75" customWidth="1" style="372" min="5907" max="5907"/>
    <col width="3.625" customWidth="1" style="372" min="5908" max="5908"/>
    <col width="4.625" customWidth="1" style="372" min="5909" max="5909"/>
    <col width="5" customWidth="1" style="372" min="5910" max="5910"/>
    <col width="5.5" customWidth="1" style="372" min="5911" max="5911"/>
    <col width="3.875" customWidth="1" style="372" min="5912" max="5912"/>
    <col width="5.25" customWidth="1" style="372" min="5913" max="5913"/>
    <col width="4.5" customWidth="1" style="372" min="5914" max="5914"/>
    <col width="4.125" customWidth="1" style="372" min="5915" max="5915"/>
    <col width="3.625" customWidth="1" style="372" min="5916" max="5916"/>
    <col width="4.375" customWidth="1" style="372" min="5917" max="5917"/>
    <col width="8.75" customWidth="1" style="372" min="5918" max="6144"/>
    <col width="3.625" customWidth="1" style="372" min="6145" max="6145"/>
    <col width="5" customWidth="1" style="372" min="6146" max="6146"/>
    <col width="3.75" customWidth="1" style="372" min="6147" max="6147"/>
    <col width="4.5" customWidth="1" style="372" min="6148" max="6148"/>
    <col width="5" customWidth="1" style="372" min="6149" max="6149"/>
    <col width="4.375" customWidth="1" style="372" min="6150" max="6150"/>
    <col width="5.75" customWidth="1" style="372" min="6151" max="6151"/>
    <col width="5.5" customWidth="1" style="372" min="6152" max="6152"/>
    <col width="5" customWidth="1" style="372" min="6153" max="6153"/>
    <col width="4.125" customWidth="1" style="372" min="6154" max="6154"/>
    <col width="5.5" customWidth="1" style="372" min="6155" max="6155"/>
    <col width="4.375" customWidth="1" style="372" min="6156" max="6156"/>
    <col width="6.25" customWidth="1" style="372" min="6157" max="6157"/>
    <col width="4.5" customWidth="1" style="372" min="6158" max="6158"/>
    <col width="5.5" customWidth="1" style="372" min="6159" max="6159"/>
    <col width="4.5" customWidth="1" style="372" min="6160" max="6160"/>
    <col width="8.75" customWidth="1" style="372" min="6161" max="6161"/>
    <col width="4.5" customWidth="1" style="372" min="6162" max="6162"/>
    <col width="3.75" customWidth="1" style="372" min="6163" max="6163"/>
    <col width="3.625" customWidth="1" style="372" min="6164" max="6164"/>
    <col width="4.625" customWidth="1" style="372" min="6165" max="6165"/>
    <col width="5" customWidth="1" style="372" min="6166" max="6166"/>
    <col width="5.5" customWidth="1" style="372" min="6167" max="6167"/>
    <col width="3.875" customWidth="1" style="372" min="6168" max="6168"/>
    <col width="5.25" customWidth="1" style="372" min="6169" max="6169"/>
    <col width="4.5" customWidth="1" style="372" min="6170" max="6170"/>
    <col width="4.125" customWidth="1" style="372" min="6171" max="6171"/>
    <col width="3.625" customWidth="1" style="372" min="6172" max="6172"/>
    <col width="4.375" customWidth="1" style="372" min="6173" max="6173"/>
    <col width="8.75" customWidth="1" style="372" min="6174" max="6400"/>
    <col width="3.625" customWidth="1" style="372" min="6401" max="6401"/>
    <col width="5" customWidth="1" style="372" min="6402" max="6402"/>
    <col width="3.75" customWidth="1" style="372" min="6403" max="6403"/>
    <col width="4.5" customWidth="1" style="372" min="6404" max="6404"/>
    <col width="5" customWidth="1" style="372" min="6405" max="6405"/>
    <col width="4.375" customWidth="1" style="372" min="6406" max="6406"/>
    <col width="5.75" customWidth="1" style="372" min="6407" max="6407"/>
    <col width="5.5" customWidth="1" style="372" min="6408" max="6408"/>
    <col width="5" customWidth="1" style="372" min="6409" max="6409"/>
    <col width="4.125" customWidth="1" style="372" min="6410" max="6410"/>
    <col width="5.5" customWidth="1" style="372" min="6411" max="6411"/>
    <col width="4.375" customWidth="1" style="372" min="6412" max="6412"/>
    <col width="6.25" customWidth="1" style="372" min="6413" max="6413"/>
    <col width="4.5" customWidth="1" style="372" min="6414" max="6414"/>
    <col width="5.5" customWidth="1" style="372" min="6415" max="6415"/>
    <col width="4.5" customWidth="1" style="372" min="6416" max="6416"/>
    <col width="8.75" customWidth="1" style="372" min="6417" max="6417"/>
    <col width="4.5" customWidth="1" style="372" min="6418" max="6418"/>
    <col width="3.75" customWidth="1" style="372" min="6419" max="6419"/>
    <col width="3.625" customWidth="1" style="372" min="6420" max="6420"/>
    <col width="4.625" customWidth="1" style="372" min="6421" max="6421"/>
    <col width="5" customWidth="1" style="372" min="6422" max="6422"/>
    <col width="5.5" customWidth="1" style="372" min="6423" max="6423"/>
    <col width="3.875" customWidth="1" style="372" min="6424" max="6424"/>
    <col width="5.25" customWidth="1" style="372" min="6425" max="6425"/>
    <col width="4.5" customWidth="1" style="372" min="6426" max="6426"/>
    <col width="4.125" customWidth="1" style="372" min="6427" max="6427"/>
    <col width="3.625" customWidth="1" style="372" min="6428" max="6428"/>
    <col width="4.375" customWidth="1" style="372" min="6429" max="6429"/>
    <col width="8.75" customWidth="1" style="372" min="6430" max="6656"/>
    <col width="3.625" customWidth="1" style="372" min="6657" max="6657"/>
    <col width="5" customWidth="1" style="372" min="6658" max="6658"/>
    <col width="3.75" customWidth="1" style="372" min="6659" max="6659"/>
    <col width="4.5" customWidth="1" style="372" min="6660" max="6660"/>
    <col width="5" customWidth="1" style="372" min="6661" max="6661"/>
    <col width="4.375" customWidth="1" style="372" min="6662" max="6662"/>
    <col width="5.75" customWidth="1" style="372" min="6663" max="6663"/>
    <col width="5.5" customWidth="1" style="372" min="6664" max="6664"/>
    <col width="5" customWidth="1" style="372" min="6665" max="6665"/>
    <col width="4.125" customWidth="1" style="372" min="6666" max="6666"/>
    <col width="5.5" customWidth="1" style="372" min="6667" max="6667"/>
    <col width="4.375" customWidth="1" style="372" min="6668" max="6668"/>
    <col width="6.25" customWidth="1" style="372" min="6669" max="6669"/>
    <col width="4.5" customWidth="1" style="372" min="6670" max="6670"/>
    <col width="5.5" customWidth="1" style="372" min="6671" max="6671"/>
    <col width="4.5" customWidth="1" style="372" min="6672" max="6672"/>
    <col width="8.75" customWidth="1" style="372" min="6673" max="6673"/>
    <col width="4.5" customWidth="1" style="372" min="6674" max="6674"/>
    <col width="3.75" customWidth="1" style="372" min="6675" max="6675"/>
    <col width="3.625" customWidth="1" style="372" min="6676" max="6676"/>
    <col width="4.625" customWidth="1" style="372" min="6677" max="6677"/>
    <col width="5" customWidth="1" style="372" min="6678" max="6678"/>
    <col width="5.5" customWidth="1" style="372" min="6679" max="6679"/>
    <col width="3.875" customWidth="1" style="372" min="6680" max="6680"/>
    <col width="5.25" customWidth="1" style="372" min="6681" max="6681"/>
    <col width="4.5" customWidth="1" style="372" min="6682" max="6682"/>
    <col width="4.125" customWidth="1" style="372" min="6683" max="6683"/>
    <col width="3.625" customWidth="1" style="372" min="6684" max="6684"/>
    <col width="4.375" customWidth="1" style="372" min="6685" max="6685"/>
    <col width="8.75" customWidth="1" style="372" min="6686" max="6912"/>
    <col width="3.625" customWidth="1" style="372" min="6913" max="6913"/>
    <col width="5" customWidth="1" style="372" min="6914" max="6914"/>
    <col width="3.75" customWidth="1" style="372" min="6915" max="6915"/>
    <col width="4.5" customWidth="1" style="372" min="6916" max="6916"/>
    <col width="5" customWidth="1" style="372" min="6917" max="6917"/>
    <col width="4.375" customWidth="1" style="372" min="6918" max="6918"/>
    <col width="5.75" customWidth="1" style="372" min="6919" max="6919"/>
    <col width="5.5" customWidth="1" style="372" min="6920" max="6920"/>
    <col width="5" customWidth="1" style="372" min="6921" max="6921"/>
    <col width="4.125" customWidth="1" style="372" min="6922" max="6922"/>
    <col width="5.5" customWidth="1" style="372" min="6923" max="6923"/>
    <col width="4.375" customWidth="1" style="372" min="6924" max="6924"/>
    <col width="6.25" customWidth="1" style="372" min="6925" max="6925"/>
    <col width="4.5" customWidth="1" style="372" min="6926" max="6926"/>
    <col width="5.5" customWidth="1" style="372" min="6927" max="6927"/>
    <col width="4.5" customWidth="1" style="372" min="6928" max="6928"/>
    <col width="8.75" customWidth="1" style="372" min="6929" max="6929"/>
    <col width="4.5" customWidth="1" style="372" min="6930" max="6930"/>
    <col width="3.75" customWidth="1" style="372" min="6931" max="6931"/>
    <col width="3.625" customWidth="1" style="372" min="6932" max="6932"/>
    <col width="4.625" customWidth="1" style="372" min="6933" max="6933"/>
    <col width="5" customWidth="1" style="372" min="6934" max="6934"/>
    <col width="5.5" customWidth="1" style="372" min="6935" max="6935"/>
    <col width="3.875" customWidth="1" style="372" min="6936" max="6936"/>
    <col width="5.25" customWidth="1" style="372" min="6937" max="6937"/>
    <col width="4.5" customWidth="1" style="372" min="6938" max="6938"/>
    <col width="4.125" customWidth="1" style="372" min="6939" max="6939"/>
    <col width="3.625" customWidth="1" style="372" min="6940" max="6940"/>
    <col width="4.375" customWidth="1" style="372" min="6941" max="6941"/>
    <col width="8.75" customWidth="1" style="372" min="6942" max="7168"/>
    <col width="3.625" customWidth="1" style="372" min="7169" max="7169"/>
    <col width="5" customWidth="1" style="372" min="7170" max="7170"/>
    <col width="3.75" customWidth="1" style="372" min="7171" max="7171"/>
    <col width="4.5" customWidth="1" style="372" min="7172" max="7172"/>
    <col width="5" customWidth="1" style="372" min="7173" max="7173"/>
    <col width="4.375" customWidth="1" style="372" min="7174" max="7174"/>
    <col width="5.75" customWidth="1" style="372" min="7175" max="7175"/>
    <col width="5.5" customWidth="1" style="372" min="7176" max="7176"/>
    <col width="5" customWidth="1" style="372" min="7177" max="7177"/>
    <col width="4.125" customWidth="1" style="372" min="7178" max="7178"/>
    <col width="5.5" customWidth="1" style="372" min="7179" max="7179"/>
    <col width="4.375" customWidth="1" style="372" min="7180" max="7180"/>
    <col width="6.25" customWidth="1" style="372" min="7181" max="7181"/>
    <col width="4.5" customWidth="1" style="372" min="7182" max="7182"/>
    <col width="5.5" customWidth="1" style="372" min="7183" max="7183"/>
    <col width="4.5" customWidth="1" style="372" min="7184" max="7184"/>
    <col width="8.75" customWidth="1" style="372" min="7185" max="7185"/>
    <col width="4.5" customWidth="1" style="372" min="7186" max="7186"/>
    <col width="3.75" customWidth="1" style="372" min="7187" max="7187"/>
    <col width="3.625" customWidth="1" style="372" min="7188" max="7188"/>
    <col width="4.625" customWidth="1" style="372" min="7189" max="7189"/>
    <col width="5" customWidth="1" style="372" min="7190" max="7190"/>
    <col width="5.5" customWidth="1" style="372" min="7191" max="7191"/>
    <col width="3.875" customWidth="1" style="372" min="7192" max="7192"/>
    <col width="5.25" customWidth="1" style="372" min="7193" max="7193"/>
    <col width="4.5" customWidth="1" style="372" min="7194" max="7194"/>
    <col width="4.125" customWidth="1" style="372" min="7195" max="7195"/>
    <col width="3.625" customWidth="1" style="372" min="7196" max="7196"/>
    <col width="4.375" customWidth="1" style="372" min="7197" max="7197"/>
    <col width="8.75" customWidth="1" style="372" min="7198" max="7424"/>
    <col width="3.625" customWidth="1" style="372" min="7425" max="7425"/>
    <col width="5" customWidth="1" style="372" min="7426" max="7426"/>
    <col width="3.75" customWidth="1" style="372" min="7427" max="7427"/>
    <col width="4.5" customWidth="1" style="372" min="7428" max="7428"/>
    <col width="5" customWidth="1" style="372" min="7429" max="7429"/>
    <col width="4.375" customWidth="1" style="372" min="7430" max="7430"/>
    <col width="5.75" customWidth="1" style="372" min="7431" max="7431"/>
    <col width="5.5" customWidth="1" style="372" min="7432" max="7432"/>
    <col width="5" customWidth="1" style="372" min="7433" max="7433"/>
    <col width="4.125" customWidth="1" style="372" min="7434" max="7434"/>
    <col width="5.5" customWidth="1" style="372" min="7435" max="7435"/>
    <col width="4.375" customWidth="1" style="372" min="7436" max="7436"/>
    <col width="6.25" customWidth="1" style="372" min="7437" max="7437"/>
    <col width="4.5" customWidth="1" style="372" min="7438" max="7438"/>
    <col width="5.5" customWidth="1" style="372" min="7439" max="7439"/>
    <col width="4.5" customWidth="1" style="372" min="7440" max="7440"/>
    <col width="8.75" customWidth="1" style="372" min="7441" max="7441"/>
    <col width="4.5" customWidth="1" style="372" min="7442" max="7442"/>
    <col width="3.75" customWidth="1" style="372" min="7443" max="7443"/>
    <col width="3.625" customWidth="1" style="372" min="7444" max="7444"/>
    <col width="4.625" customWidth="1" style="372" min="7445" max="7445"/>
    <col width="5" customWidth="1" style="372" min="7446" max="7446"/>
    <col width="5.5" customWidth="1" style="372" min="7447" max="7447"/>
    <col width="3.875" customWidth="1" style="372" min="7448" max="7448"/>
    <col width="5.25" customWidth="1" style="372" min="7449" max="7449"/>
    <col width="4.5" customWidth="1" style="372" min="7450" max="7450"/>
    <col width="4.125" customWidth="1" style="372" min="7451" max="7451"/>
    <col width="3.625" customWidth="1" style="372" min="7452" max="7452"/>
    <col width="4.375" customWidth="1" style="372" min="7453" max="7453"/>
    <col width="8.75" customWidth="1" style="372" min="7454" max="7680"/>
    <col width="3.625" customWidth="1" style="372" min="7681" max="7681"/>
    <col width="5" customWidth="1" style="372" min="7682" max="7682"/>
    <col width="3.75" customWidth="1" style="372" min="7683" max="7683"/>
    <col width="4.5" customWidth="1" style="372" min="7684" max="7684"/>
    <col width="5" customWidth="1" style="372" min="7685" max="7685"/>
    <col width="4.375" customWidth="1" style="372" min="7686" max="7686"/>
    <col width="5.75" customWidth="1" style="372" min="7687" max="7687"/>
    <col width="5.5" customWidth="1" style="372" min="7688" max="7688"/>
    <col width="5" customWidth="1" style="372" min="7689" max="7689"/>
    <col width="4.125" customWidth="1" style="372" min="7690" max="7690"/>
    <col width="5.5" customWidth="1" style="372" min="7691" max="7691"/>
    <col width="4.375" customWidth="1" style="372" min="7692" max="7692"/>
    <col width="6.25" customWidth="1" style="372" min="7693" max="7693"/>
    <col width="4.5" customWidth="1" style="372" min="7694" max="7694"/>
    <col width="5.5" customWidth="1" style="372" min="7695" max="7695"/>
    <col width="4.5" customWidth="1" style="372" min="7696" max="7696"/>
    <col width="8.75" customWidth="1" style="372" min="7697" max="7697"/>
    <col width="4.5" customWidth="1" style="372" min="7698" max="7698"/>
    <col width="3.75" customWidth="1" style="372" min="7699" max="7699"/>
    <col width="3.625" customWidth="1" style="372" min="7700" max="7700"/>
    <col width="4.625" customWidth="1" style="372" min="7701" max="7701"/>
    <col width="5" customWidth="1" style="372" min="7702" max="7702"/>
    <col width="5.5" customWidth="1" style="372" min="7703" max="7703"/>
    <col width="3.875" customWidth="1" style="372" min="7704" max="7704"/>
    <col width="5.25" customWidth="1" style="372" min="7705" max="7705"/>
    <col width="4.5" customWidth="1" style="372" min="7706" max="7706"/>
    <col width="4.125" customWidth="1" style="372" min="7707" max="7707"/>
    <col width="3.625" customWidth="1" style="372" min="7708" max="7708"/>
    <col width="4.375" customWidth="1" style="372" min="7709" max="7709"/>
    <col width="8.75" customWidth="1" style="372" min="7710" max="7936"/>
    <col width="3.625" customWidth="1" style="372" min="7937" max="7937"/>
    <col width="5" customWidth="1" style="372" min="7938" max="7938"/>
    <col width="3.75" customWidth="1" style="372" min="7939" max="7939"/>
    <col width="4.5" customWidth="1" style="372" min="7940" max="7940"/>
    <col width="5" customWidth="1" style="372" min="7941" max="7941"/>
    <col width="4.375" customWidth="1" style="372" min="7942" max="7942"/>
    <col width="5.75" customWidth="1" style="372" min="7943" max="7943"/>
    <col width="5.5" customWidth="1" style="372" min="7944" max="7944"/>
    <col width="5" customWidth="1" style="372" min="7945" max="7945"/>
    <col width="4.125" customWidth="1" style="372" min="7946" max="7946"/>
    <col width="5.5" customWidth="1" style="372" min="7947" max="7947"/>
    <col width="4.375" customWidth="1" style="372" min="7948" max="7948"/>
    <col width="6.25" customWidth="1" style="372" min="7949" max="7949"/>
    <col width="4.5" customWidth="1" style="372" min="7950" max="7950"/>
    <col width="5.5" customWidth="1" style="372" min="7951" max="7951"/>
    <col width="4.5" customWidth="1" style="372" min="7952" max="7952"/>
    <col width="8.75" customWidth="1" style="372" min="7953" max="7953"/>
    <col width="4.5" customWidth="1" style="372" min="7954" max="7954"/>
    <col width="3.75" customWidth="1" style="372" min="7955" max="7955"/>
    <col width="3.625" customWidth="1" style="372" min="7956" max="7956"/>
    <col width="4.625" customWidth="1" style="372" min="7957" max="7957"/>
    <col width="5" customWidth="1" style="372" min="7958" max="7958"/>
    <col width="5.5" customWidth="1" style="372" min="7959" max="7959"/>
    <col width="3.875" customWidth="1" style="372" min="7960" max="7960"/>
    <col width="5.25" customWidth="1" style="372" min="7961" max="7961"/>
    <col width="4.5" customWidth="1" style="372" min="7962" max="7962"/>
    <col width="4.125" customWidth="1" style="372" min="7963" max="7963"/>
    <col width="3.625" customWidth="1" style="372" min="7964" max="7964"/>
    <col width="4.375" customWidth="1" style="372" min="7965" max="7965"/>
    <col width="8.75" customWidth="1" style="372" min="7966" max="8192"/>
    <col width="3.625" customWidth="1" style="372" min="8193" max="8193"/>
    <col width="5" customWidth="1" style="372" min="8194" max="8194"/>
    <col width="3.75" customWidth="1" style="372" min="8195" max="8195"/>
    <col width="4.5" customWidth="1" style="372" min="8196" max="8196"/>
    <col width="5" customWidth="1" style="372" min="8197" max="8197"/>
    <col width="4.375" customWidth="1" style="372" min="8198" max="8198"/>
    <col width="5.75" customWidth="1" style="372" min="8199" max="8199"/>
    <col width="5.5" customWidth="1" style="372" min="8200" max="8200"/>
    <col width="5" customWidth="1" style="372" min="8201" max="8201"/>
    <col width="4.125" customWidth="1" style="372" min="8202" max="8202"/>
    <col width="5.5" customWidth="1" style="372" min="8203" max="8203"/>
    <col width="4.375" customWidth="1" style="372" min="8204" max="8204"/>
    <col width="6.25" customWidth="1" style="372" min="8205" max="8205"/>
    <col width="4.5" customWidth="1" style="372" min="8206" max="8206"/>
    <col width="5.5" customWidth="1" style="372" min="8207" max="8207"/>
    <col width="4.5" customWidth="1" style="372" min="8208" max="8208"/>
    <col width="8.75" customWidth="1" style="372" min="8209" max="8209"/>
    <col width="4.5" customWidth="1" style="372" min="8210" max="8210"/>
    <col width="3.75" customWidth="1" style="372" min="8211" max="8211"/>
    <col width="3.625" customWidth="1" style="372" min="8212" max="8212"/>
    <col width="4.625" customWidth="1" style="372" min="8213" max="8213"/>
    <col width="5" customWidth="1" style="372" min="8214" max="8214"/>
    <col width="5.5" customWidth="1" style="372" min="8215" max="8215"/>
    <col width="3.875" customWidth="1" style="372" min="8216" max="8216"/>
    <col width="5.25" customWidth="1" style="372" min="8217" max="8217"/>
    <col width="4.5" customWidth="1" style="372" min="8218" max="8218"/>
    <col width="4.125" customWidth="1" style="372" min="8219" max="8219"/>
    <col width="3.625" customWidth="1" style="372" min="8220" max="8220"/>
    <col width="4.375" customWidth="1" style="372" min="8221" max="8221"/>
    <col width="8.75" customWidth="1" style="372" min="8222" max="8448"/>
    <col width="3.625" customWidth="1" style="372" min="8449" max="8449"/>
    <col width="5" customWidth="1" style="372" min="8450" max="8450"/>
    <col width="3.75" customWidth="1" style="372" min="8451" max="8451"/>
    <col width="4.5" customWidth="1" style="372" min="8452" max="8452"/>
    <col width="5" customWidth="1" style="372" min="8453" max="8453"/>
    <col width="4.375" customWidth="1" style="372" min="8454" max="8454"/>
    <col width="5.75" customWidth="1" style="372" min="8455" max="8455"/>
    <col width="5.5" customWidth="1" style="372" min="8456" max="8456"/>
    <col width="5" customWidth="1" style="372" min="8457" max="8457"/>
    <col width="4.125" customWidth="1" style="372" min="8458" max="8458"/>
    <col width="5.5" customWidth="1" style="372" min="8459" max="8459"/>
    <col width="4.375" customWidth="1" style="372" min="8460" max="8460"/>
    <col width="6.25" customWidth="1" style="372" min="8461" max="8461"/>
    <col width="4.5" customWidth="1" style="372" min="8462" max="8462"/>
    <col width="5.5" customWidth="1" style="372" min="8463" max="8463"/>
    <col width="4.5" customWidth="1" style="372" min="8464" max="8464"/>
    <col width="8.75" customWidth="1" style="372" min="8465" max="8465"/>
    <col width="4.5" customWidth="1" style="372" min="8466" max="8466"/>
    <col width="3.75" customWidth="1" style="372" min="8467" max="8467"/>
    <col width="3.625" customWidth="1" style="372" min="8468" max="8468"/>
    <col width="4.625" customWidth="1" style="372" min="8469" max="8469"/>
    <col width="5" customWidth="1" style="372" min="8470" max="8470"/>
    <col width="5.5" customWidth="1" style="372" min="8471" max="8471"/>
    <col width="3.875" customWidth="1" style="372" min="8472" max="8472"/>
    <col width="5.25" customWidth="1" style="372" min="8473" max="8473"/>
    <col width="4.5" customWidth="1" style="372" min="8474" max="8474"/>
    <col width="4.125" customWidth="1" style="372" min="8475" max="8475"/>
    <col width="3.625" customWidth="1" style="372" min="8476" max="8476"/>
    <col width="4.375" customWidth="1" style="372" min="8477" max="8477"/>
    <col width="8.75" customWidth="1" style="372" min="8478" max="8704"/>
    <col width="3.625" customWidth="1" style="372" min="8705" max="8705"/>
    <col width="5" customWidth="1" style="372" min="8706" max="8706"/>
    <col width="3.75" customWidth="1" style="372" min="8707" max="8707"/>
    <col width="4.5" customWidth="1" style="372" min="8708" max="8708"/>
    <col width="5" customWidth="1" style="372" min="8709" max="8709"/>
    <col width="4.375" customWidth="1" style="372" min="8710" max="8710"/>
    <col width="5.75" customWidth="1" style="372" min="8711" max="8711"/>
    <col width="5.5" customWidth="1" style="372" min="8712" max="8712"/>
    <col width="5" customWidth="1" style="372" min="8713" max="8713"/>
    <col width="4.125" customWidth="1" style="372" min="8714" max="8714"/>
    <col width="5.5" customWidth="1" style="372" min="8715" max="8715"/>
    <col width="4.375" customWidth="1" style="372" min="8716" max="8716"/>
    <col width="6.25" customWidth="1" style="372" min="8717" max="8717"/>
    <col width="4.5" customWidth="1" style="372" min="8718" max="8718"/>
    <col width="5.5" customWidth="1" style="372" min="8719" max="8719"/>
    <col width="4.5" customWidth="1" style="372" min="8720" max="8720"/>
    <col width="8.75" customWidth="1" style="372" min="8721" max="8721"/>
    <col width="4.5" customWidth="1" style="372" min="8722" max="8722"/>
    <col width="3.75" customWidth="1" style="372" min="8723" max="8723"/>
    <col width="3.625" customWidth="1" style="372" min="8724" max="8724"/>
    <col width="4.625" customWidth="1" style="372" min="8725" max="8725"/>
    <col width="5" customWidth="1" style="372" min="8726" max="8726"/>
    <col width="5.5" customWidth="1" style="372" min="8727" max="8727"/>
    <col width="3.875" customWidth="1" style="372" min="8728" max="8728"/>
    <col width="5.25" customWidth="1" style="372" min="8729" max="8729"/>
    <col width="4.5" customWidth="1" style="372" min="8730" max="8730"/>
    <col width="4.125" customWidth="1" style="372" min="8731" max="8731"/>
    <col width="3.625" customWidth="1" style="372" min="8732" max="8732"/>
    <col width="4.375" customWidth="1" style="372" min="8733" max="8733"/>
    <col width="8.75" customWidth="1" style="372" min="8734" max="8960"/>
    <col width="3.625" customWidth="1" style="372" min="8961" max="8961"/>
    <col width="5" customWidth="1" style="372" min="8962" max="8962"/>
    <col width="3.75" customWidth="1" style="372" min="8963" max="8963"/>
    <col width="4.5" customWidth="1" style="372" min="8964" max="8964"/>
    <col width="5" customWidth="1" style="372" min="8965" max="8965"/>
    <col width="4.375" customWidth="1" style="372" min="8966" max="8966"/>
    <col width="5.75" customWidth="1" style="372" min="8967" max="8967"/>
    <col width="5.5" customWidth="1" style="372" min="8968" max="8968"/>
    <col width="5" customWidth="1" style="372" min="8969" max="8969"/>
    <col width="4.125" customWidth="1" style="372" min="8970" max="8970"/>
    <col width="5.5" customWidth="1" style="372" min="8971" max="8971"/>
    <col width="4.375" customWidth="1" style="372" min="8972" max="8972"/>
    <col width="6.25" customWidth="1" style="372" min="8973" max="8973"/>
    <col width="4.5" customWidth="1" style="372" min="8974" max="8974"/>
    <col width="5.5" customWidth="1" style="372" min="8975" max="8975"/>
    <col width="4.5" customWidth="1" style="372" min="8976" max="8976"/>
    <col width="8.75" customWidth="1" style="372" min="8977" max="8977"/>
    <col width="4.5" customWidth="1" style="372" min="8978" max="8978"/>
    <col width="3.75" customWidth="1" style="372" min="8979" max="8979"/>
    <col width="3.625" customWidth="1" style="372" min="8980" max="8980"/>
    <col width="4.625" customWidth="1" style="372" min="8981" max="8981"/>
    <col width="5" customWidth="1" style="372" min="8982" max="8982"/>
    <col width="5.5" customWidth="1" style="372" min="8983" max="8983"/>
    <col width="3.875" customWidth="1" style="372" min="8984" max="8984"/>
    <col width="5.25" customWidth="1" style="372" min="8985" max="8985"/>
    <col width="4.5" customWidth="1" style="372" min="8986" max="8986"/>
    <col width="4.125" customWidth="1" style="372" min="8987" max="8987"/>
    <col width="3.625" customWidth="1" style="372" min="8988" max="8988"/>
    <col width="4.375" customWidth="1" style="372" min="8989" max="8989"/>
    <col width="8.75" customWidth="1" style="372" min="8990" max="9216"/>
    <col width="3.625" customWidth="1" style="372" min="9217" max="9217"/>
    <col width="5" customWidth="1" style="372" min="9218" max="9218"/>
    <col width="3.75" customWidth="1" style="372" min="9219" max="9219"/>
    <col width="4.5" customWidth="1" style="372" min="9220" max="9220"/>
    <col width="5" customWidth="1" style="372" min="9221" max="9221"/>
    <col width="4.375" customWidth="1" style="372" min="9222" max="9222"/>
    <col width="5.75" customWidth="1" style="372" min="9223" max="9223"/>
    <col width="5.5" customWidth="1" style="372" min="9224" max="9224"/>
    <col width="5" customWidth="1" style="372" min="9225" max="9225"/>
    <col width="4.125" customWidth="1" style="372" min="9226" max="9226"/>
    <col width="5.5" customWidth="1" style="372" min="9227" max="9227"/>
    <col width="4.375" customWidth="1" style="372" min="9228" max="9228"/>
    <col width="6.25" customWidth="1" style="372" min="9229" max="9229"/>
    <col width="4.5" customWidth="1" style="372" min="9230" max="9230"/>
    <col width="5.5" customWidth="1" style="372" min="9231" max="9231"/>
    <col width="4.5" customWidth="1" style="372" min="9232" max="9232"/>
    <col width="8.75" customWidth="1" style="372" min="9233" max="9233"/>
    <col width="4.5" customWidth="1" style="372" min="9234" max="9234"/>
    <col width="3.75" customWidth="1" style="372" min="9235" max="9235"/>
    <col width="3.625" customWidth="1" style="372" min="9236" max="9236"/>
    <col width="4.625" customWidth="1" style="372" min="9237" max="9237"/>
    <col width="5" customWidth="1" style="372" min="9238" max="9238"/>
    <col width="5.5" customWidth="1" style="372" min="9239" max="9239"/>
    <col width="3.875" customWidth="1" style="372" min="9240" max="9240"/>
    <col width="5.25" customWidth="1" style="372" min="9241" max="9241"/>
    <col width="4.5" customWidth="1" style="372" min="9242" max="9242"/>
    <col width="4.125" customWidth="1" style="372" min="9243" max="9243"/>
    <col width="3.625" customWidth="1" style="372" min="9244" max="9244"/>
    <col width="4.375" customWidth="1" style="372" min="9245" max="9245"/>
    <col width="8.75" customWidth="1" style="372" min="9246" max="9472"/>
    <col width="3.625" customWidth="1" style="372" min="9473" max="9473"/>
    <col width="5" customWidth="1" style="372" min="9474" max="9474"/>
    <col width="3.75" customWidth="1" style="372" min="9475" max="9475"/>
    <col width="4.5" customWidth="1" style="372" min="9476" max="9476"/>
    <col width="5" customWidth="1" style="372" min="9477" max="9477"/>
    <col width="4.375" customWidth="1" style="372" min="9478" max="9478"/>
    <col width="5.75" customWidth="1" style="372" min="9479" max="9479"/>
    <col width="5.5" customWidth="1" style="372" min="9480" max="9480"/>
    <col width="5" customWidth="1" style="372" min="9481" max="9481"/>
    <col width="4.125" customWidth="1" style="372" min="9482" max="9482"/>
    <col width="5.5" customWidth="1" style="372" min="9483" max="9483"/>
    <col width="4.375" customWidth="1" style="372" min="9484" max="9484"/>
    <col width="6.25" customWidth="1" style="372" min="9485" max="9485"/>
    <col width="4.5" customWidth="1" style="372" min="9486" max="9486"/>
    <col width="5.5" customWidth="1" style="372" min="9487" max="9487"/>
    <col width="4.5" customWidth="1" style="372" min="9488" max="9488"/>
    <col width="8.75" customWidth="1" style="372" min="9489" max="9489"/>
    <col width="4.5" customWidth="1" style="372" min="9490" max="9490"/>
    <col width="3.75" customWidth="1" style="372" min="9491" max="9491"/>
    <col width="3.625" customWidth="1" style="372" min="9492" max="9492"/>
    <col width="4.625" customWidth="1" style="372" min="9493" max="9493"/>
    <col width="5" customWidth="1" style="372" min="9494" max="9494"/>
    <col width="5.5" customWidth="1" style="372" min="9495" max="9495"/>
    <col width="3.875" customWidth="1" style="372" min="9496" max="9496"/>
    <col width="5.25" customWidth="1" style="372" min="9497" max="9497"/>
    <col width="4.5" customWidth="1" style="372" min="9498" max="9498"/>
    <col width="4.125" customWidth="1" style="372" min="9499" max="9499"/>
    <col width="3.625" customWidth="1" style="372" min="9500" max="9500"/>
    <col width="4.375" customWidth="1" style="372" min="9501" max="9501"/>
    <col width="8.75" customWidth="1" style="372" min="9502" max="9728"/>
    <col width="3.625" customWidth="1" style="372" min="9729" max="9729"/>
    <col width="5" customWidth="1" style="372" min="9730" max="9730"/>
    <col width="3.75" customWidth="1" style="372" min="9731" max="9731"/>
    <col width="4.5" customWidth="1" style="372" min="9732" max="9732"/>
    <col width="5" customWidth="1" style="372" min="9733" max="9733"/>
    <col width="4.375" customWidth="1" style="372" min="9734" max="9734"/>
    <col width="5.75" customWidth="1" style="372" min="9735" max="9735"/>
    <col width="5.5" customWidth="1" style="372" min="9736" max="9736"/>
    <col width="5" customWidth="1" style="372" min="9737" max="9737"/>
    <col width="4.125" customWidth="1" style="372" min="9738" max="9738"/>
    <col width="5.5" customWidth="1" style="372" min="9739" max="9739"/>
    <col width="4.375" customWidth="1" style="372" min="9740" max="9740"/>
    <col width="6.25" customWidth="1" style="372" min="9741" max="9741"/>
    <col width="4.5" customWidth="1" style="372" min="9742" max="9742"/>
    <col width="5.5" customWidth="1" style="372" min="9743" max="9743"/>
    <col width="4.5" customWidth="1" style="372" min="9744" max="9744"/>
    <col width="8.75" customWidth="1" style="372" min="9745" max="9745"/>
    <col width="4.5" customWidth="1" style="372" min="9746" max="9746"/>
    <col width="3.75" customWidth="1" style="372" min="9747" max="9747"/>
    <col width="3.625" customWidth="1" style="372" min="9748" max="9748"/>
    <col width="4.625" customWidth="1" style="372" min="9749" max="9749"/>
    <col width="5" customWidth="1" style="372" min="9750" max="9750"/>
    <col width="5.5" customWidth="1" style="372" min="9751" max="9751"/>
    <col width="3.875" customWidth="1" style="372" min="9752" max="9752"/>
    <col width="5.25" customWidth="1" style="372" min="9753" max="9753"/>
    <col width="4.5" customWidth="1" style="372" min="9754" max="9754"/>
    <col width="4.125" customWidth="1" style="372" min="9755" max="9755"/>
    <col width="3.625" customWidth="1" style="372" min="9756" max="9756"/>
    <col width="4.375" customWidth="1" style="372" min="9757" max="9757"/>
    <col width="8.75" customWidth="1" style="372" min="9758" max="9984"/>
    <col width="3.625" customWidth="1" style="372" min="9985" max="9985"/>
    <col width="5" customWidth="1" style="372" min="9986" max="9986"/>
    <col width="3.75" customWidth="1" style="372" min="9987" max="9987"/>
    <col width="4.5" customWidth="1" style="372" min="9988" max="9988"/>
    <col width="5" customWidth="1" style="372" min="9989" max="9989"/>
    <col width="4.375" customWidth="1" style="372" min="9990" max="9990"/>
    <col width="5.75" customWidth="1" style="372" min="9991" max="9991"/>
    <col width="5.5" customWidth="1" style="372" min="9992" max="9992"/>
    <col width="5" customWidth="1" style="372" min="9993" max="9993"/>
    <col width="4.125" customWidth="1" style="372" min="9994" max="9994"/>
    <col width="5.5" customWidth="1" style="372" min="9995" max="9995"/>
    <col width="4.375" customWidth="1" style="372" min="9996" max="9996"/>
    <col width="6.25" customWidth="1" style="372" min="9997" max="9997"/>
    <col width="4.5" customWidth="1" style="372" min="9998" max="9998"/>
    <col width="5.5" customWidth="1" style="372" min="9999" max="9999"/>
    <col width="4.5" customWidth="1" style="372" min="10000" max="10000"/>
    <col width="8.75" customWidth="1" style="372" min="10001" max="10001"/>
    <col width="4.5" customWidth="1" style="372" min="10002" max="10002"/>
    <col width="3.75" customWidth="1" style="372" min="10003" max="10003"/>
    <col width="3.625" customWidth="1" style="372" min="10004" max="10004"/>
    <col width="4.625" customWidth="1" style="372" min="10005" max="10005"/>
    <col width="5" customWidth="1" style="372" min="10006" max="10006"/>
    <col width="5.5" customWidth="1" style="372" min="10007" max="10007"/>
    <col width="3.875" customWidth="1" style="372" min="10008" max="10008"/>
    <col width="5.25" customWidth="1" style="372" min="10009" max="10009"/>
    <col width="4.5" customWidth="1" style="372" min="10010" max="10010"/>
    <col width="4.125" customWidth="1" style="372" min="10011" max="10011"/>
    <col width="3.625" customWidth="1" style="372" min="10012" max="10012"/>
    <col width="4.375" customWidth="1" style="372" min="10013" max="10013"/>
    <col width="8.75" customWidth="1" style="372" min="10014" max="10240"/>
    <col width="3.625" customWidth="1" style="372" min="10241" max="10241"/>
    <col width="5" customWidth="1" style="372" min="10242" max="10242"/>
    <col width="3.75" customWidth="1" style="372" min="10243" max="10243"/>
    <col width="4.5" customWidth="1" style="372" min="10244" max="10244"/>
    <col width="5" customWidth="1" style="372" min="10245" max="10245"/>
    <col width="4.375" customWidth="1" style="372" min="10246" max="10246"/>
    <col width="5.75" customWidth="1" style="372" min="10247" max="10247"/>
    <col width="5.5" customWidth="1" style="372" min="10248" max="10248"/>
    <col width="5" customWidth="1" style="372" min="10249" max="10249"/>
    <col width="4.125" customWidth="1" style="372" min="10250" max="10250"/>
    <col width="5.5" customWidth="1" style="372" min="10251" max="10251"/>
    <col width="4.375" customWidth="1" style="372" min="10252" max="10252"/>
    <col width="6.25" customWidth="1" style="372" min="10253" max="10253"/>
    <col width="4.5" customWidth="1" style="372" min="10254" max="10254"/>
    <col width="5.5" customWidth="1" style="372" min="10255" max="10255"/>
    <col width="4.5" customWidth="1" style="372" min="10256" max="10256"/>
    <col width="8.75" customWidth="1" style="372" min="10257" max="10257"/>
    <col width="4.5" customWidth="1" style="372" min="10258" max="10258"/>
    <col width="3.75" customWidth="1" style="372" min="10259" max="10259"/>
    <col width="3.625" customWidth="1" style="372" min="10260" max="10260"/>
    <col width="4.625" customWidth="1" style="372" min="10261" max="10261"/>
    <col width="5" customWidth="1" style="372" min="10262" max="10262"/>
    <col width="5.5" customWidth="1" style="372" min="10263" max="10263"/>
    <col width="3.875" customWidth="1" style="372" min="10264" max="10264"/>
    <col width="5.25" customWidth="1" style="372" min="10265" max="10265"/>
    <col width="4.5" customWidth="1" style="372" min="10266" max="10266"/>
    <col width="4.125" customWidth="1" style="372" min="10267" max="10267"/>
    <col width="3.625" customWidth="1" style="372" min="10268" max="10268"/>
    <col width="4.375" customWidth="1" style="372" min="10269" max="10269"/>
    <col width="8.75" customWidth="1" style="372" min="10270" max="10496"/>
    <col width="3.625" customWidth="1" style="372" min="10497" max="10497"/>
    <col width="5" customWidth="1" style="372" min="10498" max="10498"/>
    <col width="3.75" customWidth="1" style="372" min="10499" max="10499"/>
    <col width="4.5" customWidth="1" style="372" min="10500" max="10500"/>
    <col width="5" customWidth="1" style="372" min="10501" max="10501"/>
    <col width="4.375" customWidth="1" style="372" min="10502" max="10502"/>
    <col width="5.75" customWidth="1" style="372" min="10503" max="10503"/>
    <col width="5.5" customWidth="1" style="372" min="10504" max="10504"/>
    <col width="5" customWidth="1" style="372" min="10505" max="10505"/>
    <col width="4.125" customWidth="1" style="372" min="10506" max="10506"/>
    <col width="5.5" customWidth="1" style="372" min="10507" max="10507"/>
    <col width="4.375" customWidth="1" style="372" min="10508" max="10508"/>
    <col width="6.25" customWidth="1" style="372" min="10509" max="10509"/>
    <col width="4.5" customWidth="1" style="372" min="10510" max="10510"/>
    <col width="5.5" customWidth="1" style="372" min="10511" max="10511"/>
    <col width="4.5" customWidth="1" style="372" min="10512" max="10512"/>
    <col width="8.75" customWidth="1" style="372" min="10513" max="10513"/>
    <col width="4.5" customWidth="1" style="372" min="10514" max="10514"/>
    <col width="3.75" customWidth="1" style="372" min="10515" max="10515"/>
    <col width="3.625" customWidth="1" style="372" min="10516" max="10516"/>
    <col width="4.625" customWidth="1" style="372" min="10517" max="10517"/>
    <col width="5" customWidth="1" style="372" min="10518" max="10518"/>
    <col width="5.5" customWidth="1" style="372" min="10519" max="10519"/>
    <col width="3.875" customWidth="1" style="372" min="10520" max="10520"/>
    <col width="5.25" customWidth="1" style="372" min="10521" max="10521"/>
    <col width="4.5" customWidth="1" style="372" min="10522" max="10522"/>
    <col width="4.125" customWidth="1" style="372" min="10523" max="10523"/>
    <col width="3.625" customWidth="1" style="372" min="10524" max="10524"/>
    <col width="4.375" customWidth="1" style="372" min="10525" max="10525"/>
    <col width="8.75" customWidth="1" style="372" min="10526" max="10752"/>
    <col width="3.625" customWidth="1" style="372" min="10753" max="10753"/>
    <col width="5" customWidth="1" style="372" min="10754" max="10754"/>
    <col width="3.75" customWidth="1" style="372" min="10755" max="10755"/>
    <col width="4.5" customWidth="1" style="372" min="10756" max="10756"/>
    <col width="5" customWidth="1" style="372" min="10757" max="10757"/>
    <col width="4.375" customWidth="1" style="372" min="10758" max="10758"/>
    <col width="5.75" customWidth="1" style="372" min="10759" max="10759"/>
    <col width="5.5" customWidth="1" style="372" min="10760" max="10760"/>
    <col width="5" customWidth="1" style="372" min="10761" max="10761"/>
    <col width="4.125" customWidth="1" style="372" min="10762" max="10762"/>
    <col width="5.5" customWidth="1" style="372" min="10763" max="10763"/>
    <col width="4.375" customWidth="1" style="372" min="10764" max="10764"/>
    <col width="6.25" customWidth="1" style="372" min="10765" max="10765"/>
    <col width="4.5" customWidth="1" style="372" min="10766" max="10766"/>
    <col width="5.5" customWidth="1" style="372" min="10767" max="10767"/>
    <col width="4.5" customWidth="1" style="372" min="10768" max="10768"/>
    <col width="8.75" customWidth="1" style="372" min="10769" max="10769"/>
    <col width="4.5" customWidth="1" style="372" min="10770" max="10770"/>
    <col width="3.75" customWidth="1" style="372" min="10771" max="10771"/>
    <col width="3.625" customWidth="1" style="372" min="10772" max="10772"/>
    <col width="4.625" customWidth="1" style="372" min="10773" max="10773"/>
    <col width="5" customWidth="1" style="372" min="10774" max="10774"/>
    <col width="5.5" customWidth="1" style="372" min="10775" max="10775"/>
    <col width="3.875" customWidth="1" style="372" min="10776" max="10776"/>
    <col width="5.25" customWidth="1" style="372" min="10777" max="10777"/>
    <col width="4.5" customWidth="1" style="372" min="10778" max="10778"/>
    <col width="4.125" customWidth="1" style="372" min="10779" max="10779"/>
    <col width="3.625" customWidth="1" style="372" min="10780" max="10780"/>
    <col width="4.375" customWidth="1" style="372" min="10781" max="10781"/>
    <col width="8.75" customWidth="1" style="372" min="10782" max="11008"/>
    <col width="3.625" customWidth="1" style="372" min="11009" max="11009"/>
    <col width="5" customWidth="1" style="372" min="11010" max="11010"/>
    <col width="3.75" customWidth="1" style="372" min="11011" max="11011"/>
    <col width="4.5" customWidth="1" style="372" min="11012" max="11012"/>
    <col width="5" customWidth="1" style="372" min="11013" max="11013"/>
    <col width="4.375" customWidth="1" style="372" min="11014" max="11014"/>
    <col width="5.75" customWidth="1" style="372" min="11015" max="11015"/>
    <col width="5.5" customWidth="1" style="372" min="11016" max="11016"/>
    <col width="5" customWidth="1" style="372" min="11017" max="11017"/>
    <col width="4.125" customWidth="1" style="372" min="11018" max="11018"/>
    <col width="5.5" customWidth="1" style="372" min="11019" max="11019"/>
    <col width="4.375" customWidth="1" style="372" min="11020" max="11020"/>
    <col width="6.25" customWidth="1" style="372" min="11021" max="11021"/>
    <col width="4.5" customWidth="1" style="372" min="11022" max="11022"/>
    <col width="5.5" customWidth="1" style="372" min="11023" max="11023"/>
    <col width="4.5" customWidth="1" style="372" min="11024" max="11024"/>
    <col width="8.75" customWidth="1" style="372" min="11025" max="11025"/>
    <col width="4.5" customWidth="1" style="372" min="11026" max="11026"/>
    <col width="3.75" customWidth="1" style="372" min="11027" max="11027"/>
    <col width="3.625" customWidth="1" style="372" min="11028" max="11028"/>
    <col width="4.625" customWidth="1" style="372" min="11029" max="11029"/>
    <col width="5" customWidth="1" style="372" min="11030" max="11030"/>
    <col width="5.5" customWidth="1" style="372" min="11031" max="11031"/>
    <col width="3.875" customWidth="1" style="372" min="11032" max="11032"/>
    <col width="5.25" customWidth="1" style="372" min="11033" max="11033"/>
    <col width="4.5" customWidth="1" style="372" min="11034" max="11034"/>
    <col width="4.125" customWidth="1" style="372" min="11035" max="11035"/>
    <col width="3.625" customWidth="1" style="372" min="11036" max="11036"/>
    <col width="4.375" customWidth="1" style="372" min="11037" max="11037"/>
    <col width="8.75" customWidth="1" style="372" min="11038" max="11264"/>
    <col width="3.625" customWidth="1" style="372" min="11265" max="11265"/>
    <col width="5" customWidth="1" style="372" min="11266" max="11266"/>
    <col width="3.75" customWidth="1" style="372" min="11267" max="11267"/>
    <col width="4.5" customWidth="1" style="372" min="11268" max="11268"/>
    <col width="5" customWidth="1" style="372" min="11269" max="11269"/>
    <col width="4.375" customWidth="1" style="372" min="11270" max="11270"/>
    <col width="5.75" customWidth="1" style="372" min="11271" max="11271"/>
    <col width="5.5" customWidth="1" style="372" min="11272" max="11272"/>
    <col width="5" customWidth="1" style="372" min="11273" max="11273"/>
    <col width="4.125" customWidth="1" style="372" min="11274" max="11274"/>
    <col width="5.5" customWidth="1" style="372" min="11275" max="11275"/>
    <col width="4.375" customWidth="1" style="372" min="11276" max="11276"/>
    <col width="6.25" customWidth="1" style="372" min="11277" max="11277"/>
    <col width="4.5" customWidth="1" style="372" min="11278" max="11278"/>
    <col width="5.5" customWidth="1" style="372" min="11279" max="11279"/>
    <col width="4.5" customWidth="1" style="372" min="11280" max="11280"/>
    <col width="8.75" customWidth="1" style="372" min="11281" max="11281"/>
    <col width="4.5" customWidth="1" style="372" min="11282" max="11282"/>
    <col width="3.75" customWidth="1" style="372" min="11283" max="11283"/>
    <col width="3.625" customWidth="1" style="372" min="11284" max="11284"/>
    <col width="4.625" customWidth="1" style="372" min="11285" max="11285"/>
    <col width="5" customWidth="1" style="372" min="11286" max="11286"/>
    <col width="5.5" customWidth="1" style="372" min="11287" max="11287"/>
    <col width="3.875" customWidth="1" style="372" min="11288" max="11288"/>
    <col width="5.25" customWidth="1" style="372" min="11289" max="11289"/>
    <col width="4.5" customWidth="1" style="372" min="11290" max="11290"/>
    <col width="4.125" customWidth="1" style="372" min="11291" max="11291"/>
    <col width="3.625" customWidth="1" style="372" min="11292" max="11292"/>
    <col width="4.375" customWidth="1" style="372" min="11293" max="11293"/>
    <col width="8.75" customWidth="1" style="372" min="11294" max="11520"/>
    <col width="3.625" customWidth="1" style="372" min="11521" max="11521"/>
    <col width="5" customWidth="1" style="372" min="11522" max="11522"/>
    <col width="3.75" customWidth="1" style="372" min="11523" max="11523"/>
    <col width="4.5" customWidth="1" style="372" min="11524" max="11524"/>
    <col width="5" customWidth="1" style="372" min="11525" max="11525"/>
    <col width="4.375" customWidth="1" style="372" min="11526" max="11526"/>
    <col width="5.75" customWidth="1" style="372" min="11527" max="11527"/>
    <col width="5.5" customWidth="1" style="372" min="11528" max="11528"/>
    <col width="5" customWidth="1" style="372" min="11529" max="11529"/>
    <col width="4.125" customWidth="1" style="372" min="11530" max="11530"/>
    <col width="5.5" customWidth="1" style="372" min="11531" max="11531"/>
    <col width="4.375" customWidth="1" style="372" min="11532" max="11532"/>
    <col width="6.25" customWidth="1" style="372" min="11533" max="11533"/>
    <col width="4.5" customWidth="1" style="372" min="11534" max="11534"/>
    <col width="5.5" customWidth="1" style="372" min="11535" max="11535"/>
    <col width="4.5" customWidth="1" style="372" min="11536" max="11536"/>
    <col width="8.75" customWidth="1" style="372" min="11537" max="11537"/>
    <col width="4.5" customWidth="1" style="372" min="11538" max="11538"/>
    <col width="3.75" customWidth="1" style="372" min="11539" max="11539"/>
    <col width="3.625" customWidth="1" style="372" min="11540" max="11540"/>
    <col width="4.625" customWidth="1" style="372" min="11541" max="11541"/>
    <col width="5" customWidth="1" style="372" min="11542" max="11542"/>
    <col width="5.5" customWidth="1" style="372" min="11543" max="11543"/>
    <col width="3.875" customWidth="1" style="372" min="11544" max="11544"/>
    <col width="5.25" customWidth="1" style="372" min="11545" max="11545"/>
    <col width="4.5" customWidth="1" style="372" min="11546" max="11546"/>
    <col width="4.125" customWidth="1" style="372" min="11547" max="11547"/>
    <col width="3.625" customWidth="1" style="372" min="11548" max="11548"/>
    <col width="4.375" customWidth="1" style="372" min="11549" max="11549"/>
    <col width="8.75" customWidth="1" style="372" min="11550" max="11776"/>
    <col width="3.625" customWidth="1" style="372" min="11777" max="11777"/>
    <col width="5" customWidth="1" style="372" min="11778" max="11778"/>
    <col width="3.75" customWidth="1" style="372" min="11779" max="11779"/>
    <col width="4.5" customWidth="1" style="372" min="11780" max="11780"/>
    <col width="5" customWidth="1" style="372" min="11781" max="11781"/>
    <col width="4.375" customWidth="1" style="372" min="11782" max="11782"/>
    <col width="5.75" customWidth="1" style="372" min="11783" max="11783"/>
    <col width="5.5" customWidth="1" style="372" min="11784" max="11784"/>
    <col width="5" customWidth="1" style="372" min="11785" max="11785"/>
    <col width="4.125" customWidth="1" style="372" min="11786" max="11786"/>
    <col width="5.5" customWidth="1" style="372" min="11787" max="11787"/>
    <col width="4.375" customWidth="1" style="372" min="11788" max="11788"/>
    <col width="6.25" customWidth="1" style="372" min="11789" max="11789"/>
    <col width="4.5" customWidth="1" style="372" min="11790" max="11790"/>
    <col width="5.5" customWidth="1" style="372" min="11791" max="11791"/>
    <col width="4.5" customWidth="1" style="372" min="11792" max="11792"/>
    <col width="8.75" customWidth="1" style="372" min="11793" max="11793"/>
    <col width="4.5" customWidth="1" style="372" min="11794" max="11794"/>
    <col width="3.75" customWidth="1" style="372" min="11795" max="11795"/>
    <col width="3.625" customWidth="1" style="372" min="11796" max="11796"/>
    <col width="4.625" customWidth="1" style="372" min="11797" max="11797"/>
    <col width="5" customWidth="1" style="372" min="11798" max="11798"/>
    <col width="5.5" customWidth="1" style="372" min="11799" max="11799"/>
    <col width="3.875" customWidth="1" style="372" min="11800" max="11800"/>
    <col width="5.25" customWidth="1" style="372" min="11801" max="11801"/>
    <col width="4.5" customWidth="1" style="372" min="11802" max="11802"/>
    <col width="4.125" customWidth="1" style="372" min="11803" max="11803"/>
    <col width="3.625" customWidth="1" style="372" min="11804" max="11804"/>
    <col width="4.375" customWidth="1" style="372" min="11805" max="11805"/>
    <col width="8.75" customWidth="1" style="372" min="11806" max="12032"/>
    <col width="3.625" customWidth="1" style="372" min="12033" max="12033"/>
    <col width="5" customWidth="1" style="372" min="12034" max="12034"/>
    <col width="3.75" customWidth="1" style="372" min="12035" max="12035"/>
    <col width="4.5" customWidth="1" style="372" min="12036" max="12036"/>
    <col width="5" customWidth="1" style="372" min="12037" max="12037"/>
    <col width="4.375" customWidth="1" style="372" min="12038" max="12038"/>
    <col width="5.75" customWidth="1" style="372" min="12039" max="12039"/>
    <col width="5.5" customWidth="1" style="372" min="12040" max="12040"/>
    <col width="5" customWidth="1" style="372" min="12041" max="12041"/>
    <col width="4.125" customWidth="1" style="372" min="12042" max="12042"/>
    <col width="5.5" customWidth="1" style="372" min="12043" max="12043"/>
    <col width="4.375" customWidth="1" style="372" min="12044" max="12044"/>
    <col width="6.25" customWidth="1" style="372" min="12045" max="12045"/>
    <col width="4.5" customWidth="1" style="372" min="12046" max="12046"/>
    <col width="5.5" customWidth="1" style="372" min="12047" max="12047"/>
    <col width="4.5" customWidth="1" style="372" min="12048" max="12048"/>
    <col width="8.75" customWidth="1" style="372" min="12049" max="12049"/>
    <col width="4.5" customWidth="1" style="372" min="12050" max="12050"/>
    <col width="3.75" customWidth="1" style="372" min="12051" max="12051"/>
    <col width="3.625" customWidth="1" style="372" min="12052" max="12052"/>
    <col width="4.625" customWidth="1" style="372" min="12053" max="12053"/>
    <col width="5" customWidth="1" style="372" min="12054" max="12054"/>
    <col width="5.5" customWidth="1" style="372" min="12055" max="12055"/>
    <col width="3.875" customWidth="1" style="372" min="12056" max="12056"/>
    <col width="5.25" customWidth="1" style="372" min="12057" max="12057"/>
    <col width="4.5" customWidth="1" style="372" min="12058" max="12058"/>
    <col width="4.125" customWidth="1" style="372" min="12059" max="12059"/>
    <col width="3.625" customWidth="1" style="372" min="12060" max="12060"/>
    <col width="4.375" customWidth="1" style="372" min="12061" max="12061"/>
    <col width="8.75" customWidth="1" style="372" min="12062" max="12288"/>
    <col width="3.625" customWidth="1" style="372" min="12289" max="12289"/>
    <col width="5" customWidth="1" style="372" min="12290" max="12290"/>
    <col width="3.75" customWidth="1" style="372" min="12291" max="12291"/>
    <col width="4.5" customWidth="1" style="372" min="12292" max="12292"/>
    <col width="5" customWidth="1" style="372" min="12293" max="12293"/>
    <col width="4.375" customWidth="1" style="372" min="12294" max="12294"/>
    <col width="5.75" customWidth="1" style="372" min="12295" max="12295"/>
    <col width="5.5" customWidth="1" style="372" min="12296" max="12296"/>
    <col width="5" customWidth="1" style="372" min="12297" max="12297"/>
    <col width="4.125" customWidth="1" style="372" min="12298" max="12298"/>
    <col width="5.5" customWidth="1" style="372" min="12299" max="12299"/>
    <col width="4.375" customWidth="1" style="372" min="12300" max="12300"/>
    <col width="6.25" customWidth="1" style="372" min="12301" max="12301"/>
    <col width="4.5" customWidth="1" style="372" min="12302" max="12302"/>
    <col width="5.5" customWidth="1" style="372" min="12303" max="12303"/>
    <col width="4.5" customWidth="1" style="372" min="12304" max="12304"/>
    <col width="8.75" customWidth="1" style="372" min="12305" max="12305"/>
    <col width="4.5" customWidth="1" style="372" min="12306" max="12306"/>
    <col width="3.75" customWidth="1" style="372" min="12307" max="12307"/>
    <col width="3.625" customWidth="1" style="372" min="12308" max="12308"/>
    <col width="4.625" customWidth="1" style="372" min="12309" max="12309"/>
    <col width="5" customWidth="1" style="372" min="12310" max="12310"/>
    <col width="5.5" customWidth="1" style="372" min="12311" max="12311"/>
    <col width="3.875" customWidth="1" style="372" min="12312" max="12312"/>
    <col width="5.25" customWidth="1" style="372" min="12313" max="12313"/>
    <col width="4.5" customWidth="1" style="372" min="12314" max="12314"/>
    <col width="4.125" customWidth="1" style="372" min="12315" max="12315"/>
    <col width="3.625" customWidth="1" style="372" min="12316" max="12316"/>
    <col width="4.375" customWidth="1" style="372" min="12317" max="12317"/>
    <col width="8.75" customWidth="1" style="372" min="12318" max="12544"/>
    <col width="3.625" customWidth="1" style="372" min="12545" max="12545"/>
    <col width="5" customWidth="1" style="372" min="12546" max="12546"/>
    <col width="3.75" customWidth="1" style="372" min="12547" max="12547"/>
    <col width="4.5" customWidth="1" style="372" min="12548" max="12548"/>
    <col width="5" customWidth="1" style="372" min="12549" max="12549"/>
    <col width="4.375" customWidth="1" style="372" min="12550" max="12550"/>
    <col width="5.75" customWidth="1" style="372" min="12551" max="12551"/>
    <col width="5.5" customWidth="1" style="372" min="12552" max="12552"/>
    <col width="5" customWidth="1" style="372" min="12553" max="12553"/>
    <col width="4.125" customWidth="1" style="372" min="12554" max="12554"/>
    <col width="5.5" customWidth="1" style="372" min="12555" max="12555"/>
    <col width="4.375" customWidth="1" style="372" min="12556" max="12556"/>
    <col width="6.25" customWidth="1" style="372" min="12557" max="12557"/>
    <col width="4.5" customWidth="1" style="372" min="12558" max="12558"/>
    <col width="5.5" customWidth="1" style="372" min="12559" max="12559"/>
    <col width="4.5" customWidth="1" style="372" min="12560" max="12560"/>
    <col width="8.75" customWidth="1" style="372" min="12561" max="12561"/>
    <col width="4.5" customWidth="1" style="372" min="12562" max="12562"/>
    <col width="3.75" customWidth="1" style="372" min="12563" max="12563"/>
    <col width="3.625" customWidth="1" style="372" min="12564" max="12564"/>
    <col width="4.625" customWidth="1" style="372" min="12565" max="12565"/>
    <col width="5" customWidth="1" style="372" min="12566" max="12566"/>
    <col width="5.5" customWidth="1" style="372" min="12567" max="12567"/>
    <col width="3.875" customWidth="1" style="372" min="12568" max="12568"/>
    <col width="5.25" customWidth="1" style="372" min="12569" max="12569"/>
    <col width="4.5" customWidth="1" style="372" min="12570" max="12570"/>
    <col width="4.125" customWidth="1" style="372" min="12571" max="12571"/>
    <col width="3.625" customWidth="1" style="372" min="12572" max="12572"/>
    <col width="4.375" customWidth="1" style="372" min="12573" max="12573"/>
    <col width="8.75" customWidth="1" style="372" min="12574" max="12800"/>
    <col width="3.625" customWidth="1" style="372" min="12801" max="12801"/>
    <col width="5" customWidth="1" style="372" min="12802" max="12802"/>
    <col width="3.75" customWidth="1" style="372" min="12803" max="12803"/>
    <col width="4.5" customWidth="1" style="372" min="12804" max="12804"/>
    <col width="5" customWidth="1" style="372" min="12805" max="12805"/>
    <col width="4.375" customWidth="1" style="372" min="12806" max="12806"/>
    <col width="5.75" customWidth="1" style="372" min="12807" max="12807"/>
    <col width="5.5" customWidth="1" style="372" min="12808" max="12808"/>
    <col width="5" customWidth="1" style="372" min="12809" max="12809"/>
    <col width="4.125" customWidth="1" style="372" min="12810" max="12810"/>
    <col width="5.5" customWidth="1" style="372" min="12811" max="12811"/>
    <col width="4.375" customWidth="1" style="372" min="12812" max="12812"/>
    <col width="6.25" customWidth="1" style="372" min="12813" max="12813"/>
    <col width="4.5" customWidth="1" style="372" min="12814" max="12814"/>
    <col width="5.5" customWidth="1" style="372" min="12815" max="12815"/>
    <col width="4.5" customWidth="1" style="372" min="12816" max="12816"/>
    <col width="8.75" customWidth="1" style="372" min="12817" max="12817"/>
    <col width="4.5" customWidth="1" style="372" min="12818" max="12818"/>
    <col width="3.75" customWidth="1" style="372" min="12819" max="12819"/>
    <col width="3.625" customWidth="1" style="372" min="12820" max="12820"/>
    <col width="4.625" customWidth="1" style="372" min="12821" max="12821"/>
    <col width="5" customWidth="1" style="372" min="12822" max="12822"/>
    <col width="5.5" customWidth="1" style="372" min="12823" max="12823"/>
    <col width="3.875" customWidth="1" style="372" min="12824" max="12824"/>
    <col width="5.25" customWidth="1" style="372" min="12825" max="12825"/>
    <col width="4.5" customWidth="1" style="372" min="12826" max="12826"/>
    <col width="4.125" customWidth="1" style="372" min="12827" max="12827"/>
    <col width="3.625" customWidth="1" style="372" min="12828" max="12828"/>
    <col width="4.375" customWidth="1" style="372" min="12829" max="12829"/>
    <col width="8.75" customWidth="1" style="372" min="12830" max="13056"/>
    <col width="3.625" customWidth="1" style="372" min="13057" max="13057"/>
    <col width="5" customWidth="1" style="372" min="13058" max="13058"/>
    <col width="3.75" customWidth="1" style="372" min="13059" max="13059"/>
    <col width="4.5" customWidth="1" style="372" min="13060" max="13060"/>
    <col width="5" customWidth="1" style="372" min="13061" max="13061"/>
    <col width="4.375" customWidth="1" style="372" min="13062" max="13062"/>
    <col width="5.75" customWidth="1" style="372" min="13063" max="13063"/>
    <col width="5.5" customWidth="1" style="372" min="13064" max="13064"/>
    <col width="5" customWidth="1" style="372" min="13065" max="13065"/>
    <col width="4.125" customWidth="1" style="372" min="13066" max="13066"/>
    <col width="5.5" customWidth="1" style="372" min="13067" max="13067"/>
    <col width="4.375" customWidth="1" style="372" min="13068" max="13068"/>
    <col width="6.25" customWidth="1" style="372" min="13069" max="13069"/>
    <col width="4.5" customWidth="1" style="372" min="13070" max="13070"/>
    <col width="5.5" customWidth="1" style="372" min="13071" max="13071"/>
    <col width="4.5" customWidth="1" style="372" min="13072" max="13072"/>
    <col width="8.75" customWidth="1" style="372" min="13073" max="13073"/>
    <col width="4.5" customWidth="1" style="372" min="13074" max="13074"/>
    <col width="3.75" customWidth="1" style="372" min="13075" max="13075"/>
    <col width="3.625" customWidth="1" style="372" min="13076" max="13076"/>
    <col width="4.625" customWidth="1" style="372" min="13077" max="13077"/>
    <col width="5" customWidth="1" style="372" min="13078" max="13078"/>
    <col width="5.5" customWidth="1" style="372" min="13079" max="13079"/>
    <col width="3.875" customWidth="1" style="372" min="13080" max="13080"/>
    <col width="5.25" customWidth="1" style="372" min="13081" max="13081"/>
    <col width="4.5" customWidth="1" style="372" min="13082" max="13082"/>
    <col width="4.125" customWidth="1" style="372" min="13083" max="13083"/>
    <col width="3.625" customWidth="1" style="372" min="13084" max="13084"/>
    <col width="4.375" customWidth="1" style="372" min="13085" max="13085"/>
    <col width="8.75" customWidth="1" style="372" min="13086" max="13312"/>
    <col width="3.625" customWidth="1" style="372" min="13313" max="13313"/>
    <col width="5" customWidth="1" style="372" min="13314" max="13314"/>
    <col width="3.75" customWidth="1" style="372" min="13315" max="13315"/>
    <col width="4.5" customWidth="1" style="372" min="13316" max="13316"/>
    <col width="5" customWidth="1" style="372" min="13317" max="13317"/>
    <col width="4.375" customWidth="1" style="372" min="13318" max="13318"/>
    <col width="5.75" customWidth="1" style="372" min="13319" max="13319"/>
    <col width="5.5" customWidth="1" style="372" min="13320" max="13320"/>
    <col width="5" customWidth="1" style="372" min="13321" max="13321"/>
    <col width="4.125" customWidth="1" style="372" min="13322" max="13322"/>
    <col width="5.5" customWidth="1" style="372" min="13323" max="13323"/>
    <col width="4.375" customWidth="1" style="372" min="13324" max="13324"/>
    <col width="6.25" customWidth="1" style="372" min="13325" max="13325"/>
    <col width="4.5" customWidth="1" style="372" min="13326" max="13326"/>
    <col width="5.5" customWidth="1" style="372" min="13327" max="13327"/>
    <col width="4.5" customWidth="1" style="372" min="13328" max="13328"/>
    <col width="8.75" customWidth="1" style="372" min="13329" max="13329"/>
    <col width="4.5" customWidth="1" style="372" min="13330" max="13330"/>
    <col width="3.75" customWidth="1" style="372" min="13331" max="13331"/>
    <col width="3.625" customWidth="1" style="372" min="13332" max="13332"/>
    <col width="4.625" customWidth="1" style="372" min="13333" max="13333"/>
    <col width="5" customWidth="1" style="372" min="13334" max="13334"/>
    <col width="5.5" customWidth="1" style="372" min="13335" max="13335"/>
    <col width="3.875" customWidth="1" style="372" min="13336" max="13336"/>
    <col width="5.25" customWidth="1" style="372" min="13337" max="13337"/>
    <col width="4.5" customWidth="1" style="372" min="13338" max="13338"/>
    <col width="4.125" customWidth="1" style="372" min="13339" max="13339"/>
    <col width="3.625" customWidth="1" style="372" min="13340" max="13340"/>
    <col width="4.375" customWidth="1" style="372" min="13341" max="13341"/>
    <col width="8.75" customWidth="1" style="372" min="13342" max="13568"/>
    <col width="3.625" customWidth="1" style="372" min="13569" max="13569"/>
    <col width="5" customWidth="1" style="372" min="13570" max="13570"/>
    <col width="3.75" customWidth="1" style="372" min="13571" max="13571"/>
    <col width="4.5" customWidth="1" style="372" min="13572" max="13572"/>
    <col width="5" customWidth="1" style="372" min="13573" max="13573"/>
    <col width="4.375" customWidth="1" style="372" min="13574" max="13574"/>
    <col width="5.75" customWidth="1" style="372" min="13575" max="13575"/>
    <col width="5.5" customWidth="1" style="372" min="13576" max="13576"/>
    <col width="5" customWidth="1" style="372" min="13577" max="13577"/>
    <col width="4.125" customWidth="1" style="372" min="13578" max="13578"/>
    <col width="5.5" customWidth="1" style="372" min="13579" max="13579"/>
    <col width="4.375" customWidth="1" style="372" min="13580" max="13580"/>
    <col width="6.25" customWidth="1" style="372" min="13581" max="13581"/>
    <col width="4.5" customWidth="1" style="372" min="13582" max="13582"/>
    <col width="5.5" customWidth="1" style="372" min="13583" max="13583"/>
    <col width="4.5" customWidth="1" style="372" min="13584" max="13584"/>
    <col width="8.75" customWidth="1" style="372" min="13585" max="13585"/>
    <col width="4.5" customWidth="1" style="372" min="13586" max="13586"/>
    <col width="3.75" customWidth="1" style="372" min="13587" max="13587"/>
    <col width="3.625" customWidth="1" style="372" min="13588" max="13588"/>
    <col width="4.625" customWidth="1" style="372" min="13589" max="13589"/>
    <col width="5" customWidth="1" style="372" min="13590" max="13590"/>
    <col width="5.5" customWidth="1" style="372" min="13591" max="13591"/>
    <col width="3.875" customWidth="1" style="372" min="13592" max="13592"/>
    <col width="5.25" customWidth="1" style="372" min="13593" max="13593"/>
    <col width="4.5" customWidth="1" style="372" min="13594" max="13594"/>
    <col width="4.125" customWidth="1" style="372" min="13595" max="13595"/>
    <col width="3.625" customWidth="1" style="372" min="13596" max="13596"/>
    <col width="4.375" customWidth="1" style="372" min="13597" max="13597"/>
    <col width="8.75" customWidth="1" style="372" min="13598" max="13824"/>
    <col width="3.625" customWidth="1" style="372" min="13825" max="13825"/>
    <col width="5" customWidth="1" style="372" min="13826" max="13826"/>
    <col width="3.75" customWidth="1" style="372" min="13827" max="13827"/>
    <col width="4.5" customWidth="1" style="372" min="13828" max="13828"/>
    <col width="5" customWidth="1" style="372" min="13829" max="13829"/>
    <col width="4.375" customWidth="1" style="372" min="13830" max="13830"/>
    <col width="5.75" customWidth="1" style="372" min="13831" max="13831"/>
    <col width="5.5" customWidth="1" style="372" min="13832" max="13832"/>
    <col width="5" customWidth="1" style="372" min="13833" max="13833"/>
    <col width="4.125" customWidth="1" style="372" min="13834" max="13834"/>
    <col width="5.5" customWidth="1" style="372" min="13835" max="13835"/>
    <col width="4.375" customWidth="1" style="372" min="13836" max="13836"/>
    <col width="6.25" customWidth="1" style="372" min="13837" max="13837"/>
    <col width="4.5" customWidth="1" style="372" min="13838" max="13838"/>
    <col width="5.5" customWidth="1" style="372" min="13839" max="13839"/>
    <col width="4.5" customWidth="1" style="372" min="13840" max="13840"/>
    <col width="8.75" customWidth="1" style="372" min="13841" max="13841"/>
    <col width="4.5" customWidth="1" style="372" min="13842" max="13842"/>
    <col width="3.75" customWidth="1" style="372" min="13843" max="13843"/>
    <col width="3.625" customWidth="1" style="372" min="13844" max="13844"/>
    <col width="4.625" customWidth="1" style="372" min="13845" max="13845"/>
    <col width="5" customWidth="1" style="372" min="13846" max="13846"/>
    <col width="5.5" customWidth="1" style="372" min="13847" max="13847"/>
    <col width="3.875" customWidth="1" style="372" min="13848" max="13848"/>
    <col width="5.25" customWidth="1" style="372" min="13849" max="13849"/>
    <col width="4.5" customWidth="1" style="372" min="13850" max="13850"/>
    <col width="4.125" customWidth="1" style="372" min="13851" max="13851"/>
    <col width="3.625" customWidth="1" style="372" min="13852" max="13852"/>
    <col width="4.375" customWidth="1" style="372" min="13853" max="13853"/>
    <col width="8.75" customWidth="1" style="372" min="13854" max="14080"/>
    <col width="3.625" customWidth="1" style="372" min="14081" max="14081"/>
    <col width="5" customWidth="1" style="372" min="14082" max="14082"/>
    <col width="3.75" customWidth="1" style="372" min="14083" max="14083"/>
    <col width="4.5" customWidth="1" style="372" min="14084" max="14084"/>
    <col width="5" customWidth="1" style="372" min="14085" max="14085"/>
    <col width="4.375" customWidth="1" style="372" min="14086" max="14086"/>
    <col width="5.75" customWidth="1" style="372" min="14087" max="14087"/>
    <col width="5.5" customWidth="1" style="372" min="14088" max="14088"/>
    <col width="5" customWidth="1" style="372" min="14089" max="14089"/>
    <col width="4.125" customWidth="1" style="372" min="14090" max="14090"/>
    <col width="5.5" customWidth="1" style="372" min="14091" max="14091"/>
    <col width="4.375" customWidth="1" style="372" min="14092" max="14092"/>
    <col width="6.25" customWidth="1" style="372" min="14093" max="14093"/>
    <col width="4.5" customWidth="1" style="372" min="14094" max="14094"/>
    <col width="5.5" customWidth="1" style="372" min="14095" max="14095"/>
    <col width="4.5" customWidth="1" style="372" min="14096" max="14096"/>
    <col width="8.75" customWidth="1" style="372" min="14097" max="14097"/>
    <col width="4.5" customWidth="1" style="372" min="14098" max="14098"/>
    <col width="3.75" customWidth="1" style="372" min="14099" max="14099"/>
    <col width="3.625" customWidth="1" style="372" min="14100" max="14100"/>
    <col width="4.625" customWidth="1" style="372" min="14101" max="14101"/>
    <col width="5" customWidth="1" style="372" min="14102" max="14102"/>
    <col width="5.5" customWidth="1" style="372" min="14103" max="14103"/>
    <col width="3.875" customWidth="1" style="372" min="14104" max="14104"/>
    <col width="5.25" customWidth="1" style="372" min="14105" max="14105"/>
    <col width="4.5" customWidth="1" style="372" min="14106" max="14106"/>
    <col width="4.125" customWidth="1" style="372" min="14107" max="14107"/>
    <col width="3.625" customWidth="1" style="372" min="14108" max="14108"/>
    <col width="4.375" customWidth="1" style="372" min="14109" max="14109"/>
    <col width="8.75" customWidth="1" style="372" min="14110" max="14336"/>
    <col width="3.625" customWidth="1" style="372" min="14337" max="14337"/>
    <col width="5" customWidth="1" style="372" min="14338" max="14338"/>
    <col width="3.75" customWidth="1" style="372" min="14339" max="14339"/>
    <col width="4.5" customWidth="1" style="372" min="14340" max="14340"/>
    <col width="5" customWidth="1" style="372" min="14341" max="14341"/>
    <col width="4.375" customWidth="1" style="372" min="14342" max="14342"/>
    <col width="5.75" customWidth="1" style="372" min="14343" max="14343"/>
    <col width="5.5" customWidth="1" style="372" min="14344" max="14344"/>
    <col width="5" customWidth="1" style="372" min="14345" max="14345"/>
    <col width="4.125" customWidth="1" style="372" min="14346" max="14346"/>
    <col width="5.5" customWidth="1" style="372" min="14347" max="14347"/>
    <col width="4.375" customWidth="1" style="372" min="14348" max="14348"/>
    <col width="6.25" customWidth="1" style="372" min="14349" max="14349"/>
    <col width="4.5" customWidth="1" style="372" min="14350" max="14350"/>
    <col width="5.5" customWidth="1" style="372" min="14351" max="14351"/>
    <col width="4.5" customWidth="1" style="372" min="14352" max="14352"/>
    <col width="8.75" customWidth="1" style="372" min="14353" max="14353"/>
    <col width="4.5" customWidth="1" style="372" min="14354" max="14354"/>
    <col width="3.75" customWidth="1" style="372" min="14355" max="14355"/>
    <col width="3.625" customWidth="1" style="372" min="14356" max="14356"/>
    <col width="4.625" customWidth="1" style="372" min="14357" max="14357"/>
    <col width="5" customWidth="1" style="372" min="14358" max="14358"/>
    <col width="5.5" customWidth="1" style="372" min="14359" max="14359"/>
    <col width="3.875" customWidth="1" style="372" min="14360" max="14360"/>
    <col width="5.25" customWidth="1" style="372" min="14361" max="14361"/>
    <col width="4.5" customWidth="1" style="372" min="14362" max="14362"/>
    <col width="4.125" customWidth="1" style="372" min="14363" max="14363"/>
    <col width="3.625" customWidth="1" style="372" min="14364" max="14364"/>
    <col width="4.375" customWidth="1" style="372" min="14365" max="14365"/>
    <col width="8.75" customWidth="1" style="372" min="14366" max="14592"/>
    <col width="3.625" customWidth="1" style="372" min="14593" max="14593"/>
    <col width="5" customWidth="1" style="372" min="14594" max="14594"/>
    <col width="3.75" customWidth="1" style="372" min="14595" max="14595"/>
    <col width="4.5" customWidth="1" style="372" min="14596" max="14596"/>
    <col width="5" customWidth="1" style="372" min="14597" max="14597"/>
    <col width="4.375" customWidth="1" style="372" min="14598" max="14598"/>
    <col width="5.75" customWidth="1" style="372" min="14599" max="14599"/>
    <col width="5.5" customWidth="1" style="372" min="14600" max="14600"/>
    <col width="5" customWidth="1" style="372" min="14601" max="14601"/>
    <col width="4.125" customWidth="1" style="372" min="14602" max="14602"/>
    <col width="5.5" customWidth="1" style="372" min="14603" max="14603"/>
    <col width="4.375" customWidth="1" style="372" min="14604" max="14604"/>
    <col width="6.25" customWidth="1" style="372" min="14605" max="14605"/>
    <col width="4.5" customWidth="1" style="372" min="14606" max="14606"/>
    <col width="5.5" customWidth="1" style="372" min="14607" max="14607"/>
    <col width="4.5" customWidth="1" style="372" min="14608" max="14608"/>
    <col width="8.75" customWidth="1" style="372" min="14609" max="14609"/>
    <col width="4.5" customWidth="1" style="372" min="14610" max="14610"/>
    <col width="3.75" customWidth="1" style="372" min="14611" max="14611"/>
    <col width="3.625" customWidth="1" style="372" min="14612" max="14612"/>
    <col width="4.625" customWidth="1" style="372" min="14613" max="14613"/>
    <col width="5" customWidth="1" style="372" min="14614" max="14614"/>
    <col width="5.5" customWidth="1" style="372" min="14615" max="14615"/>
    <col width="3.875" customWidth="1" style="372" min="14616" max="14616"/>
    <col width="5.25" customWidth="1" style="372" min="14617" max="14617"/>
    <col width="4.5" customWidth="1" style="372" min="14618" max="14618"/>
    <col width="4.125" customWidth="1" style="372" min="14619" max="14619"/>
    <col width="3.625" customWidth="1" style="372" min="14620" max="14620"/>
    <col width="4.375" customWidth="1" style="372" min="14621" max="14621"/>
    <col width="8.75" customWidth="1" style="372" min="14622" max="14848"/>
    <col width="3.625" customWidth="1" style="372" min="14849" max="14849"/>
    <col width="5" customWidth="1" style="372" min="14850" max="14850"/>
    <col width="3.75" customWidth="1" style="372" min="14851" max="14851"/>
    <col width="4.5" customWidth="1" style="372" min="14852" max="14852"/>
    <col width="5" customWidth="1" style="372" min="14853" max="14853"/>
    <col width="4.375" customWidth="1" style="372" min="14854" max="14854"/>
    <col width="5.75" customWidth="1" style="372" min="14855" max="14855"/>
    <col width="5.5" customWidth="1" style="372" min="14856" max="14856"/>
    <col width="5" customWidth="1" style="372" min="14857" max="14857"/>
    <col width="4.125" customWidth="1" style="372" min="14858" max="14858"/>
    <col width="5.5" customWidth="1" style="372" min="14859" max="14859"/>
    <col width="4.375" customWidth="1" style="372" min="14860" max="14860"/>
    <col width="6.25" customWidth="1" style="372" min="14861" max="14861"/>
    <col width="4.5" customWidth="1" style="372" min="14862" max="14862"/>
    <col width="5.5" customWidth="1" style="372" min="14863" max="14863"/>
    <col width="4.5" customWidth="1" style="372" min="14864" max="14864"/>
    <col width="8.75" customWidth="1" style="372" min="14865" max="14865"/>
    <col width="4.5" customWidth="1" style="372" min="14866" max="14866"/>
    <col width="3.75" customWidth="1" style="372" min="14867" max="14867"/>
    <col width="3.625" customWidth="1" style="372" min="14868" max="14868"/>
    <col width="4.625" customWidth="1" style="372" min="14869" max="14869"/>
    <col width="5" customWidth="1" style="372" min="14870" max="14870"/>
    <col width="5.5" customWidth="1" style="372" min="14871" max="14871"/>
    <col width="3.875" customWidth="1" style="372" min="14872" max="14872"/>
    <col width="5.25" customWidth="1" style="372" min="14873" max="14873"/>
    <col width="4.5" customWidth="1" style="372" min="14874" max="14874"/>
    <col width="4.125" customWidth="1" style="372" min="14875" max="14875"/>
    <col width="3.625" customWidth="1" style="372" min="14876" max="14876"/>
    <col width="4.375" customWidth="1" style="372" min="14877" max="14877"/>
    <col width="8.75" customWidth="1" style="372" min="14878" max="15104"/>
    <col width="3.625" customWidth="1" style="372" min="15105" max="15105"/>
    <col width="5" customWidth="1" style="372" min="15106" max="15106"/>
    <col width="3.75" customWidth="1" style="372" min="15107" max="15107"/>
    <col width="4.5" customWidth="1" style="372" min="15108" max="15108"/>
    <col width="5" customWidth="1" style="372" min="15109" max="15109"/>
    <col width="4.375" customWidth="1" style="372" min="15110" max="15110"/>
    <col width="5.75" customWidth="1" style="372" min="15111" max="15111"/>
    <col width="5.5" customWidth="1" style="372" min="15112" max="15112"/>
    <col width="5" customWidth="1" style="372" min="15113" max="15113"/>
    <col width="4.125" customWidth="1" style="372" min="15114" max="15114"/>
    <col width="5.5" customWidth="1" style="372" min="15115" max="15115"/>
    <col width="4.375" customWidth="1" style="372" min="15116" max="15116"/>
    <col width="6.25" customWidth="1" style="372" min="15117" max="15117"/>
    <col width="4.5" customWidth="1" style="372" min="15118" max="15118"/>
    <col width="5.5" customWidth="1" style="372" min="15119" max="15119"/>
    <col width="4.5" customWidth="1" style="372" min="15120" max="15120"/>
    <col width="8.75" customWidth="1" style="372" min="15121" max="15121"/>
    <col width="4.5" customWidth="1" style="372" min="15122" max="15122"/>
    <col width="3.75" customWidth="1" style="372" min="15123" max="15123"/>
    <col width="3.625" customWidth="1" style="372" min="15124" max="15124"/>
    <col width="4.625" customWidth="1" style="372" min="15125" max="15125"/>
    <col width="5" customWidth="1" style="372" min="15126" max="15126"/>
    <col width="5.5" customWidth="1" style="372" min="15127" max="15127"/>
    <col width="3.875" customWidth="1" style="372" min="15128" max="15128"/>
    <col width="5.25" customWidth="1" style="372" min="15129" max="15129"/>
    <col width="4.5" customWidth="1" style="372" min="15130" max="15130"/>
    <col width="4.125" customWidth="1" style="372" min="15131" max="15131"/>
    <col width="3.625" customWidth="1" style="372" min="15132" max="15132"/>
    <col width="4.375" customWidth="1" style="372" min="15133" max="15133"/>
    <col width="8.75" customWidth="1" style="372" min="15134" max="15360"/>
    <col width="3.625" customWidth="1" style="372" min="15361" max="15361"/>
    <col width="5" customWidth="1" style="372" min="15362" max="15362"/>
    <col width="3.75" customWidth="1" style="372" min="15363" max="15363"/>
    <col width="4.5" customWidth="1" style="372" min="15364" max="15364"/>
    <col width="5" customWidth="1" style="372" min="15365" max="15365"/>
    <col width="4.375" customWidth="1" style="372" min="15366" max="15366"/>
    <col width="5.75" customWidth="1" style="372" min="15367" max="15367"/>
    <col width="5.5" customWidth="1" style="372" min="15368" max="15368"/>
    <col width="5" customWidth="1" style="372" min="15369" max="15369"/>
    <col width="4.125" customWidth="1" style="372" min="15370" max="15370"/>
    <col width="5.5" customWidth="1" style="372" min="15371" max="15371"/>
    <col width="4.375" customWidth="1" style="372" min="15372" max="15372"/>
    <col width="6.25" customWidth="1" style="372" min="15373" max="15373"/>
    <col width="4.5" customWidth="1" style="372" min="15374" max="15374"/>
    <col width="5.5" customWidth="1" style="372" min="15375" max="15375"/>
    <col width="4.5" customWidth="1" style="372" min="15376" max="15376"/>
    <col width="8.75" customWidth="1" style="372" min="15377" max="15377"/>
    <col width="4.5" customWidth="1" style="372" min="15378" max="15378"/>
    <col width="3.75" customWidth="1" style="372" min="15379" max="15379"/>
    <col width="3.625" customWidth="1" style="372" min="15380" max="15380"/>
    <col width="4.625" customWidth="1" style="372" min="15381" max="15381"/>
    <col width="5" customWidth="1" style="372" min="15382" max="15382"/>
    <col width="5.5" customWidth="1" style="372" min="15383" max="15383"/>
    <col width="3.875" customWidth="1" style="372" min="15384" max="15384"/>
    <col width="5.25" customWidth="1" style="372" min="15385" max="15385"/>
    <col width="4.5" customWidth="1" style="372" min="15386" max="15386"/>
    <col width="4.125" customWidth="1" style="372" min="15387" max="15387"/>
    <col width="3.625" customWidth="1" style="372" min="15388" max="15388"/>
    <col width="4.375" customWidth="1" style="372" min="15389" max="15389"/>
    <col width="8.75" customWidth="1" style="372" min="15390" max="15616"/>
    <col width="3.625" customWidth="1" style="372" min="15617" max="15617"/>
    <col width="5" customWidth="1" style="372" min="15618" max="15618"/>
    <col width="3.75" customWidth="1" style="372" min="15619" max="15619"/>
    <col width="4.5" customWidth="1" style="372" min="15620" max="15620"/>
    <col width="5" customWidth="1" style="372" min="15621" max="15621"/>
    <col width="4.375" customWidth="1" style="372" min="15622" max="15622"/>
    <col width="5.75" customWidth="1" style="372" min="15623" max="15623"/>
    <col width="5.5" customWidth="1" style="372" min="15624" max="15624"/>
    <col width="5" customWidth="1" style="372" min="15625" max="15625"/>
    <col width="4.125" customWidth="1" style="372" min="15626" max="15626"/>
    <col width="5.5" customWidth="1" style="372" min="15627" max="15627"/>
    <col width="4.375" customWidth="1" style="372" min="15628" max="15628"/>
    <col width="6.25" customWidth="1" style="372" min="15629" max="15629"/>
    <col width="4.5" customWidth="1" style="372" min="15630" max="15630"/>
    <col width="5.5" customWidth="1" style="372" min="15631" max="15631"/>
    <col width="4.5" customWidth="1" style="372" min="15632" max="15632"/>
    <col width="8.75" customWidth="1" style="372" min="15633" max="15633"/>
    <col width="4.5" customWidth="1" style="372" min="15634" max="15634"/>
    <col width="3.75" customWidth="1" style="372" min="15635" max="15635"/>
    <col width="3.625" customWidth="1" style="372" min="15636" max="15636"/>
    <col width="4.625" customWidth="1" style="372" min="15637" max="15637"/>
    <col width="5" customWidth="1" style="372" min="15638" max="15638"/>
    <col width="5.5" customWidth="1" style="372" min="15639" max="15639"/>
    <col width="3.875" customWidth="1" style="372" min="15640" max="15640"/>
    <col width="5.25" customWidth="1" style="372" min="15641" max="15641"/>
    <col width="4.5" customWidth="1" style="372" min="15642" max="15642"/>
    <col width="4.125" customWidth="1" style="372" min="15643" max="15643"/>
    <col width="3.625" customWidth="1" style="372" min="15644" max="15644"/>
    <col width="4.375" customWidth="1" style="372" min="15645" max="15645"/>
    <col width="8.75" customWidth="1" style="372" min="15646" max="15872"/>
    <col width="3.625" customWidth="1" style="372" min="15873" max="15873"/>
    <col width="5" customWidth="1" style="372" min="15874" max="15874"/>
    <col width="3.75" customWidth="1" style="372" min="15875" max="15875"/>
    <col width="4.5" customWidth="1" style="372" min="15876" max="15876"/>
    <col width="5" customWidth="1" style="372" min="15877" max="15877"/>
    <col width="4.375" customWidth="1" style="372" min="15878" max="15878"/>
    <col width="5.75" customWidth="1" style="372" min="15879" max="15879"/>
    <col width="5.5" customWidth="1" style="372" min="15880" max="15880"/>
    <col width="5" customWidth="1" style="372" min="15881" max="15881"/>
    <col width="4.125" customWidth="1" style="372" min="15882" max="15882"/>
    <col width="5.5" customWidth="1" style="372" min="15883" max="15883"/>
    <col width="4.375" customWidth="1" style="372" min="15884" max="15884"/>
    <col width="6.25" customWidth="1" style="372" min="15885" max="15885"/>
    <col width="4.5" customWidth="1" style="372" min="15886" max="15886"/>
    <col width="5.5" customWidth="1" style="372" min="15887" max="15887"/>
    <col width="4.5" customWidth="1" style="372" min="15888" max="15888"/>
    <col width="8.75" customWidth="1" style="372" min="15889" max="15889"/>
    <col width="4.5" customWidth="1" style="372" min="15890" max="15890"/>
    <col width="3.75" customWidth="1" style="372" min="15891" max="15891"/>
    <col width="3.625" customWidth="1" style="372" min="15892" max="15892"/>
    <col width="4.625" customWidth="1" style="372" min="15893" max="15893"/>
    <col width="5" customWidth="1" style="372" min="15894" max="15894"/>
    <col width="5.5" customWidth="1" style="372" min="15895" max="15895"/>
    <col width="3.875" customWidth="1" style="372" min="15896" max="15896"/>
    <col width="5.25" customWidth="1" style="372" min="15897" max="15897"/>
    <col width="4.5" customWidth="1" style="372" min="15898" max="15898"/>
    <col width="4.125" customWidth="1" style="372" min="15899" max="15899"/>
    <col width="3.625" customWidth="1" style="372" min="15900" max="15900"/>
    <col width="4.375" customWidth="1" style="372" min="15901" max="15901"/>
    <col width="8.75" customWidth="1" style="372" min="15902" max="16128"/>
    <col width="3.625" customWidth="1" style="372" min="16129" max="16129"/>
    <col width="5" customWidth="1" style="372" min="16130" max="16130"/>
    <col width="3.75" customWidth="1" style="372" min="16131" max="16131"/>
    <col width="4.5" customWidth="1" style="372" min="16132" max="16132"/>
    <col width="5" customWidth="1" style="372" min="16133" max="16133"/>
    <col width="4.375" customWidth="1" style="372" min="16134" max="16134"/>
    <col width="5.75" customWidth="1" style="372" min="16135" max="16135"/>
    <col width="5.5" customWidth="1" style="372" min="16136" max="16136"/>
    <col width="5" customWidth="1" style="372" min="16137" max="16137"/>
    <col width="4.125" customWidth="1" style="372" min="16138" max="16138"/>
    <col width="5.5" customWidth="1" style="372" min="16139" max="16139"/>
    <col width="4.375" customWidth="1" style="372" min="16140" max="16140"/>
    <col width="6.25" customWidth="1" style="372" min="16141" max="16141"/>
    <col width="4.5" customWidth="1" style="372" min="16142" max="16142"/>
    <col width="5.5" customWidth="1" style="372" min="16143" max="16143"/>
    <col width="4.5" customWidth="1" style="372" min="16144" max="16144"/>
    <col width="8.75" customWidth="1" style="372" min="16145" max="16145"/>
    <col width="4.5" customWidth="1" style="372" min="16146" max="16146"/>
    <col width="3.75" customWidth="1" style="372" min="16147" max="16147"/>
    <col width="3.625" customWidth="1" style="372" min="16148" max="16148"/>
    <col width="4.625" customWidth="1" style="372" min="16149" max="16149"/>
    <col width="5" customWidth="1" style="372" min="16150" max="16150"/>
    <col width="5.5" customWidth="1" style="372" min="16151" max="16151"/>
    <col width="3.875" customWidth="1" style="372" min="16152" max="16152"/>
    <col width="5.25" customWidth="1" style="372" min="16153" max="16153"/>
    <col width="4.5" customWidth="1" style="372" min="16154" max="16154"/>
    <col width="4.125" customWidth="1" style="372" min="16155" max="16155"/>
    <col width="3.625" customWidth="1" style="372" min="16156" max="16156"/>
    <col width="4.375" customWidth="1" style="372" min="16157" max="16157"/>
    <col width="8.75" customWidth="1" style="372" min="16158" max="16384"/>
  </cols>
  <sheetData>
    <row r="1" ht="53.45" customHeight="1" s="361" thickBot="1">
      <c r="A1" s="488" t="inlineStr">
        <is>
          <t>COT 1 -9 ARASINDA İSTEMEDİĞİNİZ SATIRLARI SİLİNİZ! FORMÜLLER KENDİNİ GÜNCELLER.</t>
        </is>
      </c>
    </row>
    <row r="2" ht="14.1" customHeight="1" s="361">
      <c r="A2" s="440" t="n"/>
      <c r="B2" s="381" t="n"/>
      <c r="C2" s="381" t="n"/>
      <c r="D2" s="381" t="n"/>
      <c r="E2" s="381" t="n"/>
      <c r="F2" s="381" t="n"/>
      <c r="G2" s="449" t="inlineStr">
        <is>
          <t>INTEGRATED MANAGEMENT SYSTEM MANUAL</t>
        </is>
      </c>
      <c r="H2" s="381" t="n"/>
      <c r="I2" s="381" t="n"/>
      <c r="J2" s="381" t="n"/>
      <c r="K2" s="381" t="n"/>
      <c r="L2" s="381" t="n"/>
      <c r="M2" s="381" t="n"/>
      <c r="N2" s="381" t="n"/>
      <c r="O2" s="381" t="n"/>
      <c r="P2" s="381" t="n"/>
      <c r="Q2" s="381" t="n"/>
      <c r="R2" s="381" t="n"/>
      <c r="S2" s="381" t="n"/>
      <c r="T2" s="381" t="n"/>
      <c r="U2" s="381" t="n"/>
      <c r="V2" s="381" t="n"/>
      <c r="W2" s="381" t="n"/>
      <c r="X2" s="383" t="n"/>
      <c r="Y2" s="380" t="inlineStr">
        <is>
          <t>Issue No</t>
        </is>
      </c>
      <c r="Z2" s="381" t="n"/>
      <c r="AA2" s="381" t="n"/>
      <c r="AB2" s="446" t="inlineStr">
        <is>
          <t>02</t>
        </is>
      </c>
      <c r="AC2" s="447" t="n"/>
      <c r="AD2" s="448" t="n"/>
    </row>
    <row r="3" ht="14.1" customHeight="1" s="361">
      <c r="A3" s="441" t="n"/>
      <c r="G3" s="475" t="inlineStr">
        <is>
          <t>Chapter 7.5</t>
        </is>
      </c>
      <c r="X3" s="373" t="n"/>
      <c r="Y3" s="404" t="inlineStr">
        <is>
          <t>Issue Date</t>
        </is>
      </c>
      <c r="AB3" s="457" t="inlineStr">
        <is>
          <t>01/11/2024</t>
        </is>
      </c>
      <c r="AC3" s="458" t="n"/>
      <c r="AD3" s="459" t="n"/>
    </row>
    <row r="4" ht="14.1" customHeight="1" s="361">
      <c r="A4" s="441" t="n"/>
      <c r="G4" s="438" t="inlineStr">
        <is>
          <t>CBO 07</t>
        </is>
      </c>
      <c r="J4" s="436" t="inlineStr">
        <is>
          <t>ULLAGE REPORT &amp; TEMPERATURE LOG</t>
        </is>
      </c>
      <c r="X4" s="373" t="n"/>
      <c r="Y4" s="404" t="inlineStr">
        <is>
          <t>Rev. No</t>
        </is>
      </c>
      <c r="AB4" s="490" t="inlineStr">
        <is>
          <t>0</t>
        </is>
      </c>
      <c r="AC4" s="458" t="n"/>
      <c r="AD4" s="459" t="n"/>
    </row>
    <row r="5" ht="14.1" customHeight="1" s="361" thickBot="1">
      <c r="A5" s="442" t="n"/>
      <c r="B5" s="398" t="n"/>
      <c r="C5" s="398" t="n"/>
      <c r="D5" s="398" t="n"/>
      <c r="E5" s="398" t="n"/>
      <c r="F5" s="398" t="n"/>
      <c r="G5" s="439" t="n"/>
      <c r="H5" s="398" t="n"/>
      <c r="I5" s="398" t="n"/>
      <c r="J5" s="398" t="n"/>
      <c r="K5" s="398" t="n"/>
      <c r="L5" s="398" t="n"/>
      <c r="M5" s="398" t="n"/>
      <c r="N5" s="398" t="n"/>
      <c r="O5" s="398" t="n"/>
      <c r="P5" s="398" t="n"/>
      <c r="Q5" s="398" t="n"/>
      <c r="R5" s="398" t="n"/>
      <c r="S5" s="398" t="n"/>
      <c r="T5" s="398" t="n"/>
      <c r="U5" s="398" t="n"/>
      <c r="V5" s="398" t="n"/>
      <c r="W5" s="398" t="n"/>
      <c r="X5" s="370" t="n"/>
      <c r="Y5" s="456" t="inlineStr">
        <is>
          <t>Page</t>
        </is>
      </c>
      <c r="Z5" s="394" t="n"/>
      <c r="AA5" s="394" t="n"/>
      <c r="AB5" s="462" t="inlineStr">
        <is>
          <t>1</t>
        </is>
      </c>
      <c r="AC5" s="390" t="n"/>
      <c r="AD5" s="391" t="n"/>
    </row>
    <row r="6" ht="8.25" customHeight="1" s="361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361" thickBot="1">
      <c r="A7" s="473" t="inlineStr">
        <is>
          <t>ULLAGE REPORT - AFTER LOADING</t>
        </is>
      </c>
      <c r="B7" s="422" t="n"/>
      <c r="C7" s="422" t="n"/>
      <c r="D7" s="422" t="n"/>
      <c r="E7" s="422" t="n"/>
      <c r="F7" s="422" t="n"/>
      <c r="G7" s="422" t="n"/>
      <c r="H7" s="422" t="n"/>
      <c r="I7" s="422" t="n"/>
      <c r="J7" s="422" t="n"/>
      <c r="K7" s="422" t="n"/>
      <c r="L7" s="422" t="n"/>
      <c r="M7" s="422" t="n"/>
      <c r="N7" s="422" t="n"/>
      <c r="O7" s="422" t="n"/>
      <c r="P7" s="422" t="n"/>
      <c r="Q7" s="422" t="n"/>
      <c r="R7" s="422" t="n"/>
      <c r="S7" s="422" t="n"/>
      <c r="T7" s="422" t="n"/>
      <c r="U7" s="422" t="n"/>
      <c r="V7" s="422" t="n"/>
      <c r="W7" s="422" t="n"/>
      <c r="X7" s="422" t="n"/>
      <c r="Y7" s="422" t="n"/>
      <c r="Z7" s="422" t="n"/>
      <c r="AA7" s="422" t="n"/>
      <c r="AB7" s="422" t="n"/>
      <c r="AC7" s="422" t="n"/>
      <c r="AD7" s="423" t="n"/>
    </row>
    <row r="8" ht="13.15" customFormat="1" customHeight="1" s="30">
      <c r="A8" s="460" t="inlineStr">
        <is>
          <t>Vessel</t>
        </is>
      </c>
      <c r="B8" s="419" t="n"/>
      <c r="C8" s="399" t="inlineStr">
        <is>
          <t>M/T KUZEY EKİM</t>
        </is>
      </c>
      <c r="D8" s="400" t="n"/>
      <c r="E8" s="400" t="n"/>
      <c r="F8" s="401" t="n"/>
      <c r="G8" s="418" t="inlineStr">
        <is>
          <t>Voyage</t>
        </is>
      </c>
      <c r="H8" s="419" t="n"/>
      <c r="I8" s="468">
        <f>DATA_VOYAGE!B3</f>
        <v/>
      </c>
      <c r="J8" s="400" t="n"/>
      <c r="K8" s="400" t="n"/>
      <c r="L8" s="400" t="n"/>
      <c r="M8" s="400" t="n"/>
      <c r="N8" s="400" t="n"/>
      <c r="O8" s="400" t="n"/>
      <c r="P8" s="400" t="n"/>
      <c r="Q8" s="400" t="n"/>
      <c r="R8" s="400" t="n"/>
      <c r="S8" s="400" t="n"/>
      <c r="T8" s="400" t="n"/>
      <c r="U8" s="400" t="n"/>
      <c r="V8" s="400" t="n"/>
      <c r="W8" s="400" t="n"/>
      <c r="X8" s="401" t="n"/>
      <c r="Y8" s="469" t="inlineStr">
        <is>
          <t>Date</t>
        </is>
      </c>
      <c r="Z8" s="419" t="n"/>
      <c r="AA8" s="481">
        <f>TODAY()</f>
        <v/>
      </c>
      <c r="AB8" s="400" t="n"/>
      <c r="AC8" s="400" t="n"/>
      <c r="AD8" s="401" t="n"/>
    </row>
    <row r="9" customFormat="1" s="31">
      <c r="A9" s="482" t="inlineStr">
        <is>
          <t>From</t>
        </is>
      </c>
      <c r="B9" s="422" t="n"/>
      <c r="C9" s="422" t="n"/>
      <c r="D9" s="422" t="n"/>
      <c r="E9" s="422" t="n"/>
      <c r="F9" s="454" t="inlineStr">
        <is>
          <t>Port</t>
        </is>
      </c>
      <c r="G9" s="422" t="n"/>
      <c r="H9" s="422" t="n"/>
      <c r="I9" s="422" t="n"/>
      <c r="J9" s="423" t="n"/>
      <c r="K9" s="454" t="inlineStr">
        <is>
          <t>Receiver</t>
        </is>
      </c>
      <c r="L9" s="422" t="n"/>
      <c r="M9" s="422" t="n"/>
      <c r="N9" s="422" t="n"/>
      <c r="O9" s="423" t="n"/>
      <c r="P9" s="454" t="inlineStr">
        <is>
          <t>Cargo</t>
        </is>
      </c>
      <c r="Q9" s="422" t="n"/>
      <c r="R9" s="422" t="n"/>
      <c r="S9" s="422" t="n"/>
      <c r="T9" s="423" t="n"/>
      <c r="U9" s="454" t="inlineStr">
        <is>
          <t>Draft Fwd</t>
        </is>
      </c>
      <c r="V9" s="422" t="n"/>
      <c r="W9" s="422" t="n"/>
      <c r="X9" s="422" t="n"/>
      <c r="Y9" s="423" t="n"/>
      <c r="Z9" s="454" t="inlineStr">
        <is>
          <t>Draft Aft</t>
        </is>
      </c>
      <c r="AA9" s="422" t="n"/>
      <c r="AB9" s="422" t="n"/>
      <c r="AC9" s="422" t="n"/>
      <c r="AD9" s="423" t="n"/>
    </row>
    <row r="10" ht="14.65" customHeight="1" s="361" thickBot="1">
      <c r="A10" s="437">
        <f>DATA_VOYAGE!B1</f>
        <v/>
      </c>
      <c r="B10" s="390" t="n"/>
      <c r="C10" s="390" t="n"/>
      <c r="D10" s="390" t="n"/>
      <c r="E10" s="391" t="n"/>
      <c r="F10" s="483">
        <f>DATA_VOYAGE!B2</f>
        <v/>
      </c>
      <c r="G10" s="390" t="n"/>
      <c r="H10" s="390" t="n"/>
      <c r="I10" s="390" t="n"/>
      <c r="J10" s="391" t="n"/>
      <c r="K10" s="455" t="n"/>
      <c r="L10" s="390" t="n"/>
      <c r="M10" s="390" t="n"/>
      <c r="N10" s="390" t="n"/>
      <c r="O10" s="391" t="n"/>
      <c r="P10" s="483" t="n"/>
      <c r="Q10" s="390" t="n"/>
      <c r="R10" s="390" t="n"/>
      <c r="S10" s="390" t="n"/>
      <c r="T10" s="391" t="n"/>
      <c r="U10" s="443">
        <f>DATA_VOYAGE!B7</f>
        <v/>
      </c>
      <c r="V10" s="390" t="n"/>
      <c r="W10" s="390" t="n"/>
      <c r="X10" s="390" t="n"/>
      <c r="Y10" s="391" t="n"/>
      <c r="Z10" s="443">
        <f>DATA_VOYAGE!B6</f>
        <v/>
      </c>
      <c r="AA10" s="390" t="n"/>
      <c r="AB10" s="390" t="n"/>
      <c r="AC10" s="390" t="n"/>
      <c r="AD10" s="391" t="n"/>
    </row>
    <row r="11" ht="9" customHeight="1" s="361" thickBot="1">
      <c r="A11" s="408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361" thickBot="1">
      <c r="A12" s="484" t="inlineStr">
        <is>
          <t>Tanks</t>
        </is>
      </c>
      <c r="B12" s="383" t="n"/>
      <c r="C12" s="387" t="inlineStr">
        <is>
          <t>Ullage (mm)</t>
        </is>
      </c>
      <c r="D12" s="381" t="n"/>
      <c r="E12" s="381" t="n"/>
      <c r="F12" s="383" t="n"/>
      <c r="G12" s="387" t="inlineStr">
        <is>
          <t>TOV</t>
        </is>
      </c>
      <c r="H12" s="383" t="n"/>
      <c r="I12" s="387" t="inlineStr">
        <is>
          <t>Free water</t>
        </is>
      </c>
      <c r="J12" s="381" t="n"/>
      <c r="K12" s="381" t="n"/>
      <c r="L12" s="383" t="n"/>
      <c r="M12" s="387" t="inlineStr">
        <is>
          <t>GOV</t>
        </is>
      </c>
      <c r="N12" s="383" t="n"/>
      <c r="O12" s="387" t="inlineStr">
        <is>
          <t>Temperature</t>
        </is>
      </c>
      <c r="P12" s="383" t="n"/>
      <c r="Q12" s="382" t="inlineStr">
        <is>
          <t>VCF</t>
        </is>
      </c>
      <c r="R12" s="383" t="n"/>
      <c r="S12" s="387" t="inlineStr">
        <is>
          <t>GSV</t>
        </is>
      </c>
      <c r="T12" s="381" t="n"/>
      <c r="U12" s="381" t="n"/>
      <c r="V12" s="383" t="n"/>
      <c r="W12" s="387" t="inlineStr">
        <is>
          <t>Density</t>
        </is>
      </c>
      <c r="X12" s="381" t="n"/>
      <c r="Y12" s="381" t="n"/>
      <c r="Z12" s="383" t="n"/>
      <c r="AA12" s="382" t="inlineStr">
        <is>
          <t>Weight Vacuum</t>
        </is>
      </c>
      <c r="AB12" s="383" t="n"/>
      <c r="AC12" s="479" t="inlineStr">
        <is>
          <t>Weight Air</t>
        </is>
      </c>
      <c r="AD12" s="477" t="n"/>
    </row>
    <row r="13" ht="14.65" customHeight="1" s="361" thickBot="1">
      <c r="A13" s="485" t="n"/>
      <c r="B13" s="377" t="n"/>
      <c r="C13" s="376" t="inlineStr">
        <is>
          <t>Actual</t>
        </is>
      </c>
      <c r="D13" s="377" t="n"/>
      <c r="E13" s="376" t="inlineStr">
        <is>
          <t>Corrected</t>
        </is>
      </c>
      <c r="F13" s="377" t="n"/>
      <c r="G13" s="425" t="n"/>
      <c r="H13" s="377" t="n"/>
      <c r="I13" s="376" t="inlineStr">
        <is>
          <t>Actual</t>
        </is>
      </c>
      <c r="J13" s="377" t="n"/>
      <c r="K13" s="376" t="inlineStr">
        <is>
          <t>Corrected</t>
        </is>
      </c>
      <c r="L13" s="377" t="n"/>
      <c r="M13" s="376" t="n"/>
      <c r="N13" s="377" t="n"/>
      <c r="O13" s="376" t="n"/>
      <c r="P13" s="377" t="n"/>
      <c r="Q13" s="420" t="n"/>
      <c r="R13" s="377" t="n"/>
      <c r="S13" s="376" t="n"/>
      <c r="T13" s="394" t="n"/>
      <c r="U13" s="394" t="n"/>
      <c r="V13" s="377" t="n"/>
      <c r="W13" s="376" t="inlineStr">
        <is>
          <t>Vacuum</t>
        </is>
      </c>
      <c r="X13" s="394" t="n"/>
      <c r="Y13" s="394" t="n"/>
      <c r="Z13" s="377" t="n"/>
      <c r="AA13" s="420" t="n"/>
      <c r="AB13" s="377" t="n"/>
      <c r="AC13" s="394" t="n"/>
      <c r="AD13" s="480" t="n"/>
    </row>
    <row r="14">
      <c r="A14" s="428" t="inlineStr">
        <is>
          <t>COT 1P</t>
        </is>
      </c>
      <c r="B14" s="410" t="n"/>
      <c r="C14" s="444">
        <f>DATA!F2*10</f>
        <v/>
      </c>
      <c r="D14" s="410" t="n"/>
      <c r="E14" s="444">
        <f>DATA!J2*10</f>
        <v/>
      </c>
      <c r="F14" s="410" t="n"/>
      <c r="G14" s="409">
        <f>DATA!K2</f>
        <v/>
      </c>
      <c r="H14" s="410" t="n"/>
      <c r="I14" s="411" t="n">
        <v>0</v>
      </c>
      <c r="J14" s="410" t="n"/>
      <c r="K14" s="411" t="n">
        <v>0</v>
      </c>
      <c r="L14" s="410" t="n"/>
      <c r="M14" s="409">
        <f>DATA!M2</f>
        <v/>
      </c>
      <c r="N14" s="410" t="n"/>
      <c r="O14" s="411">
        <f>DATA!G2</f>
        <v/>
      </c>
      <c r="P14" s="410" t="n"/>
      <c r="Q14" s="445">
        <f>DATA!N2</f>
        <v/>
      </c>
      <c r="R14" s="410" t="n"/>
      <c r="S14" s="409">
        <f>DATA!O2</f>
        <v/>
      </c>
      <c r="T14" s="419" t="n"/>
      <c r="U14" s="419" t="n"/>
      <c r="V14" s="410" t="n"/>
      <c r="W14" s="445">
        <f>DATA!P2</f>
        <v/>
      </c>
      <c r="X14" s="419" t="n"/>
      <c r="Y14" s="419" t="n"/>
      <c r="Z14" s="410" t="n"/>
      <c r="AA14" s="409">
        <f>DATA!Q2</f>
        <v/>
      </c>
      <c r="AB14" s="410" t="n"/>
      <c r="AC14" s="385">
        <f>DATA!S2</f>
        <v/>
      </c>
      <c r="AD14" s="386" t="n"/>
    </row>
    <row r="15" ht="12.95" customFormat="1" customHeight="1" s="118">
      <c r="A15" s="374" t="inlineStr">
        <is>
          <t>COT 1S</t>
        </is>
      </c>
      <c r="B15" s="375" t="n"/>
      <c r="C15" s="392">
        <f>DATA!F3*10</f>
        <v/>
      </c>
      <c r="D15" s="370" t="n"/>
      <c r="E15" s="392">
        <f>DATA!J3*10</f>
        <v/>
      </c>
      <c r="F15" s="370" t="n"/>
      <c r="G15" s="369">
        <f>DATA!K3</f>
        <v/>
      </c>
      <c r="H15" s="370" t="n"/>
      <c r="I15" s="388" t="n">
        <v>0</v>
      </c>
      <c r="J15" s="375" t="n"/>
      <c r="K15" s="388" t="n">
        <v>0</v>
      </c>
      <c r="L15" s="375" t="n"/>
      <c r="M15" s="369">
        <f>DATA!M3</f>
        <v/>
      </c>
      <c r="N15" s="370" t="n"/>
      <c r="O15" s="388">
        <f>DATA!G3</f>
        <v/>
      </c>
      <c r="P15" s="375" t="n"/>
      <c r="Q15" s="397">
        <f>DATA!N3</f>
        <v/>
      </c>
      <c r="R15" s="370" t="n"/>
      <c r="S15" s="369">
        <f>DATA!O3</f>
        <v/>
      </c>
      <c r="T15" s="398" t="n"/>
      <c r="U15" s="398" t="n"/>
      <c r="V15" s="370" t="n"/>
      <c r="W15" s="397">
        <f>DATA!P3</f>
        <v/>
      </c>
      <c r="X15" s="398" t="n"/>
      <c r="Y15" s="398" t="n"/>
      <c r="Z15" s="370" t="n"/>
      <c r="AA15" s="414">
        <f>DATA!Q3</f>
        <v/>
      </c>
      <c r="AB15" s="375" t="n"/>
      <c r="AC15" s="395">
        <f>DATA!S3</f>
        <v/>
      </c>
      <c r="AD15" s="396" t="n"/>
      <c r="AE15" s="372" t="n"/>
    </row>
    <row r="16" ht="12.95" customFormat="1" customHeight="1" s="118">
      <c r="A16" s="374" t="inlineStr">
        <is>
          <t>COT 2P</t>
        </is>
      </c>
      <c r="B16" s="375" t="n"/>
      <c r="C16" s="392">
        <f>DATA!F4*10</f>
        <v/>
      </c>
      <c r="D16" s="370" t="n"/>
      <c r="E16" s="392">
        <f>DATA!J4*10</f>
        <v/>
      </c>
      <c r="F16" s="370" t="n"/>
      <c r="G16" s="369">
        <f>DATA!K4</f>
        <v/>
      </c>
      <c r="H16" s="370" t="n"/>
      <c r="I16" s="388" t="n">
        <v>0</v>
      </c>
      <c r="J16" s="375" t="n"/>
      <c r="K16" s="388" t="n">
        <v>0</v>
      </c>
      <c r="L16" s="375" t="n"/>
      <c r="M16" s="369">
        <f>DATA!M4</f>
        <v/>
      </c>
      <c r="N16" s="370" t="n"/>
      <c r="O16" s="388">
        <f>DATA!G4</f>
        <v/>
      </c>
      <c r="P16" s="375" t="n"/>
      <c r="Q16" s="397">
        <f>DATA!N4</f>
        <v/>
      </c>
      <c r="R16" s="370" t="n"/>
      <c r="S16" s="369">
        <f>DATA!O4</f>
        <v/>
      </c>
      <c r="T16" s="398" t="n"/>
      <c r="U16" s="398" t="n"/>
      <c r="V16" s="370" t="n"/>
      <c r="W16" s="397">
        <f>DATA!P4</f>
        <v/>
      </c>
      <c r="X16" s="398" t="n"/>
      <c r="Y16" s="398" t="n"/>
      <c r="Z16" s="370" t="n"/>
      <c r="AA16" s="414">
        <f>DATA!Q4</f>
        <v/>
      </c>
      <c r="AB16" s="375" t="n"/>
      <c r="AC16" s="395">
        <f>DATA!S4</f>
        <v/>
      </c>
      <c r="AD16" s="396" t="n"/>
      <c r="AE16" s="372" t="n"/>
    </row>
    <row r="17" ht="12.95" customFormat="1" customHeight="1" s="118">
      <c r="A17" s="374" t="inlineStr">
        <is>
          <t>COT 2S</t>
        </is>
      </c>
      <c r="B17" s="375" t="n"/>
      <c r="C17" s="392">
        <f>DATA!F5*10</f>
        <v/>
      </c>
      <c r="D17" s="370" t="n"/>
      <c r="E17" s="392">
        <f>DATA!J5*10</f>
        <v/>
      </c>
      <c r="F17" s="370" t="n"/>
      <c r="G17" s="369">
        <f>DATA!K5</f>
        <v/>
      </c>
      <c r="H17" s="370" t="n"/>
      <c r="I17" s="388" t="n">
        <v>0</v>
      </c>
      <c r="J17" s="375" t="n"/>
      <c r="K17" s="388" t="n">
        <v>0</v>
      </c>
      <c r="L17" s="375" t="n"/>
      <c r="M17" s="369">
        <f>DATA!M5</f>
        <v/>
      </c>
      <c r="N17" s="370" t="n"/>
      <c r="O17" s="388">
        <f>DATA!G5</f>
        <v/>
      </c>
      <c r="P17" s="375" t="n"/>
      <c r="Q17" s="397">
        <f>DATA!N5</f>
        <v/>
      </c>
      <c r="R17" s="370" t="n"/>
      <c r="S17" s="369">
        <f>DATA!O5</f>
        <v/>
      </c>
      <c r="T17" s="398" t="n"/>
      <c r="U17" s="398" t="n"/>
      <c r="V17" s="370" t="n"/>
      <c r="W17" s="397">
        <f>DATA!P5</f>
        <v/>
      </c>
      <c r="X17" s="398" t="n"/>
      <c r="Y17" s="398" t="n"/>
      <c r="Z17" s="370" t="n"/>
      <c r="AA17" s="414">
        <f>DATA!Q5</f>
        <v/>
      </c>
      <c r="AB17" s="375" t="n"/>
      <c r="AC17" s="395">
        <f>DATA!S5</f>
        <v/>
      </c>
      <c r="AD17" s="396" t="n"/>
      <c r="AE17" s="372" t="n"/>
    </row>
    <row r="18" ht="12.95" customFormat="1" customHeight="1" s="118">
      <c r="A18" s="374" t="inlineStr">
        <is>
          <t>COT 3P</t>
        </is>
      </c>
      <c r="B18" s="375" t="n"/>
      <c r="C18" s="392">
        <f>DATA!F6*10</f>
        <v/>
      </c>
      <c r="D18" s="370" t="n"/>
      <c r="E18" s="392">
        <f>DATA!J6*10</f>
        <v/>
      </c>
      <c r="F18" s="370" t="n"/>
      <c r="G18" s="369">
        <f>DATA!K6</f>
        <v/>
      </c>
      <c r="H18" s="370" t="n"/>
      <c r="I18" s="388" t="n">
        <v>0</v>
      </c>
      <c r="J18" s="375" t="n"/>
      <c r="K18" s="388" t="n">
        <v>0</v>
      </c>
      <c r="L18" s="375" t="n"/>
      <c r="M18" s="369">
        <f>DATA!M6</f>
        <v/>
      </c>
      <c r="N18" s="370" t="n"/>
      <c r="O18" s="388">
        <f>DATA!G6</f>
        <v/>
      </c>
      <c r="P18" s="375" t="n"/>
      <c r="Q18" s="397">
        <f>DATA!N6</f>
        <v/>
      </c>
      <c r="R18" s="370" t="n"/>
      <c r="S18" s="369">
        <f>DATA!O6</f>
        <v/>
      </c>
      <c r="T18" s="398" t="n"/>
      <c r="U18" s="398" t="n"/>
      <c r="V18" s="370" t="n"/>
      <c r="W18" s="397">
        <f>DATA!P6</f>
        <v/>
      </c>
      <c r="X18" s="398" t="n"/>
      <c r="Y18" s="398" t="n"/>
      <c r="Z18" s="370" t="n"/>
      <c r="AA18" s="414">
        <f>DATA!Q6</f>
        <v/>
      </c>
      <c r="AB18" s="375" t="n"/>
      <c r="AC18" s="395">
        <f>DATA!S6</f>
        <v/>
      </c>
      <c r="AD18" s="396" t="n"/>
      <c r="AE18" s="372" t="n"/>
    </row>
    <row r="19" ht="12.95" customFormat="1" customHeight="1" s="118">
      <c r="A19" s="374" t="inlineStr">
        <is>
          <t>COT 3S</t>
        </is>
      </c>
      <c r="B19" s="375" t="n"/>
      <c r="C19" s="392">
        <f>DATA!F7*10</f>
        <v/>
      </c>
      <c r="D19" s="370" t="n"/>
      <c r="E19" s="392">
        <f>DATA!J7*10</f>
        <v/>
      </c>
      <c r="F19" s="370" t="n"/>
      <c r="G19" s="369">
        <f>DATA!K7</f>
        <v/>
      </c>
      <c r="H19" s="370" t="n"/>
      <c r="I19" s="388" t="n">
        <v>0</v>
      </c>
      <c r="J19" s="375" t="n"/>
      <c r="K19" s="388" t="n">
        <v>0</v>
      </c>
      <c r="L19" s="375" t="n"/>
      <c r="M19" s="369">
        <f>DATA!M7</f>
        <v/>
      </c>
      <c r="N19" s="370" t="n"/>
      <c r="O19" s="388">
        <f>DATA!G7</f>
        <v/>
      </c>
      <c r="P19" s="375" t="n"/>
      <c r="Q19" s="397">
        <f>DATA!N7</f>
        <v/>
      </c>
      <c r="R19" s="370" t="n"/>
      <c r="S19" s="369">
        <f>DATA!O7</f>
        <v/>
      </c>
      <c r="T19" s="398" t="n"/>
      <c r="U19" s="398" t="n"/>
      <c r="V19" s="370" t="n"/>
      <c r="W19" s="397">
        <f>DATA!P7</f>
        <v/>
      </c>
      <c r="X19" s="398" t="n"/>
      <c r="Y19" s="398" t="n"/>
      <c r="Z19" s="370" t="n"/>
      <c r="AA19" s="414">
        <f>DATA!Q7</f>
        <v/>
      </c>
      <c r="AB19" s="375" t="n"/>
      <c r="AC19" s="395">
        <f>DATA!S7</f>
        <v/>
      </c>
      <c r="AD19" s="396" t="n"/>
      <c r="AE19" s="372" t="n"/>
    </row>
    <row r="20" ht="12.95" customFormat="1" customHeight="1" s="118">
      <c r="A20" s="374" t="inlineStr">
        <is>
          <t>COT 4P</t>
        </is>
      </c>
      <c r="B20" s="375" t="n"/>
      <c r="C20" s="392">
        <f>DATA!F8*10</f>
        <v/>
      </c>
      <c r="D20" s="370" t="n"/>
      <c r="E20" s="392">
        <f>DATA!J8*10</f>
        <v/>
      </c>
      <c r="F20" s="370" t="n"/>
      <c r="G20" s="369">
        <f>DATA!K8</f>
        <v/>
      </c>
      <c r="H20" s="370" t="n"/>
      <c r="I20" s="388" t="n">
        <v>0</v>
      </c>
      <c r="J20" s="375" t="n"/>
      <c r="K20" s="388" t="n">
        <v>0</v>
      </c>
      <c r="L20" s="375" t="n"/>
      <c r="M20" s="369">
        <f>DATA!M8</f>
        <v/>
      </c>
      <c r="N20" s="370" t="n"/>
      <c r="O20" s="388">
        <f>DATA!G8</f>
        <v/>
      </c>
      <c r="P20" s="375" t="n"/>
      <c r="Q20" s="397">
        <f>DATA!N8</f>
        <v/>
      </c>
      <c r="R20" s="370" t="n"/>
      <c r="S20" s="369">
        <f>DATA!O8</f>
        <v/>
      </c>
      <c r="T20" s="398" t="n"/>
      <c r="U20" s="398" t="n"/>
      <c r="V20" s="370" t="n"/>
      <c r="W20" s="397">
        <f>DATA!P8</f>
        <v/>
      </c>
      <c r="X20" s="398" t="n"/>
      <c r="Y20" s="398" t="n"/>
      <c r="Z20" s="370" t="n"/>
      <c r="AA20" s="414">
        <f>DATA!Q8</f>
        <v/>
      </c>
      <c r="AB20" s="375" t="n"/>
      <c r="AC20" s="395">
        <f>DATA!S8</f>
        <v/>
      </c>
      <c r="AD20" s="396" t="n"/>
      <c r="AE20" s="372" t="n"/>
    </row>
    <row r="21" ht="12.95" customFormat="1" customHeight="1" s="118">
      <c r="A21" s="374" t="inlineStr">
        <is>
          <t>COT 4S</t>
        </is>
      </c>
      <c r="B21" s="375" t="n"/>
      <c r="C21" s="392">
        <f>DATA!F9*10</f>
        <v/>
      </c>
      <c r="D21" s="370" t="n"/>
      <c r="E21" s="392">
        <f>DATA!J9*10</f>
        <v/>
      </c>
      <c r="F21" s="370" t="n"/>
      <c r="G21" s="369">
        <f>DATA!K9</f>
        <v/>
      </c>
      <c r="H21" s="370" t="n"/>
      <c r="I21" s="388" t="n">
        <v>0</v>
      </c>
      <c r="J21" s="375" t="n"/>
      <c r="K21" s="388" t="n">
        <v>0</v>
      </c>
      <c r="L21" s="375" t="n"/>
      <c r="M21" s="369">
        <f>DATA!M9</f>
        <v/>
      </c>
      <c r="N21" s="370" t="n"/>
      <c r="O21" s="388">
        <f>DATA!G9</f>
        <v/>
      </c>
      <c r="P21" s="375" t="n"/>
      <c r="Q21" s="397">
        <f>DATA!N9</f>
        <v/>
      </c>
      <c r="R21" s="370" t="n"/>
      <c r="S21" s="369">
        <f>DATA!O9</f>
        <v/>
      </c>
      <c r="T21" s="398" t="n"/>
      <c r="U21" s="398" t="n"/>
      <c r="V21" s="370" t="n"/>
      <c r="W21" s="397">
        <f>DATA!P9</f>
        <v/>
      </c>
      <c r="X21" s="398" t="n"/>
      <c r="Y21" s="398" t="n"/>
      <c r="Z21" s="370" t="n"/>
      <c r="AA21" s="414">
        <f>DATA!Q9</f>
        <v/>
      </c>
      <c r="AB21" s="375" t="n"/>
      <c r="AC21" s="395">
        <f>DATA!S9</f>
        <v/>
      </c>
      <c r="AD21" s="396" t="n"/>
      <c r="AE21" s="372" t="n"/>
    </row>
    <row r="22" ht="12.95" customFormat="1" customHeight="1" s="118">
      <c r="A22" s="374" t="inlineStr">
        <is>
          <t>COT 5P</t>
        </is>
      </c>
      <c r="B22" s="375" t="n"/>
      <c r="C22" s="392">
        <f>DATA!F10*10</f>
        <v/>
      </c>
      <c r="D22" s="370" t="n"/>
      <c r="E22" s="392">
        <f>DATA!J10*10</f>
        <v/>
      </c>
      <c r="F22" s="370" t="n"/>
      <c r="G22" s="369">
        <f>DATA!K10</f>
        <v/>
      </c>
      <c r="H22" s="370" t="n"/>
      <c r="I22" s="388" t="n">
        <v>0</v>
      </c>
      <c r="J22" s="375" t="n"/>
      <c r="K22" s="388" t="n">
        <v>0</v>
      </c>
      <c r="L22" s="375" t="n"/>
      <c r="M22" s="369">
        <f>DATA!M10</f>
        <v/>
      </c>
      <c r="N22" s="370" t="n"/>
      <c r="O22" s="388">
        <f>DATA!G10</f>
        <v/>
      </c>
      <c r="P22" s="375" t="n"/>
      <c r="Q22" s="397">
        <f>DATA!N10</f>
        <v/>
      </c>
      <c r="R22" s="370" t="n"/>
      <c r="S22" s="369">
        <f>DATA!O10</f>
        <v/>
      </c>
      <c r="T22" s="398" t="n"/>
      <c r="U22" s="398" t="n"/>
      <c r="V22" s="370" t="n"/>
      <c r="W22" s="397">
        <f>DATA!P10</f>
        <v/>
      </c>
      <c r="X22" s="398" t="n"/>
      <c r="Y22" s="398" t="n"/>
      <c r="Z22" s="370" t="n"/>
      <c r="AA22" s="414">
        <f>DATA!Q10</f>
        <v/>
      </c>
      <c r="AB22" s="375" t="n"/>
      <c r="AC22" s="395">
        <f>DATA!S10</f>
        <v/>
      </c>
      <c r="AD22" s="396" t="n"/>
      <c r="AE22" s="372" t="n"/>
    </row>
    <row r="23" ht="12.95" customFormat="1" customHeight="1" s="118">
      <c r="A23" s="374" t="inlineStr">
        <is>
          <t>COT 5S</t>
        </is>
      </c>
      <c r="B23" s="375" t="n"/>
      <c r="C23" s="392">
        <f>DATA!F11*10</f>
        <v/>
      </c>
      <c r="D23" s="370" t="n"/>
      <c r="E23" s="392">
        <f>DATA!J11*10</f>
        <v/>
      </c>
      <c r="F23" s="370" t="n"/>
      <c r="G23" s="369">
        <f>DATA!K11</f>
        <v/>
      </c>
      <c r="H23" s="370" t="n"/>
      <c r="I23" s="388" t="n">
        <v>0</v>
      </c>
      <c r="J23" s="375" t="n"/>
      <c r="K23" s="388" t="n">
        <v>0</v>
      </c>
      <c r="L23" s="375" t="n"/>
      <c r="M23" s="369">
        <f>DATA!M11</f>
        <v/>
      </c>
      <c r="N23" s="370" t="n"/>
      <c r="O23" s="388">
        <f>DATA!G11</f>
        <v/>
      </c>
      <c r="P23" s="375" t="n"/>
      <c r="Q23" s="397">
        <f>DATA!N11</f>
        <v/>
      </c>
      <c r="R23" s="370" t="n"/>
      <c r="S23" s="369">
        <f>DATA!O11</f>
        <v/>
      </c>
      <c r="T23" s="398" t="n"/>
      <c r="U23" s="398" t="n"/>
      <c r="V23" s="370" t="n"/>
      <c r="W23" s="397">
        <f>DATA!P11</f>
        <v/>
      </c>
      <c r="X23" s="398" t="n"/>
      <c r="Y23" s="398" t="n"/>
      <c r="Z23" s="370" t="n"/>
      <c r="AA23" s="414">
        <f>DATA!Q11</f>
        <v/>
      </c>
      <c r="AB23" s="375" t="n"/>
      <c r="AC23" s="395">
        <f>DATA!S11</f>
        <v/>
      </c>
      <c r="AD23" s="396" t="n"/>
      <c r="AE23" s="372" t="n"/>
    </row>
    <row r="24" ht="12.95" customFormat="1" customHeight="1" s="118">
      <c r="A24" s="374" t="inlineStr">
        <is>
          <t>COT 6P</t>
        </is>
      </c>
      <c r="B24" s="375" t="n"/>
      <c r="C24" s="392">
        <f>DATA!F12*10</f>
        <v/>
      </c>
      <c r="D24" s="370" t="n"/>
      <c r="E24" s="392">
        <f>DATA!J12*10</f>
        <v/>
      </c>
      <c r="F24" s="370" t="n"/>
      <c r="G24" s="369">
        <f>DATA!K12</f>
        <v/>
      </c>
      <c r="H24" s="370" t="n"/>
      <c r="I24" s="388" t="n">
        <v>0</v>
      </c>
      <c r="J24" s="375" t="n"/>
      <c r="K24" s="388" t="n">
        <v>0</v>
      </c>
      <c r="L24" s="375" t="n"/>
      <c r="M24" s="369">
        <f>DATA!M12</f>
        <v/>
      </c>
      <c r="N24" s="370" t="n"/>
      <c r="O24" s="388">
        <f>DATA!G12</f>
        <v/>
      </c>
      <c r="P24" s="375" t="n"/>
      <c r="Q24" s="397">
        <f>DATA!N12</f>
        <v/>
      </c>
      <c r="R24" s="370" t="n"/>
      <c r="S24" s="369">
        <f>DATA!O12</f>
        <v/>
      </c>
      <c r="T24" s="398" t="n"/>
      <c r="U24" s="398" t="n"/>
      <c r="V24" s="370" t="n"/>
      <c r="W24" s="397">
        <f>DATA!P12</f>
        <v/>
      </c>
      <c r="X24" s="398" t="n"/>
      <c r="Y24" s="398" t="n"/>
      <c r="Z24" s="370" t="n"/>
      <c r="AA24" s="414">
        <f>DATA!Q12</f>
        <v/>
      </c>
      <c r="AB24" s="375" t="n"/>
      <c r="AC24" s="395">
        <f>DATA!S12</f>
        <v/>
      </c>
      <c r="AD24" s="396" t="n"/>
      <c r="AE24" s="372" t="n"/>
    </row>
    <row r="25" ht="12.95" customFormat="1" customHeight="1" s="118">
      <c r="A25" s="374" t="inlineStr">
        <is>
          <t>COT 6S</t>
        </is>
      </c>
      <c r="B25" s="375" t="n"/>
      <c r="C25" s="392">
        <f>DATA!F13*10</f>
        <v/>
      </c>
      <c r="D25" s="370" t="n"/>
      <c r="E25" s="392">
        <f>DATA!J13*10</f>
        <v/>
      </c>
      <c r="F25" s="370" t="n"/>
      <c r="G25" s="369">
        <f>DATA!K13</f>
        <v/>
      </c>
      <c r="H25" s="370" t="n"/>
      <c r="I25" s="388" t="n">
        <v>0</v>
      </c>
      <c r="J25" s="375" t="n"/>
      <c r="K25" s="388" t="n">
        <v>0</v>
      </c>
      <c r="L25" s="375" t="n"/>
      <c r="M25" s="369">
        <f>DATA!M13</f>
        <v/>
      </c>
      <c r="N25" s="370" t="n"/>
      <c r="O25" s="388">
        <f>DATA!G13</f>
        <v/>
      </c>
      <c r="P25" s="375" t="n"/>
      <c r="Q25" s="397">
        <f>DATA!N13</f>
        <v/>
      </c>
      <c r="R25" s="370" t="n"/>
      <c r="S25" s="369">
        <f>DATA!O13</f>
        <v/>
      </c>
      <c r="T25" s="398" t="n"/>
      <c r="U25" s="398" t="n"/>
      <c r="V25" s="370" t="n"/>
      <c r="W25" s="397">
        <f>DATA!P13</f>
        <v/>
      </c>
      <c r="X25" s="398" t="n"/>
      <c r="Y25" s="398" t="n"/>
      <c r="Z25" s="370" t="n"/>
      <c r="AA25" s="414">
        <f>DATA!Q13</f>
        <v/>
      </c>
      <c r="AB25" s="375" t="n"/>
      <c r="AC25" s="395">
        <f>DATA!S13</f>
        <v/>
      </c>
      <c r="AD25" s="396" t="n"/>
      <c r="AE25" s="372" t="n"/>
    </row>
    <row r="26" ht="12.95" customFormat="1" customHeight="1" s="118">
      <c r="A26" s="374" t="inlineStr">
        <is>
          <t>COT 7P</t>
        </is>
      </c>
      <c r="B26" s="375" t="n"/>
      <c r="C26" s="392">
        <f>DATA!F14*10</f>
        <v/>
      </c>
      <c r="D26" s="370" t="n"/>
      <c r="E26" s="392">
        <f>DATA!J14*10</f>
        <v/>
      </c>
      <c r="F26" s="370" t="n"/>
      <c r="G26" s="369">
        <f>DATA!K14</f>
        <v/>
      </c>
      <c r="H26" s="370" t="n"/>
      <c r="I26" s="388" t="n">
        <v>0</v>
      </c>
      <c r="J26" s="375" t="n"/>
      <c r="K26" s="388" t="n">
        <v>0</v>
      </c>
      <c r="L26" s="375" t="n"/>
      <c r="M26" s="369">
        <f>DATA!M14</f>
        <v/>
      </c>
      <c r="N26" s="370" t="n"/>
      <c r="O26" s="388">
        <f>DATA!G14</f>
        <v/>
      </c>
      <c r="P26" s="375" t="n"/>
      <c r="Q26" s="397">
        <f>DATA!N14</f>
        <v/>
      </c>
      <c r="R26" s="370" t="n"/>
      <c r="S26" s="369">
        <f>DATA!O14</f>
        <v/>
      </c>
      <c r="T26" s="398" t="n"/>
      <c r="U26" s="398" t="n"/>
      <c r="V26" s="370" t="n"/>
      <c r="W26" s="397">
        <f>DATA!P14</f>
        <v/>
      </c>
      <c r="X26" s="398" t="n"/>
      <c r="Y26" s="398" t="n"/>
      <c r="Z26" s="370" t="n"/>
      <c r="AA26" s="414">
        <f>DATA!Q14</f>
        <v/>
      </c>
      <c r="AB26" s="375" t="n"/>
      <c r="AC26" s="395">
        <f>DATA!S14</f>
        <v/>
      </c>
      <c r="AD26" s="396" t="n"/>
      <c r="AE26" s="372" t="n"/>
    </row>
    <row r="27" ht="12.95" customFormat="1" customHeight="1" s="118">
      <c r="A27" s="374" t="inlineStr">
        <is>
          <t>COT 7S</t>
        </is>
      </c>
      <c r="B27" s="375" t="n"/>
      <c r="C27" s="392">
        <f>DATA!F15*10</f>
        <v/>
      </c>
      <c r="D27" s="370" t="n"/>
      <c r="E27" s="392">
        <f>DATA!J15*10</f>
        <v/>
      </c>
      <c r="F27" s="370" t="n"/>
      <c r="G27" s="369">
        <f>DATA!K15</f>
        <v/>
      </c>
      <c r="H27" s="370" t="n"/>
      <c r="I27" s="388" t="n">
        <v>0</v>
      </c>
      <c r="J27" s="375" t="n"/>
      <c r="K27" s="388" t="n">
        <v>0</v>
      </c>
      <c r="L27" s="375" t="n"/>
      <c r="M27" s="369">
        <f>DATA!M15</f>
        <v/>
      </c>
      <c r="N27" s="370" t="n"/>
      <c r="O27" s="388">
        <f>DATA!G15</f>
        <v/>
      </c>
      <c r="P27" s="375" t="n"/>
      <c r="Q27" s="397">
        <f>DATA!N15</f>
        <v/>
      </c>
      <c r="R27" s="370" t="n"/>
      <c r="S27" s="369">
        <f>DATA!O15</f>
        <v/>
      </c>
      <c r="T27" s="398" t="n"/>
      <c r="U27" s="398" t="n"/>
      <c r="V27" s="370" t="n"/>
      <c r="W27" s="397">
        <f>DATA!P15</f>
        <v/>
      </c>
      <c r="X27" s="398" t="n"/>
      <c r="Y27" s="398" t="n"/>
      <c r="Z27" s="370" t="n"/>
      <c r="AA27" s="414">
        <f>DATA!Q15</f>
        <v/>
      </c>
      <c r="AB27" s="375" t="n"/>
      <c r="AC27" s="395">
        <f>DATA!S15</f>
        <v/>
      </c>
      <c r="AD27" s="396" t="n"/>
      <c r="AE27" s="372" t="n"/>
    </row>
    <row r="28" ht="12.95" customFormat="1" customHeight="1" s="118">
      <c r="A28" s="374" t="inlineStr">
        <is>
          <t>COT 8P</t>
        </is>
      </c>
      <c r="B28" s="375" t="n"/>
      <c r="C28" s="392">
        <f>DATA!F16*10</f>
        <v/>
      </c>
      <c r="D28" s="370" t="n"/>
      <c r="E28" s="392">
        <f>DATA!J16*10</f>
        <v/>
      </c>
      <c r="F28" s="370" t="n"/>
      <c r="G28" s="369">
        <f>DATA!K16</f>
        <v/>
      </c>
      <c r="H28" s="370" t="n"/>
      <c r="I28" s="388" t="n">
        <v>0</v>
      </c>
      <c r="J28" s="375" t="n"/>
      <c r="K28" s="388" t="n">
        <v>0</v>
      </c>
      <c r="L28" s="375" t="n"/>
      <c r="M28" s="369">
        <f>DATA!M16</f>
        <v/>
      </c>
      <c r="N28" s="370" t="n"/>
      <c r="O28" s="388">
        <f>DATA!G16</f>
        <v/>
      </c>
      <c r="P28" s="375" t="n"/>
      <c r="Q28" s="397">
        <f>DATA!N16</f>
        <v/>
      </c>
      <c r="R28" s="370" t="n"/>
      <c r="S28" s="369">
        <f>DATA!O16</f>
        <v/>
      </c>
      <c r="T28" s="398" t="n"/>
      <c r="U28" s="398" t="n"/>
      <c r="V28" s="370" t="n"/>
      <c r="W28" s="397">
        <f>DATA!P16</f>
        <v/>
      </c>
      <c r="X28" s="398" t="n"/>
      <c r="Y28" s="398" t="n"/>
      <c r="Z28" s="370" t="n"/>
      <c r="AA28" s="414">
        <f>DATA!Q16</f>
        <v/>
      </c>
      <c r="AB28" s="375" t="n"/>
      <c r="AC28" s="395">
        <f>DATA!S16</f>
        <v/>
      </c>
      <c r="AD28" s="396" t="n"/>
      <c r="AE28" s="372" t="n"/>
    </row>
    <row r="29" ht="12.95" customFormat="1" customHeight="1" s="118">
      <c r="A29" s="374" t="inlineStr">
        <is>
          <t>COT 8S</t>
        </is>
      </c>
      <c r="B29" s="375" t="n"/>
      <c r="C29" s="392">
        <f>DATA!F17*10</f>
        <v/>
      </c>
      <c r="D29" s="370" t="n"/>
      <c r="E29" s="392">
        <f>DATA!J17*10</f>
        <v/>
      </c>
      <c r="F29" s="370" t="n"/>
      <c r="G29" s="369">
        <f>DATA!K17</f>
        <v/>
      </c>
      <c r="H29" s="370" t="n"/>
      <c r="I29" s="388" t="n">
        <v>0</v>
      </c>
      <c r="J29" s="375" t="n"/>
      <c r="K29" s="388" t="n">
        <v>0</v>
      </c>
      <c r="L29" s="375" t="n"/>
      <c r="M29" s="369">
        <f>DATA!M17</f>
        <v/>
      </c>
      <c r="N29" s="370" t="n"/>
      <c r="O29" s="388">
        <f>DATA!G17</f>
        <v/>
      </c>
      <c r="P29" s="375" t="n"/>
      <c r="Q29" s="397">
        <f>DATA!N17</f>
        <v/>
      </c>
      <c r="R29" s="370" t="n"/>
      <c r="S29" s="369">
        <f>DATA!O17</f>
        <v/>
      </c>
      <c r="T29" s="398" t="n"/>
      <c r="U29" s="398" t="n"/>
      <c r="V29" s="370" t="n"/>
      <c r="W29" s="397">
        <f>DATA!P17</f>
        <v/>
      </c>
      <c r="X29" s="398" t="n"/>
      <c r="Y29" s="398" t="n"/>
      <c r="Z29" s="370" t="n"/>
      <c r="AA29" s="414">
        <f>DATA!Q17</f>
        <v/>
      </c>
      <c r="AB29" s="375" t="n"/>
      <c r="AC29" s="395">
        <f>DATA!S17</f>
        <v/>
      </c>
      <c r="AD29" s="396" t="n"/>
      <c r="AE29" s="372" t="n"/>
    </row>
    <row r="30" ht="12.95" customFormat="1" customHeight="1" s="118">
      <c r="A30" s="374" t="inlineStr">
        <is>
          <t>COT 9P</t>
        </is>
      </c>
      <c r="B30" s="375" t="n"/>
      <c r="C30" s="392">
        <f>DATA!F18*10</f>
        <v/>
      </c>
      <c r="D30" s="370" t="n"/>
      <c r="E30" s="392">
        <f>DATA!J18*10</f>
        <v/>
      </c>
      <c r="F30" s="370" t="n"/>
      <c r="G30" s="369">
        <f>DATA!K18</f>
        <v/>
      </c>
      <c r="H30" s="370" t="n"/>
      <c r="I30" s="388" t="n">
        <v>0</v>
      </c>
      <c r="J30" s="375" t="n"/>
      <c r="K30" s="388" t="n">
        <v>0</v>
      </c>
      <c r="L30" s="375" t="n"/>
      <c r="M30" s="369">
        <f>DATA!M18</f>
        <v/>
      </c>
      <c r="N30" s="370" t="n"/>
      <c r="O30" s="388">
        <f>DATA!G18</f>
        <v/>
      </c>
      <c r="P30" s="375" t="n"/>
      <c r="Q30" s="397">
        <f>DATA!N18</f>
        <v/>
      </c>
      <c r="R30" s="370" t="n"/>
      <c r="S30" s="369">
        <f>DATA!O18</f>
        <v/>
      </c>
      <c r="T30" s="398" t="n"/>
      <c r="U30" s="398" t="n"/>
      <c r="V30" s="370" t="n"/>
      <c r="W30" s="397">
        <f>DATA!P18</f>
        <v/>
      </c>
      <c r="X30" s="398" t="n"/>
      <c r="Y30" s="398" t="n"/>
      <c r="Z30" s="370" t="n"/>
      <c r="AA30" s="414">
        <f>DATA!Q18</f>
        <v/>
      </c>
      <c r="AB30" s="375" t="n"/>
      <c r="AC30" s="395">
        <f>DATA!S18</f>
        <v/>
      </c>
      <c r="AD30" s="396" t="n"/>
      <c r="AE30" s="372" t="n"/>
    </row>
    <row r="31" ht="12.95" customFormat="1" customHeight="1" s="118">
      <c r="A31" s="374" t="inlineStr">
        <is>
          <t>SLOP S</t>
        </is>
      </c>
      <c r="B31" s="375" t="n"/>
      <c r="C31" s="392">
        <f>DATA!F19*10</f>
        <v/>
      </c>
      <c r="D31" s="370" t="n"/>
      <c r="E31" s="392">
        <f>DATA!J19*10</f>
        <v/>
      </c>
      <c r="F31" s="370" t="n"/>
      <c r="G31" s="369">
        <f>DATA!K19</f>
        <v/>
      </c>
      <c r="H31" s="370" t="n"/>
      <c r="I31" s="388" t="n">
        <v>0</v>
      </c>
      <c r="J31" s="375" t="n"/>
      <c r="K31" s="388" t="n">
        <v>0</v>
      </c>
      <c r="L31" s="375" t="n"/>
      <c r="M31" s="369">
        <f>DATA!M19</f>
        <v/>
      </c>
      <c r="N31" s="370" t="n"/>
      <c r="O31" s="388">
        <f>DATA!G19</f>
        <v/>
      </c>
      <c r="P31" s="375" t="n"/>
      <c r="Q31" s="397">
        <f>DATA!N19</f>
        <v/>
      </c>
      <c r="R31" s="370" t="n"/>
      <c r="S31" s="369">
        <f>DATA!O19</f>
        <v/>
      </c>
      <c r="T31" s="398" t="n"/>
      <c r="U31" s="398" t="n"/>
      <c r="V31" s="370" t="n"/>
      <c r="W31" s="397">
        <f>DATA!P19</f>
        <v/>
      </c>
      <c r="X31" s="398" t="n"/>
      <c r="Y31" s="398" t="n"/>
      <c r="Z31" s="370" t="n"/>
      <c r="AA31" s="414">
        <f>DATA!Q19</f>
        <v/>
      </c>
      <c r="AB31" s="375" t="n"/>
      <c r="AC31" s="395">
        <f>DATA!S19</f>
        <v/>
      </c>
      <c r="AD31" s="396" t="n"/>
      <c r="AE31" s="372" t="n"/>
    </row>
    <row r="32" ht="21" customHeight="1" s="361" thickBot="1">
      <c r="A32" s="467" t="n"/>
      <c r="B32" s="377" t="n"/>
      <c r="C32" s="427" t="n"/>
      <c r="D32" s="377" t="n"/>
      <c r="E32" s="427" t="n"/>
      <c r="F32" s="377" t="n"/>
      <c r="G32" s="429">
        <f>SUM(G14:G31)</f>
        <v/>
      </c>
      <c r="H32" s="377" t="n"/>
      <c r="I32" s="427" t="n"/>
      <c r="J32" s="377" t="n"/>
      <c r="K32" s="427" t="n"/>
      <c r="L32" s="377" t="n"/>
      <c r="M32" s="429">
        <f>SUM(M14:M31)</f>
        <v/>
      </c>
      <c r="N32" s="377" t="n"/>
      <c r="O32" s="344" t="n"/>
      <c r="P32" s="345" t="n"/>
      <c r="Q32" s="417" t="n"/>
      <c r="R32" s="377" t="n"/>
      <c r="S32" s="429">
        <f>SUM(S14:S31)</f>
        <v/>
      </c>
      <c r="T32" s="394" t="n"/>
      <c r="U32" s="394" t="n"/>
      <c r="V32" s="377" t="n"/>
      <c r="W32" s="393" t="n"/>
      <c r="X32" s="394" t="n"/>
      <c r="Y32" s="394" t="n"/>
      <c r="Z32" s="377" t="n"/>
      <c r="AA32" s="378">
        <f>SUM(AA14:AA31)</f>
        <v/>
      </c>
      <c r="AB32" s="379" t="n"/>
      <c r="AC32" s="432">
        <f>SUM(AC14:AD31)</f>
        <v/>
      </c>
      <c r="AD32" s="433" t="n"/>
    </row>
    <row r="33" ht="9.6" customHeight="1" s="361" thickBot="1">
      <c r="A33" s="492" t="n"/>
      <c r="B33" s="394" t="n"/>
      <c r="C33" s="394" t="n"/>
      <c r="D33" s="394" t="n"/>
      <c r="E33" s="394" t="n"/>
      <c r="F33" s="394" t="n"/>
      <c r="G33" s="394" t="n"/>
      <c r="H33" s="394" t="n"/>
      <c r="I33" s="394" t="n"/>
      <c r="J33" s="394" t="n"/>
      <c r="K33" s="394" t="n"/>
      <c r="L33" s="394" t="n"/>
      <c r="M33" s="394" t="n"/>
      <c r="N33" s="394" t="n"/>
      <c r="O33" s="394" t="n"/>
      <c r="P33" s="394" t="n"/>
      <c r="Q33" s="394" t="n"/>
      <c r="R33" s="394" t="n"/>
      <c r="S33" s="394" t="n"/>
      <c r="T33" s="394" t="n"/>
      <c r="U33" s="394" t="n"/>
      <c r="V33" s="394" t="n"/>
      <c r="W33" s="394" t="n"/>
      <c r="X33" s="394" t="n"/>
      <c r="Y33" s="394" t="n"/>
      <c r="Z33" s="394" t="n"/>
      <c r="AA33" s="394" t="n"/>
      <c r="AB33" s="394" t="n"/>
      <c r="AC33" s="394" t="n"/>
      <c r="AD33" s="394" t="n"/>
    </row>
    <row r="34" ht="14.65" customHeight="1" s="361" thickBot="1">
      <c r="A34" s="491" t="inlineStr">
        <is>
          <t>MMC No</t>
        </is>
      </c>
      <c r="B34" s="381" t="n"/>
      <c r="C34" s="381" t="n"/>
      <c r="D34" s="382" t="inlineStr">
        <is>
          <t>Product</t>
        </is>
      </c>
      <c r="E34" s="381" t="n"/>
      <c r="F34" s="383" t="n"/>
      <c r="G34" s="387" t="inlineStr">
        <is>
          <t>Density Vacuum</t>
        </is>
      </c>
      <c r="H34" s="383" t="n"/>
      <c r="I34" s="382" t="inlineStr">
        <is>
          <t>TOV</t>
        </is>
      </c>
      <c r="J34" s="383" t="n"/>
      <c r="K34" s="382" t="inlineStr">
        <is>
          <t>Free Water</t>
        </is>
      </c>
      <c r="L34" s="381" t="n"/>
      <c r="M34" s="381" t="n"/>
      <c r="N34" s="383" t="n"/>
      <c r="O34" s="382" t="inlineStr">
        <is>
          <t>GOV</t>
        </is>
      </c>
      <c r="P34" s="383" t="n"/>
      <c r="Q34" s="402" t="inlineStr">
        <is>
          <t>AVERAGE 
VCF</t>
        </is>
      </c>
      <c r="R34" s="383" t="n"/>
      <c r="S34" s="382" t="inlineStr">
        <is>
          <t>GSV</t>
        </is>
      </c>
      <c r="T34" s="381" t="n"/>
      <c r="U34" s="381" t="n"/>
      <c r="V34" s="383" t="n"/>
      <c r="W34" s="387" t="inlineStr">
        <is>
          <t>Metric Tonnes</t>
        </is>
      </c>
      <c r="X34" s="381" t="n"/>
      <c r="Y34" s="381" t="n"/>
      <c r="Z34" s="383" t="n"/>
      <c r="AA34" s="476" t="inlineStr">
        <is>
          <t>Metric Tonnes</t>
        </is>
      </c>
      <c r="AB34" s="381" t="n"/>
      <c r="AC34" s="381" t="n"/>
      <c r="AD34" s="477" t="n"/>
    </row>
    <row r="35" ht="14.65" customHeight="1" s="361">
      <c r="A35" s="485" t="n"/>
      <c r="B35" s="394" t="n"/>
      <c r="C35" s="394" t="n"/>
      <c r="D35" s="420" t="n"/>
      <c r="E35" s="394" t="n"/>
      <c r="F35" s="377" t="n"/>
      <c r="G35" s="461" t="inlineStr">
        <is>
          <t>15 Deg C</t>
        </is>
      </c>
      <c r="H35" s="370" t="n"/>
      <c r="I35" s="420" t="n"/>
      <c r="J35" s="377" t="n"/>
      <c r="K35" s="420" t="n"/>
      <c r="L35" s="394" t="n"/>
      <c r="M35" s="394" t="n"/>
      <c r="N35" s="377" t="n"/>
      <c r="O35" s="420" t="n"/>
      <c r="P35" s="377" t="n"/>
      <c r="Q35" s="420" t="n"/>
      <c r="R35" s="377" t="n"/>
      <c r="S35" s="420" t="n"/>
      <c r="T35" s="394" t="n"/>
      <c r="U35" s="394" t="n"/>
      <c r="V35" s="377" t="n"/>
      <c r="W35" s="371" t="inlineStr">
        <is>
          <t>Vacuum</t>
        </is>
      </c>
      <c r="Z35" s="373" t="n"/>
      <c r="AA35" s="412" t="inlineStr">
        <is>
          <t>Air</t>
        </is>
      </c>
      <c r="AB35" s="398" t="n"/>
      <c r="AC35" s="398" t="n"/>
      <c r="AD35" s="413" t="n"/>
    </row>
    <row r="36" ht="20.1" customHeight="1" s="361" thickBot="1">
      <c r="A36" s="633" t="inlineStr">
        <is>
          <t>TFC-90782107</t>
        </is>
      </c>
      <c r="B36" s="406" t="n"/>
      <c r="C36" s="407" t="n"/>
      <c r="D36" s="450">
        <f>P10</f>
        <v/>
      </c>
      <c r="E36" s="451" t="n"/>
      <c r="F36" s="379" t="n"/>
      <c r="G36" s="452">
        <f>W14</f>
        <v/>
      </c>
      <c r="H36" s="391" t="n"/>
      <c r="I36" s="453">
        <f>$G$32</f>
        <v/>
      </c>
      <c r="J36" s="377" t="n"/>
      <c r="K36" s="427">
        <f>I32</f>
        <v/>
      </c>
      <c r="L36" s="377" t="n"/>
      <c r="M36" s="427">
        <f>K32</f>
        <v/>
      </c>
      <c r="N36" s="377" t="n"/>
      <c r="O36" s="403">
        <f>$M$32</f>
        <v/>
      </c>
      <c r="P36" s="377" t="n"/>
      <c r="Q36" s="478">
        <f>AVERAGE(Q15:R31)</f>
        <v/>
      </c>
      <c r="R36" s="379" t="n"/>
      <c r="S36" s="466">
        <f>$S$32</f>
        <v/>
      </c>
      <c r="T36" s="451" t="n"/>
      <c r="U36" s="451" t="n"/>
      <c r="V36" s="379" t="n"/>
      <c r="W36" s="466">
        <f>AA32</f>
        <v/>
      </c>
      <c r="X36" s="451" t="n"/>
      <c r="Y36" s="451" t="n"/>
      <c r="Z36" s="379" t="n"/>
      <c r="AA36" s="403">
        <f>AC32</f>
        <v/>
      </c>
      <c r="AB36" s="394" t="n"/>
      <c r="AC36" s="394" t="n"/>
      <c r="AD36" s="377" t="n"/>
    </row>
    <row r="37" ht="7.9" customHeight="1" s="361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361">
      <c r="A38" s="426" t="inlineStr">
        <is>
          <t xml:space="preserve">Sea State: </t>
        </is>
      </c>
      <c r="B38" s="419" t="n"/>
      <c r="C38" s="489" t="inlineStr">
        <is>
          <t>MODERATE</t>
        </is>
      </c>
      <c r="D38" s="400" t="n"/>
      <c r="E38" s="400" t="n"/>
      <c r="F38" s="400" t="n"/>
      <c r="G38" s="400" t="n"/>
      <c r="H38" s="400" t="n"/>
      <c r="I38" s="400" t="n"/>
      <c r="J38" s="400" t="n"/>
      <c r="K38" s="400" t="n"/>
      <c r="L38" s="400" t="n"/>
      <c r="M38" s="400" t="n"/>
      <c r="N38" s="400" t="n"/>
      <c r="O38" s="400" t="n"/>
      <c r="P38" s="400" t="n"/>
      <c r="Q38" s="400" t="n"/>
      <c r="R38" s="400" t="n"/>
      <c r="S38" s="400" t="n"/>
      <c r="T38" s="400" t="n"/>
      <c r="U38" s="400" t="n"/>
      <c r="V38" s="400" t="n"/>
      <c r="W38" s="400" t="n"/>
      <c r="X38" s="400" t="n"/>
      <c r="Y38" s="400" t="n"/>
      <c r="Z38" s="400" t="n"/>
      <c r="AA38" s="400" t="n"/>
      <c r="AB38" s="400" t="n"/>
      <c r="AC38" s="400" t="n"/>
      <c r="AD38" s="401" t="n"/>
    </row>
    <row r="39" ht="14.45" customHeight="1" s="361">
      <c r="A39" s="487" t="inlineStr">
        <is>
          <t>Remarks:</t>
        </is>
      </c>
      <c r="B39" s="471" t="n"/>
      <c r="C39" s="470" t="n"/>
      <c r="D39" s="471" t="n"/>
      <c r="E39" s="471" t="n"/>
      <c r="F39" s="471" t="n"/>
      <c r="G39" s="471" t="n"/>
      <c r="H39" s="471" t="n"/>
      <c r="I39" s="471" t="n"/>
      <c r="J39" s="471" t="n"/>
      <c r="K39" s="471" t="n"/>
      <c r="L39" s="471" t="n"/>
      <c r="M39" s="471" t="n"/>
      <c r="N39" s="471" t="n"/>
      <c r="O39" s="471" t="n"/>
      <c r="P39" s="471" t="n"/>
      <c r="Q39" s="471" t="n"/>
      <c r="R39" s="471" t="n"/>
      <c r="S39" s="471" t="n"/>
      <c r="T39" s="471" t="n"/>
      <c r="U39" s="471" t="n"/>
      <c r="V39" s="471" t="n"/>
      <c r="W39" s="471" t="n"/>
      <c r="X39" s="471" t="n"/>
      <c r="Y39" s="471" t="n"/>
      <c r="Z39" s="471" t="n"/>
      <c r="AA39" s="471" t="n"/>
      <c r="AB39" s="471" t="n"/>
      <c r="AC39" s="471" t="n"/>
      <c r="AD39" s="472" t="n"/>
    </row>
    <row r="40">
      <c r="A40" s="434" t="inlineStr">
        <is>
          <t>Signature, Master/Chief Officer</t>
        </is>
      </c>
      <c r="B40" s="422" t="n"/>
      <c r="C40" s="422" t="n"/>
      <c r="D40" s="422" t="n"/>
      <c r="E40" s="422" t="n"/>
      <c r="F40" s="422" t="n"/>
      <c r="G40" s="422" t="n"/>
      <c r="H40" s="422" t="n"/>
      <c r="I40" s="421" t="inlineStr">
        <is>
          <t>Name in block letters</t>
        </is>
      </c>
      <c r="J40" s="422" t="n"/>
      <c r="K40" s="422" t="n"/>
      <c r="L40" s="422" t="n"/>
      <c r="M40" s="422" t="n"/>
      <c r="N40" s="422" t="n"/>
      <c r="O40" s="423" t="n"/>
      <c r="P40" s="421" t="inlineStr">
        <is>
          <t>Signature, Surveyor</t>
        </is>
      </c>
      <c r="Q40" s="422" t="n"/>
      <c r="R40" s="422" t="n"/>
      <c r="S40" s="422" t="n"/>
      <c r="T40" s="422" t="n"/>
      <c r="U40" s="422" t="n"/>
      <c r="V40" s="422" t="n"/>
      <c r="W40" s="423" t="n"/>
      <c r="X40" s="421" t="inlineStr">
        <is>
          <t>Name in block letters</t>
        </is>
      </c>
      <c r="Y40" s="422" t="n"/>
      <c r="Z40" s="422" t="n"/>
      <c r="AA40" s="422" t="n"/>
      <c r="AB40" s="422" t="n"/>
      <c r="AC40" s="422" t="n"/>
      <c r="AD40" s="423" t="n"/>
    </row>
    <row r="41">
      <c r="A41" s="424" t="n"/>
      <c r="B41" s="398" t="n"/>
      <c r="C41" s="398" t="n"/>
      <c r="D41" s="398" t="n"/>
      <c r="E41" s="398" t="n"/>
      <c r="F41" s="398" t="n"/>
      <c r="G41" s="398" t="n"/>
      <c r="H41" s="398" t="n"/>
      <c r="I41" s="486">
        <f>DATA_VOYAGE!B8</f>
        <v/>
      </c>
      <c r="J41" s="464" t="n"/>
      <c r="K41" s="464" t="n"/>
      <c r="L41" s="464" t="n"/>
      <c r="M41" s="464" t="n"/>
      <c r="N41" s="464" t="n"/>
      <c r="O41" s="465" t="n"/>
      <c r="P41" s="474" t="n"/>
      <c r="Q41" s="398" t="n"/>
      <c r="R41" s="398" t="n"/>
      <c r="S41" s="398" t="n"/>
      <c r="T41" s="398" t="n"/>
      <c r="U41" s="398" t="n"/>
      <c r="V41" s="398" t="n"/>
      <c r="W41" s="398" t="n"/>
      <c r="X41" s="463" t="n"/>
      <c r="Y41" s="464" t="n"/>
      <c r="Z41" s="464" t="n"/>
      <c r="AA41" s="464" t="n"/>
      <c r="AB41" s="464" t="n"/>
      <c r="AC41" s="464" t="n"/>
      <c r="AD41" s="465" t="n"/>
    </row>
    <row r="42">
      <c r="A42" s="435" t="inlineStr">
        <is>
          <t>Company</t>
        </is>
      </c>
      <c r="B42" s="422" t="n"/>
      <c r="C42" s="422" t="n"/>
      <c r="D42" s="422" t="n"/>
      <c r="E42" s="422" t="n"/>
      <c r="F42" s="422" t="n"/>
      <c r="G42" s="422" t="n"/>
      <c r="H42" s="422" t="n"/>
      <c r="I42" s="422" t="n"/>
      <c r="J42" s="422" t="n"/>
      <c r="K42" s="422" t="n"/>
      <c r="L42" s="422" t="n"/>
      <c r="M42" s="422" t="n"/>
      <c r="N42" s="422" t="n"/>
      <c r="O42" s="422" t="n"/>
      <c r="P42" s="422" t="n"/>
      <c r="Q42" s="422" t="n"/>
      <c r="R42" s="422" t="n"/>
      <c r="S42" s="422" t="n"/>
      <c r="T42" s="422" t="n"/>
      <c r="U42" s="422" t="n"/>
      <c r="V42" s="422" t="n"/>
      <c r="W42" s="422" t="n"/>
      <c r="X42" s="422" t="n"/>
      <c r="Y42" s="422" t="n"/>
      <c r="Z42" s="422" t="n"/>
      <c r="AA42" s="422" t="n"/>
      <c r="AB42" s="422" t="n"/>
      <c r="AC42" s="422" t="n"/>
      <c r="AD42" s="423" t="n"/>
    </row>
    <row r="43" ht="14.65" customHeight="1" s="361" thickBot="1">
      <c r="A43" s="389" t="n"/>
      <c r="B43" s="390" t="n"/>
      <c r="C43" s="390" t="n"/>
      <c r="D43" s="390" t="n"/>
      <c r="E43" s="390" t="n"/>
      <c r="F43" s="390" t="n"/>
      <c r="G43" s="390" t="n"/>
      <c r="H43" s="390" t="n"/>
      <c r="I43" s="390" t="n"/>
      <c r="J43" s="390" t="n"/>
      <c r="K43" s="390" t="n"/>
      <c r="L43" s="390" t="n"/>
      <c r="M43" s="390" t="n"/>
      <c r="N43" s="390" t="n"/>
      <c r="O43" s="390" t="n"/>
      <c r="P43" s="390" t="n"/>
      <c r="Q43" s="390" t="n"/>
      <c r="R43" s="390" t="n"/>
      <c r="S43" s="390" t="n"/>
      <c r="T43" s="390" t="n"/>
      <c r="U43" s="390" t="n"/>
      <c r="V43" s="390" t="n"/>
      <c r="W43" s="390" t="n"/>
      <c r="X43" s="390" t="n"/>
      <c r="Y43" s="390" t="n"/>
      <c r="Z43" s="390" t="n"/>
      <c r="AA43" s="390" t="n"/>
      <c r="AB43" s="390" t="n"/>
      <c r="AC43" s="390" t="n"/>
      <c r="AD43" s="391" t="n"/>
    </row>
    <row r="44" ht="3" customHeight="1" s="361" thickBot="1">
      <c r="A44" s="32" t="n"/>
    </row>
    <row r="45" ht="14.65" customHeight="1" s="361" thickBot="1">
      <c r="A45" s="415" t="inlineStr">
        <is>
          <t>CONTROLLED COPY</t>
        </is>
      </c>
      <c r="B45" s="416" t="n"/>
      <c r="C45" s="416" t="n"/>
      <c r="D45" s="416" t="n"/>
      <c r="E45" s="416" t="n"/>
      <c r="F45" s="416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30" t="n"/>
      <c r="AD45" s="43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I32:J32"/>
    <mergeCell ref="S22:V22"/>
    <mergeCell ref="Q29:R29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A21:AB21"/>
    <mergeCell ref="A38:B38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E21:F21"/>
    <mergeCell ref="O13:P13"/>
    <mergeCell ref="AA35:AD35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I16:J16"/>
    <mergeCell ref="S31:V31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AC19:AD19"/>
    <mergeCell ref="W26:Z26"/>
    <mergeCell ref="M36:N36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O24:P24"/>
    <mergeCell ref="G27:H27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58" min="1" max="1"/>
    <col width="11.375" customWidth="1" style="458" min="2" max="2"/>
    <col width="10.125" customWidth="1" style="458" min="3" max="3"/>
    <col width="7.75" customWidth="1" style="458" min="4" max="4"/>
    <col width="6.625" customWidth="1" style="458" min="5" max="5"/>
    <col width="5.75" customWidth="1" style="458" min="6" max="20"/>
    <col width="6.75" customWidth="1" style="458" min="21" max="21"/>
    <col width="5.75" customWidth="1" style="458" min="22" max="22"/>
    <col width="6" customWidth="1" style="458" min="23" max="23"/>
    <col width="7.625" customWidth="1" style="458" min="24" max="24"/>
    <col width="3.875" customWidth="1" style="4" min="25" max="25"/>
    <col width="9" customWidth="1" style="4" min="26" max="39"/>
    <col width="9" customWidth="1" style="458" min="40" max="46"/>
    <col width="9" customWidth="1" style="458" min="47" max="16384"/>
  </cols>
  <sheetData>
    <row r="1" ht="50.45" customHeight="1" s="361">
      <c r="A1" s="534" t="inlineStr">
        <is>
          <t>SADECE MAVİ BÖLÜMLERİ DEĞİŞTİRİNİZ. DİĞER BÖLÜMLER MASTER TABLOSU İLE BAĞLANTILIDIR.</t>
        </is>
      </c>
      <c r="B1" s="458" t="n"/>
      <c r="C1" s="458" t="n"/>
      <c r="D1" s="458" t="n"/>
      <c r="E1" s="458" t="n"/>
      <c r="F1" s="458" t="n"/>
      <c r="G1" s="458" t="n"/>
      <c r="H1" s="458" t="n"/>
      <c r="I1" s="458" t="n"/>
      <c r="J1" s="458" t="n"/>
      <c r="K1" s="458" t="n"/>
      <c r="L1" s="458" t="n"/>
      <c r="M1" s="458" t="n"/>
      <c r="N1" s="458" t="n"/>
      <c r="O1" s="458" t="n"/>
      <c r="P1" s="458" t="n"/>
      <c r="Q1" s="458" t="n"/>
      <c r="R1" s="458" t="n"/>
      <c r="S1" s="458" t="n"/>
      <c r="T1" s="458" t="n"/>
      <c r="U1" s="458" t="n"/>
      <c r="V1" s="458" t="n"/>
      <c r="W1" s="458" t="n"/>
      <c r="X1" s="458" t="n"/>
      <c r="Y1" s="458" t="n"/>
    </row>
    <row r="2">
      <c r="Y2" s="3" t="n"/>
    </row>
    <row r="3" ht="13.9" customHeight="1" s="361">
      <c r="F3" s="505" t="inlineStr">
        <is>
          <t>M/T KUZEY EKİM  STOWAGE PLAN</t>
        </is>
      </c>
      <c r="Y3" s="3" t="n"/>
    </row>
    <row r="4" ht="21.75" customFormat="1" customHeight="1" s="506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50">
      <c r="A5" s="64" t="n"/>
      <c r="B5" s="549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54" t="n"/>
      <c r="V5" s="555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50" t="n"/>
      <c r="AA6" s="550" t="n"/>
      <c r="AB6" s="550" t="n"/>
      <c r="AC6" s="550" t="n"/>
      <c r="AD6" s="550" t="n"/>
      <c r="AE6" s="550" t="n"/>
      <c r="AF6" s="550" t="n"/>
      <c r="AG6" s="550" t="n"/>
      <c r="AH6" s="550" t="n"/>
      <c r="AI6" s="550" t="n"/>
      <c r="AJ6" s="550" t="n"/>
      <c r="AK6" s="550" t="n"/>
      <c r="AL6" s="550" t="n"/>
      <c r="AM6" s="550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50" t="n"/>
      <c r="AA7" s="550" t="n"/>
      <c r="AB7" s="550" t="n"/>
      <c r="AC7" s="550" t="n"/>
      <c r="AD7" s="550" t="n"/>
      <c r="AE7" s="550" t="n"/>
      <c r="AF7" s="550" t="n"/>
      <c r="AG7" s="550" t="n"/>
      <c r="AH7" s="550" t="n"/>
      <c r="AI7" s="550" t="n"/>
      <c r="AJ7" s="550" t="n"/>
      <c r="AK7" s="550" t="n"/>
      <c r="AL7" s="550" t="n"/>
      <c r="AM7" s="550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50" t="n"/>
      <c r="AA8" s="550" t="n"/>
      <c r="AB8" s="550" t="n"/>
      <c r="AC8" s="550" t="n"/>
      <c r="AD8" s="550" t="n"/>
      <c r="AE8" s="550" t="n"/>
      <c r="AF8" s="550" t="n"/>
      <c r="AG8" s="550" t="n"/>
      <c r="AH8" s="550" t="n"/>
      <c r="AI8" s="550" t="n"/>
      <c r="AJ8" s="550" t="n"/>
      <c r="AK8" s="550" t="n"/>
      <c r="AL8" s="550" t="n"/>
      <c r="AM8" s="550" t="n"/>
    </row>
    <row r="9" ht="10.9" customFormat="1" customHeight="1" s="66">
      <c r="A9" s="63" t="n"/>
      <c r="B9" s="546" t="inlineStr">
        <is>
          <t>TERMİNAL</t>
        </is>
      </c>
      <c r="C9" s="410" t="n"/>
      <c r="D9" s="538" t="inlineStr">
        <is>
          <t>GRADE</t>
        </is>
      </c>
      <c r="E9" s="410" t="n"/>
      <c r="F9" s="539" t="inlineStr">
        <is>
          <t>DENSITY</t>
        </is>
      </c>
      <c r="G9" s="410" t="n"/>
      <c r="H9" s="539" t="inlineStr">
        <is>
          <t>AVG.TEMP</t>
        </is>
      </c>
      <c r="I9" s="410" t="n"/>
      <c r="J9" s="552" t="inlineStr">
        <is>
          <t>WEIGHT (MT IN AIR)</t>
        </is>
      </c>
      <c r="K9" s="419" t="n"/>
      <c r="L9" s="386" t="n"/>
      <c r="M9" s="64" t="n"/>
      <c r="N9" s="64" t="n"/>
      <c r="O9" s="143" t="n"/>
      <c r="P9" s="141" t="inlineStr">
        <is>
          <t>FINAL VALUES</t>
        </is>
      </c>
      <c r="Q9" s="141" t="n"/>
      <c r="R9" s="552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50" t="n"/>
      <c r="AA9" s="550" t="n"/>
      <c r="AB9" s="550" t="n"/>
      <c r="AC9" s="550" t="n"/>
      <c r="AD9" s="550" t="n"/>
      <c r="AE9" s="550" t="n"/>
      <c r="AF9" s="550" t="n"/>
      <c r="AG9" s="550" t="n"/>
      <c r="AH9" s="550" t="n"/>
      <c r="AI9" s="550" t="n"/>
      <c r="AJ9" s="550" t="n"/>
      <c r="AK9" s="550" t="n"/>
      <c r="AL9" s="550" t="n"/>
      <c r="AM9" s="550" t="n"/>
    </row>
    <row r="10" ht="10.9" customFormat="1" customHeight="1" s="66">
      <c r="B10" s="493">
        <f>IF(MASTER!$X3="","",MASTER!$X3)</f>
        <v/>
      </c>
      <c r="C10" s="494" t="n"/>
      <c r="D10" s="547">
        <f>IF(MASTER!$V3="","",MASTER!$V3)</f>
        <v/>
      </c>
      <c r="E10" s="494" t="n"/>
      <c r="F10" s="593">
        <f>IF(MASTER!$W3="","",MASTER!$W3)</f>
        <v/>
      </c>
      <c r="G10" s="494" t="n"/>
      <c r="H10" s="579" t="n">
        <v>24</v>
      </c>
      <c r="I10" s="494" t="n"/>
      <c r="J10" s="547">
        <f>IF(MASTER!$Y3="","",MASTER!$Y3)</f>
        <v/>
      </c>
      <c r="K10" s="471" t="n"/>
      <c r="L10" s="494" t="n"/>
      <c r="M10" s="550" t="n"/>
      <c r="N10" s="550" t="n"/>
      <c r="O10" s="550" t="n"/>
      <c r="P10" s="548" t="inlineStr">
        <is>
          <t>Draft FWD</t>
        </is>
      </c>
      <c r="Q10" s="472" t="n"/>
      <c r="R10" s="136">
        <f>MASTER!$X$17</f>
        <v/>
      </c>
      <c r="S10" s="550" t="n"/>
      <c r="T10" s="550" t="n"/>
      <c r="U10" s="550" t="n"/>
      <c r="V10" s="550" t="n"/>
      <c r="X10" s="550" t="n"/>
      <c r="Y10" s="550" t="n"/>
      <c r="Z10" s="550" t="n"/>
      <c r="AA10" s="550" t="n"/>
      <c r="AB10" s="550" t="n"/>
      <c r="AC10" s="550" t="n"/>
      <c r="AD10" s="550" t="n"/>
      <c r="AE10" s="550" t="n"/>
      <c r="AF10" s="550" t="n"/>
      <c r="AG10" s="550" t="n"/>
      <c r="AH10" s="550" t="n"/>
      <c r="AI10" s="550" t="n"/>
      <c r="AJ10" s="550" t="n"/>
      <c r="AK10" s="550" t="n"/>
      <c r="AL10" s="550" t="n"/>
      <c r="AM10" s="550" t="n"/>
    </row>
    <row r="11" ht="10.9" customFormat="1" customHeight="1" s="66" thickBot="1">
      <c r="B11" s="556">
        <f>IF(MASTER!$X4="","",MASTER!$X4)</f>
        <v/>
      </c>
      <c r="C11" s="494" t="n"/>
      <c r="D11" s="557">
        <f>IF(MASTER!$V4="","",MASTER!$V4)</f>
        <v/>
      </c>
      <c r="E11" s="494" t="n"/>
      <c r="F11" s="553">
        <f>IF(MASTER!$W4="","",MASTER!$W4)</f>
        <v/>
      </c>
      <c r="G11" s="494" t="n"/>
      <c r="H11" s="561" t="n">
        <v>24</v>
      </c>
      <c r="I11" s="494" t="n"/>
      <c r="J11" s="557">
        <f>IF(MASTER!$Y4="","",MASTER!$Y4)</f>
        <v/>
      </c>
      <c r="K11" s="471" t="n"/>
      <c r="L11" s="494" t="n"/>
      <c r="M11" s="550" t="n"/>
      <c r="N11" s="550" t="n"/>
      <c r="O11" s="550" t="n"/>
      <c r="P11" s="548" t="inlineStr">
        <is>
          <t>Draft AFT</t>
        </is>
      </c>
      <c r="Q11" s="140" t="n"/>
      <c r="R11" s="137">
        <f>MASTER!$V$17</f>
        <v/>
      </c>
      <c r="S11" s="550" t="n"/>
      <c r="T11" s="550" t="n"/>
      <c r="U11" s="550" t="n"/>
      <c r="V11" s="550" t="n"/>
      <c r="X11" s="550" t="n"/>
      <c r="Y11" s="550" t="n"/>
      <c r="Z11" s="550" t="n"/>
      <c r="AA11" s="550" t="n"/>
      <c r="AB11" s="550" t="n"/>
      <c r="AC11" s="550" t="n"/>
      <c r="AD11" s="550" t="n"/>
      <c r="AE11" s="550" t="n"/>
      <c r="AF11" s="550" t="n"/>
      <c r="AG11" s="550" t="n"/>
      <c r="AH11" s="550" t="n"/>
      <c r="AI11" s="550" t="n"/>
      <c r="AJ11" s="550" t="n"/>
      <c r="AK11" s="550" t="n"/>
      <c r="AL11" s="550" t="n"/>
      <c r="AM11" s="550" t="n"/>
    </row>
    <row r="12" ht="10.9" customFormat="1" customHeight="1" s="66">
      <c r="B12" s="580">
        <f>IF(MASTER!$X5="","",MASTER!$X5)</f>
        <v/>
      </c>
      <c r="C12" s="494" t="n"/>
      <c r="D12" s="510">
        <f>IF(MASTER!$V5="","",MASTER!$V5)</f>
        <v/>
      </c>
      <c r="E12" s="494" t="n"/>
      <c r="F12" s="509">
        <f>IF(MASTER!$W5="","",MASTER!$W5)</f>
        <v/>
      </c>
      <c r="G12" s="494" t="n"/>
      <c r="H12" s="540" t="n">
        <v>24</v>
      </c>
      <c r="I12" s="494" t="n"/>
      <c r="J12" s="510">
        <f>IF(MASTER!$Y5="","",MASTER!$Y5)</f>
        <v/>
      </c>
      <c r="K12" s="471" t="n"/>
      <c r="L12" s="494" t="n"/>
      <c r="M12" s="550" t="n"/>
      <c r="N12" s="550" t="n"/>
      <c r="O12" s="550" t="n"/>
      <c r="P12" s="548" t="n"/>
      <c r="Q12" s="472" t="n"/>
      <c r="R12" s="135" t="n"/>
      <c r="S12" s="550" t="n"/>
      <c r="T12" s="550" t="n"/>
      <c r="U12" s="550" t="n"/>
      <c r="V12" s="550" t="n"/>
      <c r="X12" s="63" t="n"/>
      <c r="Y12" s="550" t="n"/>
      <c r="Z12" s="550" t="n"/>
      <c r="AA12" s="550" t="n"/>
      <c r="AB12" s="550" t="n"/>
      <c r="AC12" s="550" t="n"/>
      <c r="AD12" s="550" t="n"/>
      <c r="AE12" s="550" t="n"/>
      <c r="AF12" s="550" t="n"/>
      <c r="AG12" s="550" t="n"/>
      <c r="AH12" s="550" t="n"/>
      <c r="AI12" s="550" t="n"/>
      <c r="AJ12" s="550" t="n"/>
      <c r="AK12" s="550" t="n"/>
      <c r="AL12" s="550" t="n"/>
      <c r="AM12" s="550" t="n"/>
    </row>
    <row r="13" ht="10.9" customFormat="1" customHeight="1" s="66">
      <c r="B13" s="589">
        <f>IF(MASTER!$X6="","",MASTER!$X6)</f>
        <v/>
      </c>
      <c r="C13" s="494" t="n"/>
      <c r="D13" s="569">
        <f>IF(MASTER!$V6="","",MASTER!$V6)</f>
        <v/>
      </c>
      <c r="E13" s="494" t="n"/>
      <c r="F13" s="567">
        <f>IF(MASTER!$W6="","",MASTER!$W6)</f>
        <v/>
      </c>
      <c r="G13" s="494" t="n"/>
      <c r="H13" s="568" t="n">
        <v>24</v>
      </c>
      <c r="I13" s="494" t="n"/>
      <c r="J13" s="569">
        <f>IF(MASTER!$Y6="","",MASTER!$Y6)</f>
        <v/>
      </c>
      <c r="K13" s="471" t="n"/>
      <c r="L13" s="494" t="n"/>
      <c r="M13" s="550" t="n"/>
      <c r="N13" s="550" t="n"/>
      <c r="O13" s="550" t="n"/>
      <c r="P13" s="548" t="n"/>
      <c r="Q13" s="472" t="n"/>
      <c r="R13" s="136" t="n"/>
      <c r="S13" s="550" t="n"/>
      <c r="T13" s="550" t="n"/>
      <c r="U13" s="550" t="n"/>
      <c r="V13" s="550" t="n"/>
      <c r="X13" s="63" t="n"/>
      <c r="Y13" s="550" t="n"/>
      <c r="Z13" s="550" t="n"/>
      <c r="AA13" s="550" t="n"/>
      <c r="AB13" s="550" t="n"/>
      <c r="AC13" s="550" t="n"/>
      <c r="AD13" s="550" t="n"/>
      <c r="AE13" s="550" t="n"/>
      <c r="AF13" s="550" t="n"/>
      <c r="AG13" s="550" t="n"/>
      <c r="AH13" s="550" t="n"/>
      <c r="AI13" s="550" t="n"/>
      <c r="AJ13" s="550" t="n"/>
      <c r="AK13" s="550" t="n"/>
      <c r="AL13" s="550" t="n"/>
      <c r="AM13" s="550" t="n"/>
    </row>
    <row r="14" ht="10.9" customFormat="1" customHeight="1" s="66" thickBot="1">
      <c r="B14" s="582">
        <f>IF(MASTER!$X7="","",MASTER!$X7)</f>
        <v/>
      </c>
      <c r="C14" s="494" t="n"/>
      <c r="D14" s="541">
        <f>IF(MASTER!$V7="","",MASTER!$V7)</f>
        <v/>
      </c>
      <c r="E14" s="494" t="n"/>
      <c r="F14" s="551">
        <f>IF(MASTER!$W7="","",MASTER!$W7)</f>
        <v/>
      </c>
      <c r="G14" s="494" t="n"/>
      <c r="H14" s="544" t="n">
        <v>24</v>
      </c>
      <c r="I14" s="494" t="n"/>
      <c r="J14" s="541">
        <f>IF(MASTER!$Y7="","",MASTER!$Y7)</f>
        <v/>
      </c>
      <c r="K14" s="471" t="n"/>
      <c r="L14" s="494" t="n"/>
      <c r="M14" s="550" t="n"/>
      <c r="N14" s="550" t="n"/>
      <c r="O14" s="550" t="n"/>
      <c r="P14" s="548" t="n"/>
      <c r="Q14" s="140" t="n"/>
      <c r="R14" s="137" t="n"/>
      <c r="S14" s="550" t="n"/>
      <c r="T14" s="550" t="n"/>
      <c r="U14" s="550" t="n"/>
      <c r="V14" s="550" t="n"/>
      <c r="X14" s="63" t="n"/>
      <c r="Y14" s="550" t="n"/>
      <c r="Z14" s="550" t="n"/>
      <c r="AA14" s="550" t="n"/>
      <c r="AB14" s="550" t="n"/>
      <c r="AC14" s="550" t="n"/>
      <c r="AD14" s="550" t="n"/>
      <c r="AE14" s="550" t="n"/>
      <c r="AF14" s="550" t="n"/>
      <c r="AG14" s="550" t="n"/>
      <c r="AH14" s="550" t="n"/>
      <c r="AI14" s="550" t="n"/>
      <c r="AJ14" s="550" t="n"/>
      <c r="AK14" s="550" t="n"/>
      <c r="AL14" s="550" t="n"/>
      <c r="AM14" s="550" t="n"/>
    </row>
    <row r="15" ht="10.9" customFormat="1" customHeight="1" s="66">
      <c r="B15" s="542">
        <f>IF(MASTER!$X8="","",MASTER!$X8)</f>
        <v/>
      </c>
      <c r="C15" s="494" t="n"/>
      <c r="D15" s="543">
        <f>IF(MASTER!$V8="","",MASTER!$V8)</f>
        <v/>
      </c>
      <c r="E15" s="494" t="n"/>
      <c r="F15" s="581">
        <f>IF(MASTER!$W8="","",MASTER!$W8)</f>
        <v/>
      </c>
      <c r="G15" s="494" t="n"/>
      <c r="H15" s="570" t="n">
        <v>24</v>
      </c>
      <c r="I15" s="494" t="n"/>
      <c r="J15" s="543">
        <f>IF(MASTER!$Y8="","",MASTER!$Y8)</f>
        <v/>
      </c>
      <c r="K15" s="471" t="n"/>
      <c r="L15" s="494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50" t="n"/>
      <c r="Z15" s="550" t="n"/>
      <c r="AA15" s="550" t="n"/>
      <c r="AB15" s="550" t="n"/>
      <c r="AC15" s="550" t="n"/>
      <c r="AD15" s="550" t="n"/>
      <c r="AE15" s="550" t="n"/>
      <c r="AF15" s="550" t="n"/>
      <c r="AG15" s="550" t="n"/>
      <c r="AH15" s="550" t="n"/>
      <c r="AI15" s="550" t="n"/>
      <c r="AJ15" s="550" t="n"/>
      <c r="AK15" s="550" t="n"/>
      <c r="AL15" s="550" t="n"/>
      <c r="AM15" s="550" t="n"/>
    </row>
    <row r="16" ht="10.9" customFormat="1" customHeight="1" s="66">
      <c r="B16" s="592">
        <f>IF(MASTER!$X9="","",MASTER!$X9)</f>
        <v/>
      </c>
      <c r="C16" s="494" t="n"/>
      <c r="D16" s="515">
        <f>IF(MASTER!$V9="","",MASTER!$V9)</f>
        <v/>
      </c>
      <c r="E16" s="494" t="n"/>
      <c r="F16" s="577">
        <f>IF(MASTER!$W9="","",MASTER!$W9)</f>
        <v/>
      </c>
      <c r="G16" s="494" t="n"/>
      <c r="H16" s="545" t="n">
        <v>24</v>
      </c>
      <c r="I16" s="494" t="n"/>
      <c r="J16" s="515">
        <f>IF(MASTER!$Y9="","",MASTER!$Y9)</f>
        <v/>
      </c>
      <c r="K16" s="471" t="n"/>
      <c r="L16" s="494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50" t="n"/>
      <c r="Z16" s="550" t="n"/>
      <c r="AA16" s="550" t="n"/>
      <c r="AB16" s="550" t="n"/>
      <c r="AC16" s="550" t="n"/>
      <c r="AD16" s="550" t="n"/>
      <c r="AE16" s="550" t="n"/>
      <c r="AF16" s="550" t="n"/>
      <c r="AG16" s="550" t="n"/>
      <c r="AH16" s="550" t="n"/>
      <c r="AI16" s="550" t="n"/>
      <c r="AJ16" s="550" t="n"/>
      <c r="AK16" s="550" t="n"/>
      <c r="AL16" s="550" t="n"/>
      <c r="AM16" s="550" t="n"/>
    </row>
    <row r="17" ht="10.9" customFormat="1" customHeight="1" s="66">
      <c r="B17" s="523">
        <f>IF(MASTER!$X10="","",MASTER!$X10)</f>
        <v/>
      </c>
      <c r="C17" s="494" t="n"/>
      <c r="D17" s="524">
        <f>IF(MASTER!$V10="","",MASTER!$V10)</f>
        <v/>
      </c>
      <c r="E17" s="494" t="n"/>
      <c r="F17" s="559">
        <f>IF(MASTER!$W10="","",MASTER!$W10)</f>
        <v/>
      </c>
      <c r="G17" s="494" t="n"/>
      <c r="H17" s="560" t="n">
        <v>24</v>
      </c>
      <c r="I17" s="494" t="n"/>
      <c r="J17" s="524">
        <f>IF(MASTER!$Y10="","",MASTER!$Y10)</f>
        <v/>
      </c>
      <c r="K17" s="471" t="n"/>
      <c r="L17" s="494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50" t="n"/>
      <c r="Z17" s="550" t="n"/>
      <c r="AA17" s="550" t="n"/>
      <c r="AB17" s="550" t="n"/>
      <c r="AC17" s="550" t="n"/>
      <c r="AD17" s="550" t="n"/>
      <c r="AE17" s="550" t="n"/>
      <c r="AF17" s="550" t="n"/>
      <c r="AG17" s="550" t="n"/>
      <c r="AH17" s="550" t="n"/>
      <c r="AI17" s="550" t="n"/>
      <c r="AJ17" s="550" t="n"/>
      <c r="AK17" s="550" t="n"/>
      <c r="AL17" s="550" t="n"/>
      <c r="AM17" s="550" t="n"/>
    </row>
    <row r="18" hidden="1" ht="10.9" customFormat="1" customHeight="1" s="66">
      <c r="B18" s="594">
        <f>IF(MASTER!$X11="","",MASTER!$X11)</f>
        <v/>
      </c>
      <c r="C18" s="494" t="n"/>
      <c r="D18" s="498">
        <f>IF(MASTER!$V11="","",MASTER!$V11)</f>
        <v/>
      </c>
      <c r="E18" s="494" t="n"/>
      <c r="F18" s="558">
        <f>IF(MASTER!$W11="","",MASTER!$W11)</f>
        <v/>
      </c>
      <c r="G18" s="494" t="n"/>
      <c r="H18" s="502" t="n">
        <v>25</v>
      </c>
      <c r="I18" s="494" t="n"/>
      <c r="J18" s="498">
        <f>IF(MASTER!$Y11="","",MASTER!$Y11)</f>
        <v/>
      </c>
      <c r="K18" s="471" t="n"/>
      <c r="L18" s="494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50" t="n"/>
      <c r="Z18" s="550" t="n"/>
      <c r="AA18" s="550" t="n"/>
      <c r="AB18" s="550" t="n"/>
      <c r="AC18" s="550" t="n"/>
      <c r="AD18" s="550" t="n"/>
      <c r="AE18" s="550" t="n"/>
      <c r="AF18" s="550" t="n"/>
      <c r="AG18" s="550" t="n"/>
      <c r="AH18" s="550" t="n"/>
      <c r="AI18" s="550" t="n"/>
      <c r="AJ18" s="550" t="n"/>
      <c r="AK18" s="550" t="n"/>
      <c r="AL18" s="550" t="n"/>
      <c r="AM18" s="550" t="n"/>
    </row>
    <row r="19" ht="10.9" customHeight="1" s="361"/>
    <row r="20" ht="10.9" customHeight="1" s="361" thickBot="1">
      <c r="E20" s="356" t="n"/>
      <c r="F20" s="356" t="n"/>
      <c r="G20" s="356" t="n"/>
      <c r="H20" s="356" t="n"/>
      <c r="I20" s="356" t="n"/>
      <c r="J20" s="356" t="n"/>
      <c r="K20" s="356" t="n"/>
      <c r="L20" s="356" t="n"/>
      <c r="M20" s="356" t="n"/>
      <c r="N20" s="356" t="n"/>
      <c r="O20" s="356" t="n"/>
      <c r="P20" s="356" t="n"/>
      <c r="Q20" s="356" t="n"/>
      <c r="R20" s="356" t="n"/>
      <c r="S20" s="356" t="n"/>
      <c r="T20" s="356" t="n"/>
      <c r="U20" s="356" t="n"/>
      <c r="V20" s="356" t="n"/>
    </row>
    <row r="21" ht="13.15" customFormat="1" customHeight="1" s="18" thickBot="1" thickTop="1">
      <c r="A21" s="16" t="n"/>
      <c r="B21" s="16" t="n"/>
      <c r="C21" s="583" t="inlineStr">
        <is>
          <t>KUZEY EKİM STOWAGE PLAN</t>
        </is>
      </c>
      <c r="D21" s="584" t="n"/>
      <c r="E21" s="503" t="inlineStr">
        <is>
          <t>SL (P)</t>
        </is>
      </c>
      <c r="F21" s="504" t="n"/>
      <c r="G21" s="576" t="inlineStr">
        <is>
          <t>8P</t>
        </is>
      </c>
      <c r="H21" s="504" t="n"/>
      <c r="I21" s="526" t="inlineStr">
        <is>
          <t>7P</t>
        </is>
      </c>
      <c r="J21" s="504" t="n"/>
      <c r="K21" s="575" t="inlineStr">
        <is>
          <t>6P</t>
        </is>
      </c>
      <c r="L21" s="504" t="n"/>
      <c r="M21" s="562" t="inlineStr">
        <is>
          <t>5P</t>
        </is>
      </c>
      <c r="N21" s="504" t="n"/>
      <c r="O21" s="563" t="inlineStr">
        <is>
          <t>4P</t>
        </is>
      </c>
      <c r="P21" s="504" t="n"/>
      <c r="Q21" s="526" t="inlineStr">
        <is>
          <t>3P</t>
        </is>
      </c>
      <c r="R21" s="504" t="n"/>
      <c r="S21" s="578" t="inlineStr">
        <is>
          <t>2P</t>
        </is>
      </c>
      <c r="T21" s="504" t="n"/>
      <c r="U21" s="527" t="inlineStr">
        <is>
          <t>1P</t>
        </is>
      </c>
      <c r="V21" s="52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85" t="n"/>
      <c r="D22" s="586" t="n"/>
      <c r="E22" s="571" t="inlineStr">
        <is>
          <t>ANNEX I WASHING WATER</t>
        </is>
      </c>
      <c r="F22" s="431" t="n"/>
      <c r="G22" s="572">
        <f>MASTER!$D$17</f>
        <v/>
      </c>
      <c r="H22" s="410" t="n"/>
      <c r="I22" s="495">
        <f>MASTER!$D$15</f>
        <v/>
      </c>
      <c r="J22" s="410" t="n"/>
      <c r="K22" s="511">
        <f>MASTER!$D$13</f>
        <v/>
      </c>
      <c r="L22" s="386" t="n"/>
      <c r="M22" s="512">
        <f>MASTER!$D$11</f>
        <v/>
      </c>
      <c r="N22" s="431" t="n"/>
      <c r="O22" s="525">
        <f>MASTER!$D$9</f>
        <v/>
      </c>
      <c r="P22" s="410" t="n"/>
      <c r="Q22" s="495">
        <f>MASTER!$D$7</f>
        <v/>
      </c>
      <c r="R22" s="410" t="n"/>
      <c r="S22" s="573">
        <f>MASTER!$D$5</f>
        <v/>
      </c>
      <c r="T22" s="386" t="n"/>
      <c r="U22" s="574">
        <f>MASTER!$D$3</f>
        <v/>
      </c>
      <c r="V22" s="508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85" t="n"/>
      <c r="D23" s="586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85" t="n"/>
      <c r="D24" s="586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85" t="n"/>
      <c r="D25" s="586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85" t="n"/>
      <c r="D26" s="586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85" t="n"/>
      <c r="D27" s="586" t="n"/>
      <c r="E27" s="591" t="inlineStr">
        <is>
          <t>SL (P)</t>
        </is>
      </c>
      <c r="F27" s="431" t="n"/>
      <c r="G27" s="531">
        <f>MASTER!$C$17</f>
        <v/>
      </c>
      <c r="H27" s="431" t="n"/>
      <c r="I27" s="532">
        <f>MASTER!$C$15</f>
        <v/>
      </c>
      <c r="J27" s="431" t="n"/>
      <c r="K27" s="535">
        <f>MASTER!$C$13</f>
        <v/>
      </c>
      <c r="L27" s="431" t="n"/>
      <c r="M27" s="536">
        <f>MASTER!$C$11</f>
        <v/>
      </c>
      <c r="N27" s="431" t="n"/>
      <c r="O27" s="566">
        <f>MASTER!$C$9</f>
        <v/>
      </c>
      <c r="P27" s="431" t="n"/>
      <c r="Q27" s="532">
        <f>MASTER!$C$7</f>
        <v/>
      </c>
      <c r="R27" s="431" t="n"/>
      <c r="S27" s="533">
        <f>MASTER!$C$5</f>
        <v/>
      </c>
      <c r="T27" s="431" t="n"/>
      <c r="U27" s="507">
        <f>MASTER!$C$3</f>
        <v/>
      </c>
      <c r="V27" s="508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85" t="n"/>
      <c r="D28" s="586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85" t="n"/>
      <c r="D29" s="586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85" t="n"/>
      <c r="D30" s="586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85" t="n"/>
      <c r="D31" s="586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85" t="n"/>
      <c r="D32" s="586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85" t="n"/>
      <c r="D33" s="586" t="n"/>
      <c r="E33" s="530">
        <f>MASTER!$C$20</f>
        <v/>
      </c>
      <c r="F33" s="431" t="n"/>
      <c r="G33" s="564">
        <f>MASTER!$C$18</f>
        <v/>
      </c>
      <c r="H33" s="431" t="n"/>
      <c r="I33" s="532">
        <f>MASTER!$C$16</f>
        <v/>
      </c>
      <c r="J33" s="431" t="n"/>
      <c r="K33" s="535">
        <f>MASTER!$C$14</f>
        <v/>
      </c>
      <c r="L33" s="431" t="n"/>
      <c r="M33" s="536">
        <f>MASTER!$C$12</f>
        <v/>
      </c>
      <c r="N33" s="431" t="n"/>
      <c r="O33" s="533">
        <f>MASTER!$C$10</f>
        <v/>
      </c>
      <c r="P33" s="431" t="n"/>
      <c r="Q33" s="532">
        <f>MASTER!$C$8</f>
        <v/>
      </c>
      <c r="R33" s="431" t="n"/>
      <c r="S33" s="537">
        <f>MASTER!$C$6</f>
        <v/>
      </c>
      <c r="T33" s="431" t="n"/>
      <c r="U33" s="565">
        <f>MASTER!$C$4</f>
        <v/>
      </c>
      <c r="V33" s="508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85" t="n"/>
      <c r="D34" s="586" t="n"/>
      <c r="E34" s="588">
        <f>MASTER!$D$20</f>
        <v/>
      </c>
      <c r="F34" s="431" t="n"/>
      <c r="G34" s="590">
        <f>MASTER!$D$18</f>
        <v/>
      </c>
      <c r="H34" s="514" t="n"/>
      <c r="I34" s="513">
        <f>MASTER!$D$16</f>
        <v/>
      </c>
      <c r="J34" s="514" t="n"/>
      <c r="K34" s="529">
        <f>MASTER!$D$14</f>
        <v/>
      </c>
      <c r="L34" s="431" t="n"/>
      <c r="M34" s="512">
        <f>MASTER!$D$12</f>
        <v/>
      </c>
      <c r="N34" s="431" t="n"/>
      <c r="O34" s="518">
        <f>MASTER!$D$10</f>
        <v/>
      </c>
      <c r="P34" s="514" t="n"/>
      <c r="Q34" s="513">
        <f>MASTER!$D$8</f>
        <v/>
      </c>
      <c r="R34" s="514" t="n"/>
      <c r="S34" s="516">
        <f>MASTER!$D$6</f>
        <v/>
      </c>
      <c r="T34" s="431" t="n"/>
      <c r="U34" s="517">
        <f>MASTER!$D$4</f>
        <v/>
      </c>
      <c r="V34" s="508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85" t="n"/>
      <c r="D35" s="586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85" t="n"/>
      <c r="D36" s="586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85" t="n"/>
      <c r="D37" s="586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85" t="n"/>
      <c r="D38" s="586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5" t="n"/>
      <c r="D39" s="587" t="n"/>
      <c r="E39" s="521" t="inlineStr">
        <is>
          <t>SL (S)</t>
        </is>
      </c>
      <c r="F39" s="497" t="n"/>
      <c r="G39" s="522" t="inlineStr">
        <is>
          <t>8S</t>
        </is>
      </c>
      <c r="H39" s="497" t="n"/>
      <c r="I39" s="496" t="inlineStr">
        <is>
          <t>7S</t>
        </is>
      </c>
      <c r="J39" s="497" t="n"/>
      <c r="K39" s="499" t="inlineStr">
        <is>
          <t>6S</t>
        </is>
      </c>
      <c r="L39" s="497" t="n"/>
      <c r="M39" s="519" t="inlineStr">
        <is>
          <t>5S</t>
        </is>
      </c>
      <c r="N39" s="497" t="n"/>
      <c r="O39" s="520" t="inlineStr">
        <is>
          <t>4S</t>
        </is>
      </c>
      <c r="P39" s="497" t="n"/>
      <c r="Q39" s="496" t="inlineStr">
        <is>
          <t>3S</t>
        </is>
      </c>
      <c r="R39" s="497" t="n"/>
      <c r="S39" s="595" t="inlineStr">
        <is>
          <t>2S</t>
        </is>
      </c>
      <c r="T39" s="497" t="n"/>
      <c r="U39" s="500" t="inlineStr">
        <is>
          <t>1S</t>
        </is>
      </c>
      <c r="V39" s="501" t="n"/>
      <c r="W39" s="24" t="n"/>
      <c r="X39" s="19" t="n"/>
    </row>
    <row r="40" ht="14.45" customHeight="1" s="361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58" t="n"/>
      <c r="Z40" s="458" t="n"/>
      <c r="AA40" s="458" t="n"/>
      <c r="AB40" s="458" t="n"/>
      <c r="AC40" s="458" t="n"/>
      <c r="AD40" s="458" t="n"/>
      <c r="AE40" s="458" t="n"/>
      <c r="AF40" s="458" t="n"/>
      <c r="AG40" s="458" t="n"/>
      <c r="AH40" s="458" t="n"/>
      <c r="AI40" s="458" t="n"/>
      <c r="AJ40" s="458" t="n"/>
      <c r="AK40" s="458" t="n"/>
      <c r="AL40" s="458" t="n"/>
      <c r="AM40" s="458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58"/>
    <row r="52" customFormat="1" s="458"/>
    <row r="53" customFormat="1" s="458"/>
    <row r="54" customFormat="1" s="458"/>
    <row r="55" customFormat="1" s="458"/>
    <row r="56" customFormat="1" s="458"/>
    <row r="57" customFormat="1" s="458"/>
    <row r="58" customFormat="1" s="458"/>
    <row r="59" customFormat="1" s="458"/>
    <row r="60" customFormat="1" s="458"/>
    <row r="61" customFormat="1" s="458"/>
    <row r="62" customFormat="1" s="458"/>
    <row r="63" customFormat="1" s="458"/>
    <row r="64" customFormat="1" s="458"/>
    <row r="65" customFormat="1" s="458"/>
    <row r="66" customFormat="1" s="458"/>
    <row r="67" customFormat="1" s="458"/>
    <row r="68" customFormat="1" s="458"/>
    <row r="69" customFormat="1" s="458"/>
    <row r="70" customFormat="1" s="458"/>
    <row r="71" customFormat="1" s="458"/>
    <row r="72" customFormat="1" s="458"/>
    <row r="73" customFormat="1" s="458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361" min="1" max="2"/>
    <col width="2.375" customWidth="1" style="361" min="3" max="3"/>
    <col width="25.625" customWidth="1" style="361" min="4" max="5"/>
    <col width="2.125" customWidth="1" style="361" min="6" max="6"/>
    <col width="25.625" customWidth="1" style="361" min="7" max="8"/>
    <col width="2.375" customWidth="1" style="361" min="9" max="9"/>
    <col width="25.625" customWidth="1" style="361" min="10" max="11"/>
  </cols>
  <sheetData>
    <row r="1">
      <c r="A1" s="596">
        <f>MASTER!X3 &amp; " " &amp; MASTER!V3</f>
        <v/>
      </c>
      <c r="B1" s="375" t="n"/>
      <c r="D1" s="596">
        <f>MASTER!X4 &amp; " " &amp; MASTER!V4</f>
        <v/>
      </c>
      <c r="E1" s="375" t="n"/>
      <c r="G1" s="596">
        <f>MASTER!X5 &amp; " " &amp; MASTER!V5</f>
        <v/>
      </c>
      <c r="H1" s="375" t="n"/>
      <c r="J1" s="596">
        <f>MASTER!X6 &amp; " " &amp; MASTER!V6</f>
        <v/>
      </c>
      <c r="K1" s="375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361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361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361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361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361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96">
        <f>MASTER!X7 &amp; " " &amp; MASTER!V7</f>
        <v/>
      </c>
      <c r="B12" s="375" t="n"/>
      <c r="D12" s="596">
        <f>MASTER!X8 &amp; " " &amp; MASTER!V8</f>
        <v/>
      </c>
      <c r="E12" s="375" t="n"/>
      <c r="G12" s="596">
        <f>MASTER!X9 &amp; " " &amp; MASTER!V9</f>
        <v/>
      </c>
      <c r="H12" s="375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361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361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361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361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361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97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9" min="1" max="1"/>
    <col width="3.25" customWidth="1" style="599" min="2" max="2"/>
    <col width="5.25" customWidth="1" style="599" min="3" max="3"/>
    <col width="5" customWidth="1" style="599" min="4" max="4"/>
    <col width="6.25" customWidth="1" style="599" min="5" max="5"/>
    <col width="9" customWidth="1" style="599" min="6" max="6"/>
    <col width="3.125" customWidth="1" style="599" min="7" max="7"/>
    <col width="5.375" customWidth="1" style="599" min="8" max="8"/>
    <col width="5" customWidth="1" style="599" min="9" max="9"/>
    <col width="6" customWidth="1" style="599" min="10" max="10"/>
    <col width="9" customWidth="1" style="599" min="11" max="11"/>
    <col width="2.75" customWidth="1" style="599" min="12" max="12"/>
    <col width="5" customWidth="1" style="599" min="13" max="13"/>
    <col width="5.875" customWidth="1" style="599" min="14" max="14"/>
    <col width="3.625" customWidth="1" style="599" min="15" max="15"/>
    <col width="8" customWidth="1" style="599" min="16" max="16"/>
    <col hidden="1" width="2.875" customWidth="1" style="599" min="17" max="17"/>
    <col width="9" customWidth="1" style="599" min="18" max="24"/>
    <col width="9" customWidth="1" style="599" min="25" max="16384"/>
  </cols>
  <sheetData>
    <row r="1">
      <c r="Q1" s="133" t="n"/>
    </row>
    <row r="2">
      <c r="B2" s="602" t="inlineStr">
        <is>
          <t>PARCEL</t>
        </is>
      </c>
      <c r="C2" s="603" t="n"/>
      <c r="D2" s="375" t="n"/>
      <c r="E2" s="132" t="inlineStr">
        <is>
          <t>GRADE</t>
        </is>
      </c>
      <c r="G2" s="602" t="inlineStr">
        <is>
          <t>PARCEL</t>
        </is>
      </c>
      <c r="H2" s="603" t="n"/>
      <c r="I2" s="375" t="n"/>
      <c r="J2" s="132" t="inlineStr">
        <is>
          <t>GRADE</t>
        </is>
      </c>
      <c r="L2" s="598" t="n"/>
      <c r="O2" s="131" t="n"/>
      <c r="Q2" s="133" t="inlineStr">
        <is>
          <t>ULSD</t>
        </is>
      </c>
    </row>
    <row r="3">
      <c r="B3" s="601" t="inlineStr">
        <is>
          <t>SOCAR</t>
        </is>
      </c>
      <c r="C3" s="471" t="n"/>
      <c r="D3" s="472" t="n"/>
      <c r="E3" s="130">
        <f>IF(Q4=1,"ULSD","JET-A1")</f>
        <v/>
      </c>
      <c r="G3" s="601" t="inlineStr">
        <is>
          <t>SHELL</t>
        </is>
      </c>
      <c r="H3" s="471" t="n"/>
      <c r="I3" s="472" t="n"/>
      <c r="J3" s="130">
        <f>IF(Q5=1,"ULSD","JET-A1")</f>
        <v/>
      </c>
      <c r="L3" s="602" t="inlineStr">
        <is>
          <t>TOPLAM JET-A1</t>
        </is>
      </c>
      <c r="M3" s="603" t="n"/>
      <c r="N3" s="603" t="n"/>
      <c r="O3" s="375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604" t="n">
        <v>5214.782</v>
      </c>
      <c r="D4" s="471" t="n"/>
      <c r="E4" s="126" t="inlineStr">
        <is>
          <t>MT</t>
        </is>
      </c>
      <c r="G4" s="129" t="inlineStr">
        <is>
          <t>A:</t>
        </is>
      </c>
      <c r="H4" s="604" t="n">
        <v>6781</v>
      </c>
      <c r="I4" s="471" t="n"/>
      <c r="J4" s="126" t="inlineStr">
        <is>
          <t>MT</t>
        </is>
      </c>
      <c r="L4" s="127" t="inlineStr">
        <is>
          <t>A:</t>
        </is>
      </c>
      <c r="M4" s="605">
        <f>IF(E3="JET-A1",C4,"0")+IF(J3="JET-A1",H4,"0")+IF(E11="JET-A1",C12,"0")+IF(J11="JET-A1",H12,"0")</f>
        <v/>
      </c>
      <c r="N4" s="603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600" t="n">
        <v>5201.337</v>
      </c>
      <c r="D5" s="464" t="n"/>
      <c r="E5" s="122" t="inlineStr">
        <is>
          <t>MT</t>
        </is>
      </c>
      <c r="G5" s="128" t="inlineStr">
        <is>
          <t>B:</t>
        </is>
      </c>
      <c r="H5" s="600" t="n">
        <v>6800</v>
      </c>
      <c r="I5" s="464" t="n"/>
      <c r="J5" s="122" t="inlineStr">
        <is>
          <t>MT</t>
        </is>
      </c>
      <c r="L5" s="125" t="inlineStr">
        <is>
          <t>B:</t>
        </is>
      </c>
      <c r="M5" s="607">
        <f>IF(E3="JET-A1",C5,"0")+IF(J3="JET-A1",H5,"0")+IF(E11="JET-A1",C13,"0")+IF(J11="JET-A1",H13,"0")</f>
        <v/>
      </c>
      <c r="N5" s="398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606">
        <f>(C5-C4)</f>
        <v/>
      </c>
      <c r="D6" s="398" t="n"/>
      <c r="E6" s="122" t="inlineStr">
        <is>
          <t>MT</t>
        </is>
      </c>
      <c r="G6" s="125" t="inlineStr">
        <is>
          <t>C:</t>
        </is>
      </c>
      <c r="H6" s="606">
        <f>(H5-H4)</f>
        <v/>
      </c>
      <c r="I6" s="398" t="n"/>
      <c r="J6" s="122" t="inlineStr">
        <is>
          <t>MT</t>
        </is>
      </c>
      <c r="L6" s="125" t="inlineStr">
        <is>
          <t>C:</t>
        </is>
      </c>
      <c r="M6" s="606">
        <f>(M5-M4)</f>
        <v/>
      </c>
      <c r="N6" s="398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602" t="inlineStr">
        <is>
          <t>PARCEL</t>
        </is>
      </c>
      <c r="C10" s="603" t="n"/>
      <c r="D10" s="375" t="n"/>
      <c r="E10" s="132" t="inlineStr">
        <is>
          <t>GRADE</t>
        </is>
      </c>
      <c r="G10" s="602" t="inlineStr">
        <is>
          <t>PARCEL</t>
        </is>
      </c>
      <c r="H10" s="603" t="n"/>
      <c r="I10" s="375" t="n"/>
      <c r="J10" s="132" t="inlineStr">
        <is>
          <t>GRADE</t>
        </is>
      </c>
      <c r="L10" s="598" t="n"/>
      <c r="O10" s="131" t="n"/>
    </row>
    <row r="11">
      <c r="B11" s="601" t="inlineStr">
        <is>
          <t>CEKISAN GUZEL</t>
        </is>
      </c>
      <c r="C11" s="471" t="n"/>
      <c r="D11" s="472" t="n"/>
      <c r="E11" s="130">
        <f>IF(Q6=1,"ULSD","JET-A1")</f>
        <v/>
      </c>
      <c r="G11" s="601" t="inlineStr">
        <is>
          <t>AKPET/STAR/OPET</t>
        </is>
      </c>
      <c r="H11" s="471" t="n"/>
      <c r="I11" s="472" t="n"/>
      <c r="J11" s="130">
        <f>IF(Q7=1,"ULSD","JET-A1")</f>
        <v/>
      </c>
      <c r="L11" s="602" t="inlineStr">
        <is>
          <t>TOPLAM ULSD</t>
        </is>
      </c>
      <c r="M11" s="603" t="n"/>
      <c r="N11" s="603" t="n"/>
      <c r="O11" s="375" t="n"/>
    </row>
    <row r="12">
      <c r="B12" s="129" t="inlineStr">
        <is>
          <t>A:</t>
        </is>
      </c>
      <c r="C12" s="604" t="n">
        <v>9229.011</v>
      </c>
      <c r="D12" s="471" t="n"/>
      <c r="E12" s="126" t="inlineStr">
        <is>
          <t>MT</t>
        </is>
      </c>
      <c r="G12" s="129" t="inlineStr">
        <is>
          <t>A:</t>
        </is>
      </c>
      <c r="H12" s="604" t="n">
        <v>4492.635</v>
      </c>
      <c r="I12" s="471" t="n"/>
      <c r="J12" s="126" t="inlineStr">
        <is>
          <t>MT</t>
        </is>
      </c>
      <c r="L12" s="127" t="inlineStr">
        <is>
          <t>A:</t>
        </is>
      </c>
      <c r="M12" s="605">
        <f>IF(E3="ULSD",C4,"0")+IF(J3="ULSD",H4,"0")+IF(E11="ULSD",C12,"0")+IF(J11="ULSD",H12,"0")</f>
        <v/>
      </c>
      <c r="N12" s="603" t="n"/>
      <c r="O12" s="126" t="inlineStr">
        <is>
          <t>MT</t>
        </is>
      </c>
    </row>
    <row r="13">
      <c r="B13" s="128" t="inlineStr">
        <is>
          <t>B:</t>
        </is>
      </c>
      <c r="C13" s="600" t="n">
        <v>9204.736999999999</v>
      </c>
      <c r="D13" s="464" t="n"/>
      <c r="E13" s="122" t="inlineStr">
        <is>
          <t>MT</t>
        </is>
      </c>
      <c r="G13" s="128" t="inlineStr">
        <is>
          <t>B:</t>
        </is>
      </c>
      <c r="H13" s="600" t="n">
        <v>4484.701</v>
      </c>
      <c r="I13" s="464" t="n"/>
      <c r="J13" s="122" t="inlineStr">
        <is>
          <t>MT</t>
        </is>
      </c>
      <c r="L13" s="125" t="inlineStr">
        <is>
          <t>B:</t>
        </is>
      </c>
      <c r="M13" s="607">
        <f>IF(E3="ULSD",C5,"0")+IF(J3="ULSD",H5,"0")+IF(E11="ULSD",C13,"0")+IF(J11="ULSD",H13,"0")</f>
        <v/>
      </c>
      <c r="N13" s="398" t="n"/>
      <c r="O13" s="122" t="inlineStr">
        <is>
          <t>MT</t>
        </is>
      </c>
    </row>
    <row r="14">
      <c r="B14" s="125" t="inlineStr">
        <is>
          <t>C:</t>
        </is>
      </c>
      <c r="C14" s="606">
        <f>(C13-C12)</f>
        <v/>
      </c>
      <c r="D14" s="398" t="n"/>
      <c r="E14" s="122" t="inlineStr">
        <is>
          <t>MT</t>
        </is>
      </c>
      <c r="G14" s="125" t="inlineStr">
        <is>
          <t>C:</t>
        </is>
      </c>
      <c r="H14" s="606">
        <f>(H13-H12)</f>
        <v/>
      </c>
      <c r="I14" s="398" t="n"/>
      <c r="J14" s="122" t="inlineStr">
        <is>
          <t>MT</t>
        </is>
      </c>
      <c r="L14" s="125" t="inlineStr">
        <is>
          <t>C:</t>
        </is>
      </c>
      <c r="M14" s="606">
        <f>(M13-M12)</f>
        <v/>
      </c>
      <c r="N14" s="398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602" t="inlineStr">
        <is>
          <t xml:space="preserve">TOPLAM </t>
        </is>
      </c>
      <c r="M17" s="603" t="n"/>
      <c r="N17" s="603" t="n"/>
      <c r="O17" s="375" t="n"/>
    </row>
    <row r="18">
      <c r="L18" s="127" t="inlineStr">
        <is>
          <t>A:</t>
        </is>
      </c>
      <c r="M18" s="605">
        <f>C4+H4+C12+H12</f>
        <v/>
      </c>
      <c r="N18" s="603" t="n"/>
      <c r="O18" s="126" t="inlineStr">
        <is>
          <t>MT</t>
        </is>
      </c>
    </row>
    <row r="19">
      <c r="L19" s="125" t="inlineStr">
        <is>
          <t>B:</t>
        </is>
      </c>
      <c r="M19" s="607">
        <f>C5+H5+C13+H13</f>
        <v/>
      </c>
      <c r="N19" s="398" t="n"/>
      <c r="O19" s="122" t="inlineStr">
        <is>
          <t>MT</t>
        </is>
      </c>
    </row>
    <row r="20">
      <c r="L20" s="125" t="inlineStr">
        <is>
          <t>C:</t>
        </is>
      </c>
      <c r="M20" s="606">
        <f>(M19-M18)</f>
        <v/>
      </c>
      <c r="N20" s="398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361">
      <c r="B3" s="106" t="inlineStr">
        <is>
          <t>TEMP</t>
        </is>
      </c>
      <c r="C3" s="609" t="inlineStr">
        <is>
          <t>FACT</t>
        </is>
      </c>
      <c r="D3" s="375" t="n"/>
    </row>
    <row r="4">
      <c r="B4" s="107" t="n">
        <v>0</v>
      </c>
      <c r="C4" s="608" t="n">
        <v>0.99934</v>
      </c>
      <c r="D4" s="375" t="n"/>
    </row>
    <row r="5">
      <c r="B5" s="107" t="n">
        <v>1</v>
      </c>
      <c r="C5" s="608" t="n">
        <v>0.999373</v>
      </c>
      <c r="D5" s="375" t="n"/>
    </row>
    <row r="6">
      <c r="B6" s="107" t="n">
        <v>2</v>
      </c>
      <c r="C6" s="608" t="n">
        <v>0.999406</v>
      </c>
      <c r="D6" s="375" t="n"/>
    </row>
    <row r="7">
      <c r="B7" s="107" t="n">
        <v>3</v>
      </c>
      <c r="C7" s="608" t="n">
        <v>0.999439</v>
      </c>
      <c r="D7" s="375" t="n"/>
    </row>
    <row r="8">
      <c r="B8" s="107" t="n">
        <v>4</v>
      </c>
      <c r="C8" s="608" t="n">
        <v>0.999472</v>
      </c>
      <c r="D8" s="375" t="n"/>
    </row>
    <row r="9">
      <c r="B9" s="107" t="n">
        <v>5</v>
      </c>
      <c r="C9" s="608" t="n">
        <v>0.999505</v>
      </c>
      <c r="D9" s="375" t="n"/>
    </row>
    <row r="10">
      <c r="B10" s="107" t="n">
        <v>6</v>
      </c>
      <c r="C10" s="608" t="n">
        <v>0.999538</v>
      </c>
      <c r="D10" s="375" t="n"/>
    </row>
    <row r="11">
      <c r="B11" s="107" t="n">
        <v>7</v>
      </c>
      <c r="C11" s="608" t="n">
        <v>0.999571</v>
      </c>
      <c r="D11" s="375" t="n"/>
    </row>
    <row r="12">
      <c r="B12" s="107" t="n">
        <v>8</v>
      </c>
      <c r="C12" s="608" t="n">
        <v>0.999604</v>
      </c>
      <c r="D12" s="375" t="n"/>
    </row>
    <row r="13">
      <c r="B13" s="107" t="n">
        <v>9</v>
      </c>
      <c r="C13" s="608" t="n">
        <v>0.999637</v>
      </c>
      <c r="D13" s="375" t="n"/>
    </row>
    <row r="14">
      <c r="B14" s="107" t="n">
        <v>10</v>
      </c>
      <c r="C14" s="608" t="n">
        <v>0.9996699999999999</v>
      </c>
      <c r="D14" s="375" t="n"/>
    </row>
    <row r="15">
      <c r="B15" s="107" t="n">
        <v>11</v>
      </c>
      <c r="C15" s="608" t="n">
        <v>0.999703</v>
      </c>
      <c r="D15" s="375" t="n"/>
    </row>
    <row r="16">
      <c r="B16" s="107" t="n">
        <v>12</v>
      </c>
      <c r="C16" s="608" t="n">
        <v>0.999736</v>
      </c>
      <c r="D16" s="375" t="n"/>
    </row>
    <row r="17">
      <c r="B17" s="107" t="n">
        <v>13</v>
      </c>
      <c r="C17" s="608" t="n">
        <v>0.999769</v>
      </c>
      <c r="D17" s="375" t="n"/>
    </row>
    <row r="18">
      <c r="B18" s="107" t="n">
        <v>14</v>
      </c>
      <c r="C18" s="608" t="inlineStr">
        <is>
          <t>0,999S02</t>
        </is>
      </c>
      <c r="D18" s="375" t="n"/>
    </row>
    <row r="19">
      <c r="B19" s="107" t="n">
        <v>15</v>
      </c>
      <c r="C19" s="608" t="n">
        <v>0.999835</v>
      </c>
      <c r="D19" s="375" t="n"/>
    </row>
    <row r="20">
      <c r="B20" s="107" t="n">
        <v>16</v>
      </c>
      <c r="C20" s="608" t="n">
        <v>0.999868</v>
      </c>
      <c r="D20" s="375" t="n"/>
    </row>
    <row r="21">
      <c r="B21" s="107" t="n">
        <v>17</v>
      </c>
      <c r="C21" s="608" t="n">
        <v>0.999901</v>
      </c>
      <c r="D21" s="375" t="n"/>
    </row>
    <row r="22">
      <c r="B22" s="107" t="n">
        <v>18</v>
      </c>
      <c r="C22" s="608" t="n">
        <v>0.999934</v>
      </c>
      <c r="D22" s="375" t="n"/>
    </row>
    <row r="23">
      <c r="B23" s="107" t="n">
        <v>19</v>
      </c>
      <c r="C23" s="608" t="n">
        <v>0.9999670000000001</v>
      </c>
      <c r="D23" s="375" t="n"/>
    </row>
    <row r="24">
      <c r="B24" s="107" t="n">
        <v>20</v>
      </c>
      <c r="C24" s="608" t="n">
        <v>1</v>
      </c>
      <c r="D24" s="375" t="n"/>
    </row>
    <row r="25">
      <c r="B25" s="107" t="n">
        <v>21</v>
      </c>
      <c r="C25" s="608" t="n">
        <v>1.000033</v>
      </c>
      <c r="D25" s="375" t="n"/>
    </row>
    <row r="26">
      <c r="B26" s="107" t="n">
        <v>22</v>
      </c>
      <c r="C26" s="608" t="n">
        <v>1.000066</v>
      </c>
      <c r="D26" s="375" t="n"/>
    </row>
    <row r="27">
      <c r="B27" s="107" t="n">
        <v>23</v>
      </c>
      <c r="C27" s="608" t="n">
        <v>1.000099</v>
      </c>
      <c r="D27" s="375" t="n"/>
    </row>
    <row r="28">
      <c r="B28" s="107" t="n">
        <v>24</v>
      </c>
      <c r="C28" s="608" t="n">
        <v>1.000132</v>
      </c>
      <c r="D28" s="375" t="n"/>
    </row>
    <row r="29">
      <c r="B29" s="107" t="n">
        <v>25</v>
      </c>
      <c r="C29" s="608" t="n">
        <v>1.000165</v>
      </c>
      <c r="D29" s="375" t="n"/>
    </row>
    <row r="30">
      <c r="B30" s="107" t="n">
        <v>26</v>
      </c>
      <c r="C30" s="608" t="n">
        <v>1.000198</v>
      </c>
      <c r="D30" s="375" t="n"/>
    </row>
    <row r="31">
      <c r="B31" s="107" t="n">
        <v>27</v>
      </c>
      <c r="C31" s="608" t="n">
        <v>1.000231</v>
      </c>
      <c r="D31" s="375" t="n"/>
    </row>
    <row r="32">
      <c r="B32" s="107" t="n">
        <v>28</v>
      </c>
      <c r="C32" s="608" t="n">
        <v>1.000264</v>
      </c>
      <c r="D32" s="375" t="n"/>
    </row>
    <row r="33">
      <c r="B33" s="107" t="n">
        <v>29</v>
      </c>
      <c r="C33" s="608" t="n">
        <v>1.000297</v>
      </c>
      <c r="D33" s="375" t="n"/>
    </row>
    <row r="34">
      <c r="B34" s="107" t="n">
        <v>30</v>
      </c>
      <c r="C34" s="608" t="n">
        <v>1.00033</v>
      </c>
      <c r="D34" s="375" t="n"/>
    </row>
    <row r="35">
      <c r="B35" s="107" t="n">
        <v>31</v>
      </c>
      <c r="C35" s="608" t="n">
        <v>1.000363</v>
      </c>
      <c r="D35" s="375" t="n"/>
    </row>
    <row r="36">
      <c r="B36" s="107" t="n">
        <v>32</v>
      </c>
      <c r="C36" s="608" t="n">
        <v>1.000396</v>
      </c>
      <c r="D36" s="375" t="n"/>
    </row>
    <row r="37">
      <c r="B37" s="107" t="n">
        <v>33</v>
      </c>
      <c r="C37" s="608" t="n">
        <v>1.000429</v>
      </c>
      <c r="D37" s="375" t="n"/>
    </row>
    <row r="38">
      <c r="B38" s="107" t="n">
        <v>34</v>
      </c>
      <c r="C38" s="608" t="n">
        <v>1.000462</v>
      </c>
      <c r="D38" s="375" t="n"/>
    </row>
    <row r="39">
      <c r="B39" s="107" t="n">
        <v>35</v>
      </c>
      <c r="C39" s="608" t="n">
        <v>1.000495</v>
      </c>
      <c r="D39" s="375" t="n"/>
    </row>
    <row r="40">
      <c r="B40" s="107" t="n">
        <v>36</v>
      </c>
      <c r="C40" s="608" t="n">
        <v>1.000528</v>
      </c>
      <c r="D40" s="375" t="n"/>
    </row>
    <row r="41">
      <c r="B41" s="107" t="n">
        <v>37</v>
      </c>
      <c r="C41" s="608" t="n">
        <v>1.000561</v>
      </c>
      <c r="D41" s="375" t="n"/>
    </row>
    <row r="42">
      <c r="B42" s="107" t="n">
        <v>38</v>
      </c>
      <c r="C42" s="608" t="n">
        <v>1.000594</v>
      </c>
      <c r="D42" s="375" t="n"/>
    </row>
    <row r="43">
      <c r="B43" s="107" t="n">
        <v>39</v>
      </c>
      <c r="C43" s="608" t="n">
        <v>1.000627</v>
      </c>
      <c r="D43" s="375" t="n"/>
    </row>
    <row r="44">
      <c r="B44" s="107" t="n">
        <v>40</v>
      </c>
      <c r="C44" s="608" t="n">
        <v>1.00066</v>
      </c>
      <c r="D44" s="375" t="n"/>
    </row>
    <row r="45">
      <c r="B45" s="107" t="n">
        <v>41</v>
      </c>
      <c r="C45" s="608" t="n">
        <v>1.000693</v>
      </c>
      <c r="D45" s="375" t="n"/>
    </row>
    <row r="46">
      <c r="B46" s="107" t="n">
        <v>42</v>
      </c>
      <c r="C46" s="608" t="n">
        <v>1.000726</v>
      </c>
      <c r="D46" s="375" t="n"/>
    </row>
    <row r="47">
      <c r="B47" s="107" t="n">
        <v>43</v>
      </c>
      <c r="C47" s="608" t="n">
        <v>1.000759</v>
      </c>
      <c r="D47" s="375" t="n"/>
    </row>
    <row r="48">
      <c r="B48" s="107" t="n">
        <v>44</v>
      </c>
      <c r="C48" s="608" t="n">
        <v>1.000792</v>
      </c>
      <c r="D48" s="375" t="n"/>
    </row>
    <row r="49">
      <c r="B49" s="107" t="n">
        <v>45</v>
      </c>
      <c r="C49" s="608" t="n">
        <v>1.000825</v>
      </c>
      <c r="D49" s="375" t="n"/>
    </row>
    <row r="50">
      <c r="B50" s="107" t="n">
        <v>46</v>
      </c>
      <c r="C50" s="608" t="n">
        <v>1.000858</v>
      </c>
      <c r="D50" s="375" t="n"/>
    </row>
    <row r="51">
      <c r="B51" s="107" t="n">
        <v>47</v>
      </c>
      <c r="C51" s="608" t="n">
        <v>1.000891</v>
      </c>
      <c r="D51" s="375" t="n"/>
    </row>
    <row r="52">
      <c r="B52" s="107" t="n">
        <v>48</v>
      </c>
      <c r="C52" s="608" t="n">
        <v>1.000924</v>
      </c>
      <c r="D52" s="375" t="n"/>
    </row>
    <row r="53">
      <c r="B53" s="107" t="n">
        <v>49</v>
      </c>
      <c r="C53" s="608" t="n">
        <v>1.000957</v>
      </c>
      <c r="D53" s="375" t="n"/>
    </row>
    <row r="54">
      <c r="B54" s="107" t="n">
        <v>50</v>
      </c>
      <c r="C54" s="608" t="n">
        <v>1.00099</v>
      </c>
      <c r="D54" s="375" t="n"/>
    </row>
    <row r="55">
      <c r="B55" s="107" t="n">
        <v>51</v>
      </c>
      <c r="C55" s="608" t="n">
        <v>1.001023</v>
      </c>
      <c r="D55" s="375" t="n"/>
    </row>
    <row r="56">
      <c r="B56" s="107" t="n">
        <v>52</v>
      </c>
      <c r="C56" s="608" t="n">
        <v>1.001056</v>
      </c>
      <c r="D56" s="375" t="n"/>
    </row>
    <row r="57">
      <c r="B57" s="107" t="n">
        <v>53</v>
      </c>
      <c r="C57" s="608" t="n">
        <v>1.001089</v>
      </c>
      <c r="D57" s="375" t="n"/>
    </row>
    <row r="58">
      <c r="B58" s="107" t="n">
        <v>54</v>
      </c>
      <c r="C58" s="608" t="n">
        <v>1.001122</v>
      </c>
      <c r="D58" s="375" t="n"/>
    </row>
    <row r="59">
      <c r="B59" s="107" t="n">
        <v>55</v>
      </c>
      <c r="C59" s="608" t="n">
        <v>1.001155</v>
      </c>
      <c r="D59" s="375" t="n"/>
    </row>
    <row r="60">
      <c r="B60" s="107" t="n">
        <v>56</v>
      </c>
      <c r="C60" s="608" t="n">
        <v>1.001188</v>
      </c>
      <c r="D60" s="375" t="n"/>
    </row>
    <row r="61">
      <c r="B61" s="107" t="n">
        <v>57</v>
      </c>
      <c r="C61" s="608" t="n">
        <v>1.001221</v>
      </c>
      <c r="D61" s="375" t="n"/>
    </row>
    <row r="62">
      <c r="B62" s="107" t="n">
        <v>58</v>
      </c>
      <c r="C62" s="608" t="n">
        <v>1.001255</v>
      </c>
      <c r="D62" s="375" t="n"/>
    </row>
    <row r="63">
      <c r="B63" s="107" t="n">
        <v>59</v>
      </c>
      <c r="C63" s="608" t="n">
        <v>1.001288</v>
      </c>
      <c r="D63" s="375" t="n"/>
    </row>
    <row r="64">
      <c r="B64" s="107" t="n">
        <v>60</v>
      </c>
      <c r="C64" s="608" t="n">
        <v>1.001321</v>
      </c>
      <c r="D64" s="375" t="n"/>
    </row>
    <row r="65">
      <c r="B65" s="107" t="n">
        <v>61</v>
      </c>
      <c r="C65" s="608" t="n">
        <v>1.001354</v>
      </c>
      <c r="D65" s="375" t="n"/>
    </row>
    <row r="66">
      <c r="B66" s="107" t="n">
        <v>62</v>
      </c>
      <c r="C66" s="608" t="n">
        <v>1.001387</v>
      </c>
      <c r="D66" s="375" t="n"/>
    </row>
    <row r="67">
      <c r="B67" s="107" t="n">
        <v>63</v>
      </c>
      <c r="C67" s="608" t="n">
        <v>1.00142</v>
      </c>
      <c r="D67" s="375" t="n"/>
    </row>
    <row r="68">
      <c r="B68" s="107" t="n">
        <v>64</v>
      </c>
      <c r="C68" s="608" t="n">
        <v>1.001453</v>
      </c>
      <c r="D68" s="375" t="n"/>
    </row>
    <row r="69">
      <c r="B69" s="107" t="n">
        <v>65</v>
      </c>
      <c r="C69" s="608" t="n">
        <v>1.001486</v>
      </c>
      <c r="D69" s="375" t="n"/>
    </row>
    <row r="70">
      <c r="B70" s="107" t="n">
        <v>66</v>
      </c>
      <c r="C70" s="608" t="n">
        <v>1.001519</v>
      </c>
      <c r="D70" s="375" t="n"/>
    </row>
    <row r="71">
      <c r="B71" s="107" t="n">
        <v>67</v>
      </c>
      <c r="C71" s="608" t="n">
        <v>1.001552</v>
      </c>
      <c r="D71" s="375" t="n"/>
    </row>
    <row r="72">
      <c r="B72" s="107" t="n">
        <v>68</v>
      </c>
      <c r="C72" s="608" t="n">
        <v>1.001585</v>
      </c>
      <c r="D72" s="375" t="n"/>
    </row>
    <row r="73">
      <c r="B73" s="107" t="n">
        <v>69</v>
      </c>
      <c r="C73" s="608" t="n">
        <v>1.001618</v>
      </c>
      <c r="D73" s="375" t="n"/>
    </row>
    <row r="74">
      <c r="B74" s="107" t="n">
        <v>70</v>
      </c>
      <c r="C74" s="608" t="n">
        <v>1.001651</v>
      </c>
      <c r="D74" s="375" t="n"/>
    </row>
    <row r="75">
      <c r="B75" s="107" t="n">
        <v>71</v>
      </c>
      <c r="C75" s="608" t="n">
        <v>1.001684</v>
      </c>
      <c r="D75" s="375" t="n"/>
    </row>
    <row r="76">
      <c r="B76" s="107" t="n">
        <v>72</v>
      </c>
      <c r="C76" s="608" t="n">
        <v>1.001717</v>
      </c>
      <c r="D76" s="375" t="n"/>
    </row>
    <row r="77">
      <c r="B77" s="107" t="n">
        <v>73</v>
      </c>
      <c r="C77" s="608" t="n">
        <v>1.00175</v>
      </c>
      <c r="D77" s="375" t="n"/>
    </row>
    <row r="78">
      <c r="B78" s="107" t="n">
        <v>74</v>
      </c>
      <c r="C78" s="608" t="n">
        <v>1.001783</v>
      </c>
      <c r="D78" s="375" t="n"/>
    </row>
    <row r="79">
      <c r="B79" s="107" t="n">
        <v>75</v>
      </c>
      <c r="C79" s="608" t="n">
        <v>1.001816</v>
      </c>
      <c r="D79" s="375" t="n"/>
    </row>
    <row r="80">
      <c r="B80" s="107" t="n">
        <v>76</v>
      </c>
      <c r="C80" s="608" t="n">
        <v>1.001849</v>
      </c>
      <c r="D80" s="375" t="n"/>
    </row>
    <row r="81">
      <c r="B81" s="107" t="n">
        <v>77</v>
      </c>
      <c r="C81" s="608" t="n">
        <v>1.001882</v>
      </c>
      <c r="D81" s="375" t="n"/>
    </row>
    <row r="82">
      <c r="B82" s="107" t="n">
        <v>78</v>
      </c>
      <c r="C82" s="608" t="n">
        <v>1.001915</v>
      </c>
      <c r="D82" s="375" t="n"/>
    </row>
    <row r="83">
      <c r="B83" s="107" t="n">
        <v>79</v>
      </c>
      <c r="C83" s="608" t="n">
        <v>1.001948</v>
      </c>
      <c r="D83" s="375" t="n"/>
    </row>
    <row r="84">
      <c r="B84" s="107" t="n">
        <v>80</v>
      </c>
      <c r="C84" s="608" t="n">
        <v>1.001981</v>
      </c>
      <c r="D84" s="375" t="n"/>
    </row>
    <row r="85">
      <c r="B85" s="107" t="n">
        <v>81</v>
      </c>
      <c r="C85" s="608" t="n">
        <v>1.002014</v>
      </c>
      <c r="D85" s="375" t="n"/>
    </row>
    <row r="86">
      <c r="B86" s="107" t="n">
        <v>82</v>
      </c>
      <c r="C86" s="608" t="n">
        <v>1.002047</v>
      </c>
      <c r="D86" s="375" t="n"/>
    </row>
    <row r="87">
      <c r="B87" s="107" t="n">
        <v>83</v>
      </c>
      <c r="C87" s="608" t="n">
        <v>1.00208</v>
      </c>
      <c r="D87" s="375" t="n"/>
    </row>
    <row r="88">
      <c r="B88" s="107" t="n">
        <v>84</v>
      </c>
      <c r="C88" s="608" t="n">
        <v>1.002113</v>
      </c>
      <c r="D88" s="375" t="n"/>
    </row>
    <row r="89">
      <c r="B89" s="107" t="n">
        <v>85</v>
      </c>
      <c r="C89" s="608" t="n">
        <v>1.002147</v>
      </c>
      <c r="D89" s="375" t="n"/>
    </row>
    <row r="90">
      <c r="B90" s="107" t="n">
        <v>86</v>
      </c>
      <c r="C90" s="608" t="n">
        <v>1.00218</v>
      </c>
      <c r="D90" s="375" t="n"/>
    </row>
    <row r="91">
      <c r="B91" s="107" t="n">
        <v>87</v>
      </c>
      <c r="C91" s="608" t="n">
        <v>1.002213</v>
      </c>
      <c r="D91" s="375" t="n"/>
    </row>
    <row r="92">
      <c r="B92" s="107" t="n">
        <v>88</v>
      </c>
      <c r="C92" s="608" t="n">
        <v>1.002246</v>
      </c>
      <c r="D92" s="375" t="n"/>
    </row>
    <row r="93">
      <c r="B93" s="107" t="n">
        <v>89</v>
      </c>
      <c r="C93" s="608" t="n">
        <v>1.002279</v>
      </c>
      <c r="D93" s="375" t="n"/>
    </row>
    <row r="94">
      <c r="B94" s="107" t="n">
        <v>90</v>
      </c>
      <c r="C94" s="608" t="n">
        <v>1.002312</v>
      </c>
      <c r="D94" s="375" t="n"/>
    </row>
    <row r="95">
      <c r="B95" s="107" t="n">
        <v>91</v>
      </c>
      <c r="C95" s="608" t="n">
        <v>1.002345</v>
      </c>
      <c r="D95" s="375" t="n"/>
    </row>
    <row r="96">
      <c r="B96" s="107" t="n">
        <v>92</v>
      </c>
      <c r="C96" s="608" t="n">
        <v>1.002378</v>
      </c>
      <c r="D96" s="375" t="n"/>
    </row>
    <row r="97">
      <c r="B97" s="107" t="n">
        <v>93</v>
      </c>
      <c r="C97" s="608" t="n">
        <v>1.002411</v>
      </c>
      <c r="D97" s="375" t="n"/>
    </row>
    <row r="98">
      <c r="B98" s="107" t="n">
        <v>94</v>
      </c>
      <c r="C98" s="608" t="n">
        <v>1.002444</v>
      </c>
      <c r="D98" s="375" t="n"/>
    </row>
    <row r="99">
      <c r="B99" s="107" t="n">
        <v>95</v>
      </c>
      <c r="C99" s="608" t="n">
        <v>1.002477</v>
      </c>
      <c r="D99" s="375" t="n"/>
    </row>
    <row r="100">
      <c r="B100" s="107" t="n">
        <v>96</v>
      </c>
      <c r="C100" s="608" t="n">
        <v>1.00251</v>
      </c>
      <c r="D100" s="375" t="n"/>
    </row>
    <row r="101">
      <c r="B101" s="107" t="n">
        <v>97</v>
      </c>
      <c r="C101" s="608" t="n">
        <v>1.002543</v>
      </c>
      <c r="D101" s="375" t="n"/>
    </row>
    <row r="102">
      <c r="B102" s="107" t="n">
        <v>98</v>
      </c>
      <c r="C102" s="608" t="n">
        <v>1.002576</v>
      </c>
      <c r="D102" s="375" t="n"/>
    </row>
    <row r="103">
      <c r="B103" s="107" t="n">
        <v>99</v>
      </c>
      <c r="C103" s="608" t="n">
        <v>1.002609</v>
      </c>
      <c r="D103" s="375" t="n"/>
    </row>
    <row r="104">
      <c r="B104" s="107" t="n">
        <v>100</v>
      </c>
      <c r="C104" s="608" t="n">
        <v>1.002642</v>
      </c>
      <c r="D104" s="375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361" min="1" max="1"/>
    <col width="6.875" bestFit="1" customWidth="1" style="361" min="3" max="3"/>
    <col width="5.875" bestFit="1" customWidth="1" style="361" min="5" max="5"/>
    <col width="9.75" bestFit="1" customWidth="1" style="361" min="6" max="6"/>
    <col width="6.875" bestFit="1" customWidth="1" style="361" min="7" max="7"/>
    <col width="9.75" bestFit="1" customWidth="1" style="361" min="8" max="8"/>
    <col width="6.875" bestFit="1" customWidth="1" style="361" min="9" max="9"/>
    <col width="9.75" bestFit="1" customWidth="1" style="361" min="10" max="10"/>
    <col width="6.875" bestFit="1" customWidth="1" style="361" min="11" max="11"/>
    <col width="9.75" bestFit="1" customWidth="1" style="361" min="12" max="12"/>
    <col width="7.5" bestFit="1" customWidth="1" style="361" min="13" max="13"/>
    <col width="9.75" bestFit="1" customWidth="1" style="361" min="14" max="14"/>
    <col width="6.875" bestFit="1" customWidth="1" style="361" min="15" max="15"/>
    <col width="9.75" bestFit="1" customWidth="1" style="361" min="16" max="16"/>
    <col width="6.875" bestFit="1" customWidth="1" style="361" min="17" max="17"/>
    <col width="9.75" bestFit="1" customWidth="1" style="361" min="18" max="18"/>
    <col width="6.875" bestFit="1" customWidth="1" style="361" min="19" max="19"/>
    <col width="9.75" bestFit="1" customWidth="1" style="361" min="20" max="20"/>
    <col width="6.875" bestFit="1" customWidth="1" style="361" min="21" max="21"/>
    <col width="9.75" bestFit="1" customWidth="1" style="361" min="22" max="22"/>
    <col width="6.875" bestFit="1" customWidth="1" style="361" min="23" max="23"/>
    <col width="9.75" bestFit="1" customWidth="1" style="361" min="24" max="24"/>
    <col width="6.875" bestFit="1" customWidth="1" style="361" min="25" max="25"/>
    <col width="9.75" bestFit="1" customWidth="1" style="361" min="26" max="26"/>
    <col width="6.875" bestFit="1" customWidth="1" style="361" min="27" max="27"/>
    <col width="9.75" bestFit="1" customWidth="1" style="361" min="28" max="28"/>
    <col width="6.875" bestFit="1" customWidth="1" style="361" min="29" max="29"/>
    <col width="9.75" bestFit="1" customWidth="1" style="361" min="30" max="30"/>
    <col width="6.875" bestFit="1" customWidth="1" style="361" min="31" max="31"/>
    <col width="9.75" bestFit="1" customWidth="1" style="361" min="32" max="32"/>
    <col width="6.875" bestFit="1" customWidth="1" style="361" min="33" max="33"/>
    <col width="8.875" bestFit="1" customWidth="1" style="361" min="34" max="34"/>
    <col width="6.875" bestFit="1" customWidth="1" style="361" min="35" max="35"/>
    <col width="8.875" bestFit="1" customWidth="1" style="361" min="36" max="36"/>
  </cols>
  <sheetData>
    <row r="1" ht="14.65" customHeight="1" s="361">
      <c r="A1" s="613" t="inlineStr">
        <is>
          <t>Ullage</t>
        </is>
      </c>
      <c r="B1" s="75" t="inlineStr">
        <is>
          <t>Capacity</t>
        </is>
      </c>
      <c r="C1" s="61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13" t="inlineStr">
        <is>
          <t>Capacity</t>
        </is>
      </c>
      <c r="G1" s="613" t="inlineStr">
        <is>
          <t>Ullage</t>
        </is>
      </c>
      <c r="H1" s="613" t="inlineStr">
        <is>
          <t>Capacity</t>
        </is>
      </c>
      <c r="I1" s="613" t="inlineStr">
        <is>
          <t>Ullage</t>
        </is>
      </c>
      <c r="J1" s="613" t="inlineStr">
        <is>
          <t>Capacity</t>
        </is>
      </c>
      <c r="K1" s="613" t="inlineStr">
        <is>
          <t>Ullage</t>
        </is>
      </c>
      <c r="L1" s="61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13" t="inlineStr">
        <is>
          <t>Ullage</t>
        </is>
      </c>
      <c r="P1" s="613" t="inlineStr">
        <is>
          <t>Capacity</t>
        </is>
      </c>
      <c r="Q1" s="613" t="inlineStr">
        <is>
          <t>Ullage</t>
        </is>
      </c>
      <c r="R1" s="613" t="inlineStr">
        <is>
          <t>Capacity</t>
        </is>
      </c>
      <c r="S1" s="613" t="inlineStr">
        <is>
          <t>Ullage</t>
        </is>
      </c>
      <c r="T1" s="75" t="inlineStr">
        <is>
          <t>Capacity</t>
        </is>
      </c>
      <c r="U1" s="613" t="inlineStr">
        <is>
          <t>Ullage</t>
        </is>
      </c>
      <c r="V1" s="613" t="inlineStr">
        <is>
          <t>Capacity</t>
        </is>
      </c>
      <c r="W1" s="613" t="inlineStr">
        <is>
          <t>Ullage</t>
        </is>
      </c>
      <c r="X1" s="613" t="inlineStr">
        <is>
          <t>Capacity</t>
        </is>
      </c>
      <c r="Y1" s="613" t="inlineStr">
        <is>
          <t>Ullage</t>
        </is>
      </c>
      <c r="Z1" s="613" t="inlineStr">
        <is>
          <t>Capacity</t>
        </is>
      </c>
      <c r="AA1" s="613" t="inlineStr">
        <is>
          <t>Ullage</t>
        </is>
      </c>
      <c r="AB1" s="613" t="inlineStr">
        <is>
          <t>Capacity</t>
        </is>
      </c>
      <c r="AC1" s="613" t="inlineStr">
        <is>
          <t>Ullage</t>
        </is>
      </c>
      <c r="AD1" s="613" t="inlineStr">
        <is>
          <t>Capacity</t>
        </is>
      </c>
      <c r="AE1" s="613" t="inlineStr">
        <is>
          <t>Ullage</t>
        </is>
      </c>
      <c r="AF1" s="613" t="inlineStr">
        <is>
          <t>Capacity</t>
        </is>
      </c>
      <c r="AG1" s="613" t="inlineStr">
        <is>
          <t>Ullage</t>
        </is>
      </c>
      <c r="AH1" s="613" t="inlineStr">
        <is>
          <t>Capacity</t>
        </is>
      </c>
      <c r="AI1" s="613" t="inlineStr">
        <is>
          <t>Ullage</t>
        </is>
      </c>
      <c r="AJ1" s="613" t="inlineStr">
        <is>
          <t>Capacity</t>
        </is>
      </c>
    </row>
    <row r="2" ht="14.65" customHeight="1" s="361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361">
      <c r="A3" s="610" t="inlineStr">
        <is>
          <t>1 PORT</t>
        </is>
      </c>
      <c r="B3" s="611" t="n"/>
      <c r="C3" s="610" t="inlineStr">
        <is>
          <t>1 STBD</t>
        </is>
      </c>
      <c r="D3" s="611" t="n"/>
      <c r="E3" s="610" t="inlineStr">
        <is>
          <t>2 PORT</t>
        </is>
      </c>
      <c r="F3" s="611" t="n"/>
      <c r="G3" s="610" t="inlineStr">
        <is>
          <t>2 STBD</t>
        </is>
      </c>
      <c r="H3" s="611" t="n"/>
      <c r="I3" s="610" t="inlineStr">
        <is>
          <t>COT3P</t>
        </is>
      </c>
      <c r="J3" s="611" t="n"/>
      <c r="K3" s="610" t="inlineStr">
        <is>
          <t>3 STBD</t>
        </is>
      </c>
      <c r="L3" s="611" t="n"/>
      <c r="M3" s="612" t="inlineStr">
        <is>
          <t>4 PORT</t>
        </is>
      </c>
      <c r="N3" s="611" t="n"/>
      <c r="O3" s="610" t="inlineStr">
        <is>
          <t>4 STBD</t>
        </is>
      </c>
      <c r="P3" s="611" t="n"/>
      <c r="Q3" s="610" t="inlineStr">
        <is>
          <t>5 PORT</t>
        </is>
      </c>
      <c r="R3" s="611" t="n"/>
      <c r="S3" s="610" t="inlineStr">
        <is>
          <t>5 STBD</t>
        </is>
      </c>
      <c r="T3" s="611" t="n"/>
      <c r="U3" s="610" t="inlineStr">
        <is>
          <t>6 PORT</t>
        </is>
      </c>
      <c r="V3" s="611" t="n"/>
      <c r="W3" s="610" t="inlineStr">
        <is>
          <t>6 STBD</t>
        </is>
      </c>
      <c r="X3" s="611" t="n"/>
      <c r="Y3" s="610" t="inlineStr">
        <is>
          <t>7 PORT</t>
        </is>
      </c>
      <c r="Z3" s="611" t="n"/>
      <c r="AA3" s="610" t="inlineStr">
        <is>
          <t>7 STBD</t>
        </is>
      </c>
      <c r="AB3" s="611" t="n"/>
      <c r="AC3" s="610" t="inlineStr">
        <is>
          <t>8 PORT</t>
        </is>
      </c>
      <c r="AD3" s="611" t="n"/>
      <c r="AE3" s="610" t="inlineStr">
        <is>
          <t>8 STBD</t>
        </is>
      </c>
      <c r="AF3" s="611" t="n"/>
      <c r="AG3" s="613" t="inlineStr">
        <is>
          <t>SLOP PORT</t>
        </is>
      </c>
      <c r="AH3" s="614" t="n"/>
      <c r="AI3" s="613" t="inlineStr">
        <is>
          <t>SLOP STBD</t>
        </is>
      </c>
      <c r="AJ3" s="614" t="n"/>
    </row>
    <row r="4" ht="14.25" customHeight="1" s="361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361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361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361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361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361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361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361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361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361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361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361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361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361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361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361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361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361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361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361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361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361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361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361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361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361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361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361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361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361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361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361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361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361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361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361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361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361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361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361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361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361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361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361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361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361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361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361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361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361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361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361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361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361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361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361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361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361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361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361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361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361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361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361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361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361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361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361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361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361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361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361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361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361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361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361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361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361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361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361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361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361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361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361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361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361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361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361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361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361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361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361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361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361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361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361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361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361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361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361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361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361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361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361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361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361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361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361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361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361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361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361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361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361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361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361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361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361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361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361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361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361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361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361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361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361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361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361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361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361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361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361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361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361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361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361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361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361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361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361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361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361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361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361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361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361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361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361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361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361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361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361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361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361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361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361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361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361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361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361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361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361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361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361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361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361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361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361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361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361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361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361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361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361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361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361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361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361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361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361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361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361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361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361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361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361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361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361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361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361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361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361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361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361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361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361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361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361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361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361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361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361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361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361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361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361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361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361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361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361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361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361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361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361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361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361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361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361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361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361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361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361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361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361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361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361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361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361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361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361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361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361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361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361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361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361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361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361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361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361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361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361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361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361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361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361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361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361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361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361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361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361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361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361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361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361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361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361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361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361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361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361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361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361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361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361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361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361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361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361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361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361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361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361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361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361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361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361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361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361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361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361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361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361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361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361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361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361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361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361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361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361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361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361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361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361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361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361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361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361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361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361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361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361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361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361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361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361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361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361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361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361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361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361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361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361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361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361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361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361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361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361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361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361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361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361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361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361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361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361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361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361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361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361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361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361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361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361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361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361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361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361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361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361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361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361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361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361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361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361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361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361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361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361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361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361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361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361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361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361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361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361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361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361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361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361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361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361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361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361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361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361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361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361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361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361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361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361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361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361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361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361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361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361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361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361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361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361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361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361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361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361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361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361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361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361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361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361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361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361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361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361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361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361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361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361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361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361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361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361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361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361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361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361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361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361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361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361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361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361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361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361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361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361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361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361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361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361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361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361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361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361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361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361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361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361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361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361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361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361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361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361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361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361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361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361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361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361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361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361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361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361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361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361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361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361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361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361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361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361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361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361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361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361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361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361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361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361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361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361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361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361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361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361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361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361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361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361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361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361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361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361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361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361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361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361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361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361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361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361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361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361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361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361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361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361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361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361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361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361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361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361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361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361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361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361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361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361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361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361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361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361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361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361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361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361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361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361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361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361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361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361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361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361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361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361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361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361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361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361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361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361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361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361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361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361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361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361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361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361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361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361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361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361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361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361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361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361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361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361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361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361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361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361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361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361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361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361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361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361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361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361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361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361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361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361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361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361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361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361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361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361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361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361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361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361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361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361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361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361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361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361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361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361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361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361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361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361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361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361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361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361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361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361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361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361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361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361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361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361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361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361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361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361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361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361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361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361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361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361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361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361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361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361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361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361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361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361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361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361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361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361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361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361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361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361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361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361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361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361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361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361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361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361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361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361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361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361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361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361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361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361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361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361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361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361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361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361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361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361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361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361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361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361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361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361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361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361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361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361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361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361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361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361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361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361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361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361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361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361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361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361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361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361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361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361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361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361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361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361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361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361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361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361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361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361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361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361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361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361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361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361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361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361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361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361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361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361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361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361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361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361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361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361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361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361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361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361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361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361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361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361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361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361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361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361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361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361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361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361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361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361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361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361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361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361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361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361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361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361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361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361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361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361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361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361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361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361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361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361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361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361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361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361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361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361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361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361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361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361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361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361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361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361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361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361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361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361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361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361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361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361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361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361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361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361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361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361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361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361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361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361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361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361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361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361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361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361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361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361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361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361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361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361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361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361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361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361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361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361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361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361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361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361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361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361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361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361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361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361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361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361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361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361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361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361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361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361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361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361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361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361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361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361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361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361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361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361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361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361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361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361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361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361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361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361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361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361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361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361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361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361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361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361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361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361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361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361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361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361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361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361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361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361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361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361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361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361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361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361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361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361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361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361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361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361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361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361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361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361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361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361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361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361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361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361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361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361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361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361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361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361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361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361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361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361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361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361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361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361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361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361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361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361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361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361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361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361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361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361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361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361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361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361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361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361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361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361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361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361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361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361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361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361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361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361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361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361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361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361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361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361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361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361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361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361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361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361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361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361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361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361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361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361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361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361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361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361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361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361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361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361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361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361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361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361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361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361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361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361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361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361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361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361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361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361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361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361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361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361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361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361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361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361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361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361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361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361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361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361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361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361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361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361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361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361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361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361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361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361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361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361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361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361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361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361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361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361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361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361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361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361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361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361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361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361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361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361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361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361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361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361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361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361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361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361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361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361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361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361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361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361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361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361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361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361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361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361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361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361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361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361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361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361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361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361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361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361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361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361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361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361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361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361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361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361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361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361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361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361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361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361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361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361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361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361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361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361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361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361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361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361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361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361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361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361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361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361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361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361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361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361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361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361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361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361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361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361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361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361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361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361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361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361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361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361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361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361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361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361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361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361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361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361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361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361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361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361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361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361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361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361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361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361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361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361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361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361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361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361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361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361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361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361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361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361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361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361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361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361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361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361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361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361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361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361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361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361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361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361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361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361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361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361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361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361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361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361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361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361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361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361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361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361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361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361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361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361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361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361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361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361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361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361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361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361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361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361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361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361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361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361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361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361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361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361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361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361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361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361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361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361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361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361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361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361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361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361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361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361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361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361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361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361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361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361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361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361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361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AC3:AD3"/>
    <mergeCell ref="AA3:AB3"/>
    <mergeCell ref="AG3:AH3"/>
    <mergeCell ref="O3:P3"/>
    <mergeCell ref="AE3:AF3"/>
    <mergeCell ref="Q3:R3"/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28" min="1" max="1"/>
    <col width="14.25" customWidth="1" style="45" min="2" max="2"/>
    <col width="11.75" customWidth="1" style="628" min="3" max="3"/>
    <col width="11.375" customWidth="1" style="628" min="4" max="4"/>
    <col width="9.625" customWidth="1" style="628" min="5" max="5"/>
    <col width="8" customWidth="1" style="628" min="6" max="6"/>
    <col width="11.375" customWidth="1" style="628" min="7" max="7"/>
    <col width="10" customWidth="1" style="628" min="8" max="9"/>
    <col width="9.625" customWidth="1" style="628" min="10" max="10"/>
    <col width="8.5" customWidth="1" style="628" min="11" max="11"/>
    <col width="11.375" customWidth="1" style="628" min="12" max="12"/>
    <col width="2.375" customWidth="1" style="628" min="13" max="13"/>
    <col width="28.75" customWidth="1" style="628" min="14" max="14"/>
    <col width="25.75" customWidth="1" style="628" min="15" max="19"/>
    <col width="3" customWidth="1" style="628" min="20" max="22"/>
    <col width="2.75" customWidth="1" style="628" min="23" max="26"/>
    <col width="2.375" customWidth="1" style="628" min="27" max="32"/>
    <col width="2.125" customWidth="1" style="628" min="33" max="36"/>
    <col width="8.375" customWidth="1" style="628" min="37" max="256"/>
    <col width="1.375" customWidth="1" style="628" min="257" max="257"/>
    <col width="14.25" customWidth="1" style="628" min="258" max="258"/>
    <col width="6.625" customWidth="1" style="628" min="259" max="259"/>
    <col width="11.375" customWidth="1" style="628" min="260" max="260"/>
    <col width="9.625" customWidth="1" style="628" min="261" max="261"/>
    <col width="8" customWidth="1" style="628" min="262" max="262"/>
    <col width="11.375" customWidth="1" style="628" min="263" max="263"/>
    <col width="10" customWidth="1" style="628" min="264" max="265"/>
    <col width="9.625" customWidth="1" style="628" min="266" max="266"/>
    <col width="8.5" customWidth="1" style="628" min="267" max="267"/>
    <col width="11.375" customWidth="1" style="628" min="268" max="268"/>
    <col width="2.375" customWidth="1" style="628" min="269" max="274"/>
    <col width="3" customWidth="1" style="628" min="275" max="278"/>
    <col width="2.75" customWidth="1" style="628" min="279" max="282"/>
    <col width="2.375" customWidth="1" style="628" min="283" max="288"/>
    <col width="2.125" customWidth="1" style="628" min="289" max="292"/>
    <col width="8.375" customWidth="1" style="628" min="293" max="512"/>
    <col width="1.375" customWidth="1" style="628" min="513" max="513"/>
    <col width="14.25" customWidth="1" style="628" min="514" max="514"/>
    <col width="6.625" customWidth="1" style="628" min="515" max="515"/>
    <col width="11.375" customWidth="1" style="628" min="516" max="516"/>
    <col width="9.625" customWidth="1" style="628" min="517" max="517"/>
    <col width="8" customWidth="1" style="628" min="518" max="518"/>
    <col width="11.375" customWidth="1" style="628" min="519" max="519"/>
    <col width="10" customWidth="1" style="628" min="520" max="521"/>
    <col width="9.625" customWidth="1" style="628" min="522" max="522"/>
    <col width="8.5" customWidth="1" style="628" min="523" max="523"/>
    <col width="11.375" customWidth="1" style="628" min="524" max="524"/>
    <col width="2.375" customWidth="1" style="628" min="525" max="530"/>
    <col width="3" customWidth="1" style="628" min="531" max="534"/>
    <col width="2.75" customWidth="1" style="628" min="535" max="538"/>
    <col width="2.375" customWidth="1" style="628" min="539" max="544"/>
    <col width="2.125" customWidth="1" style="628" min="545" max="548"/>
    <col width="8.375" customWidth="1" style="628" min="549" max="768"/>
    <col width="1.375" customWidth="1" style="628" min="769" max="769"/>
    <col width="14.25" customWidth="1" style="628" min="770" max="770"/>
    <col width="6.625" customWidth="1" style="628" min="771" max="771"/>
    <col width="11.375" customWidth="1" style="628" min="772" max="772"/>
    <col width="9.625" customWidth="1" style="628" min="773" max="773"/>
    <col width="8" customWidth="1" style="628" min="774" max="774"/>
    <col width="11.375" customWidth="1" style="628" min="775" max="775"/>
    <col width="10" customWidth="1" style="628" min="776" max="777"/>
    <col width="9.625" customWidth="1" style="628" min="778" max="778"/>
    <col width="8.5" customWidth="1" style="628" min="779" max="779"/>
    <col width="11.375" customWidth="1" style="628" min="780" max="780"/>
    <col width="2.375" customWidth="1" style="628" min="781" max="786"/>
    <col width="3" customWidth="1" style="628" min="787" max="790"/>
    <col width="2.75" customWidth="1" style="628" min="791" max="794"/>
    <col width="2.375" customWidth="1" style="628" min="795" max="800"/>
    <col width="2.125" customWidth="1" style="628" min="801" max="804"/>
    <col width="8.375" customWidth="1" style="628" min="805" max="1024"/>
    <col width="1.375" customWidth="1" style="628" min="1025" max="1025"/>
    <col width="14.25" customWidth="1" style="628" min="1026" max="1026"/>
    <col width="6.625" customWidth="1" style="628" min="1027" max="1027"/>
    <col width="11.375" customWidth="1" style="628" min="1028" max="1028"/>
    <col width="9.625" customWidth="1" style="628" min="1029" max="1029"/>
    <col width="8" customWidth="1" style="628" min="1030" max="1030"/>
    <col width="11.375" customWidth="1" style="628" min="1031" max="1031"/>
    <col width="10" customWidth="1" style="628" min="1032" max="1033"/>
    <col width="9.625" customWidth="1" style="628" min="1034" max="1034"/>
    <col width="8.5" customWidth="1" style="628" min="1035" max="1035"/>
    <col width="11.375" customWidth="1" style="628" min="1036" max="1036"/>
    <col width="2.375" customWidth="1" style="628" min="1037" max="1042"/>
    <col width="3" customWidth="1" style="628" min="1043" max="1046"/>
    <col width="2.75" customWidth="1" style="628" min="1047" max="1050"/>
    <col width="2.375" customWidth="1" style="628" min="1051" max="1056"/>
    <col width="2.125" customWidth="1" style="628" min="1057" max="1060"/>
    <col width="8.375" customWidth="1" style="628" min="1061" max="1280"/>
    <col width="1.375" customWidth="1" style="628" min="1281" max="1281"/>
    <col width="14.25" customWidth="1" style="628" min="1282" max="1282"/>
    <col width="6.625" customWidth="1" style="628" min="1283" max="1283"/>
    <col width="11.375" customWidth="1" style="628" min="1284" max="1284"/>
    <col width="9.625" customWidth="1" style="628" min="1285" max="1285"/>
    <col width="8" customWidth="1" style="628" min="1286" max="1286"/>
    <col width="11.375" customWidth="1" style="628" min="1287" max="1287"/>
    <col width="10" customWidth="1" style="628" min="1288" max="1289"/>
    <col width="9.625" customWidth="1" style="628" min="1290" max="1290"/>
    <col width="8.5" customWidth="1" style="628" min="1291" max="1291"/>
    <col width="11.375" customWidth="1" style="628" min="1292" max="1292"/>
    <col width="2.375" customWidth="1" style="628" min="1293" max="1298"/>
    <col width="3" customWidth="1" style="628" min="1299" max="1302"/>
    <col width="2.75" customWidth="1" style="628" min="1303" max="1306"/>
    <col width="2.375" customWidth="1" style="628" min="1307" max="1312"/>
    <col width="2.125" customWidth="1" style="628" min="1313" max="1316"/>
    <col width="8.375" customWidth="1" style="628" min="1317" max="1536"/>
    <col width="1.375" customWidth="1" style="628" min="1537" max="1537"/>
    <col width="14.25" customWidth="1" style="628" min="1538" max="1538"/>
    <col width="6.625" customWidth="1" style="628" min="1539" max="1539"/>
    <col width="11.375" customWidth="1" style="628" min="1540" max="1540"/>
    <col width="9.625" customWidth="1" style="628" min="1541" max="1541"/>
    <col width="8" customWidth="1" style="628" min="1542" max="1542"/>
    <col width="11.375" customWidth="1" style="628" min="1543" max="1543"/>
    <col width="10" customWidth="1" style="628" min="1544" max="1545"/>
    <col width="9.625" customWidth="1" style="628" min="1546" max="1546"/>
    <col width="8.5" customWidth="1" style="628" min="1547" max="1547"/>
    <col width="11.375" customWidth="1" style="628" min="1548" max="1548"/>
    <col width="2.375" customWidth="1" style="628" min="1549" max="1554"/>
    <col width="3" customWidth="1" style="628" min="1555" max="1558"/>
    <col width="2.75" customWidth="1" style="628" min="1559" max="1562"/>
    <col width="2.375" customWidth="1" style="628" min="1563" max="1568"/>
    <col width="2.125" customWidth="1" style="628" min="1569" max="1572"/>
    <col width="8.375" customWidth="1" style="628" min="1573" max="1792"/>
    <col width="1.375" customWidth="1" style="628" min="1793" max="1793"/>
    <col width="14.25" customWidth="1" style="628" min="1794" max="1794"/>
    <col width="6.625" customWidth="1" style="628" min="1795" max="1795"/>
    <col width="11.375" customWidth="1" style="628" min="1796" max="1796"/>
    <col width="9.625" customWidth="1" style="628" min="1797" max="1797"/>
    <col width="8" customWidth="1" style="628" min="1798" max="1798"/>
    <col width="11.375" customWidth="1" style="628" min="1799" max="1799"/>
    <col width="10" customWidth="1" style="628" min="1800" max="1801"/>
    <col width="9.625" customWidth="1" style="628" min="1802" max="1802"/>
    <col width="8.5" customWidth="1" style="628" min="1803" max="1803"/>
    <col width="11.375" customWidth="1" style="628" min="1804" max="1804"/>
    <col width="2.375" customWidth="1" style="628" min="1805" max="1810"/>
    <col width="3" customWidth="1" style="628" min="1811" max="1814"/>
    <col width="2.75" customWidth="1" style="628" min="1815" max="1818"/>
    <col width="2.375" customWidth="1" style="628" min="1819" max="1824"/>
    <col width="2.125" customWidth="1" style="628" min="1825" max="1828"/>
    <col width="8.375" customWidth="1" style="628" min="1829" max="2048"/>
    <col width="1.375" customWidth="1" style="628" min="2049" max="2049"/>
    <col width="14.25" customWidth="1" style="628" min="2050" max="2050"/>
    <col width="6.625" customWidth="1" style="628" min="2051" max="2051"/>
    <col width="11.375" customWidth="1" style="628" min="2052" max="2052"/>
    <col width="9.625" customWidth="1" style="628" min="2053" max="2053"/>
    <col width="8" customWidth="1" style="628" min="2054" max="2054"/>
    <col width="11.375" customWidth="1" style="628" min="2055" max="2055"/>
    <col width="10" customWidth="1" style="628" min="2056" max="2057"/>
    <col width="9.625" customWidth="1" style="628" min="2058" max="2058"/>
    <col width="8.5" customWidth="1" style="628" min="2059" max="2059"/>
    <col width="11.375" customWidth="1" style="628" min="2060" max="2060"/>
    <col width="2.375" customWidth="1" style="628" min="2061" max="2066"/>
    <col width="3" customWidth="1" style="628" min="2067" max="2070"/>
    <col width="2.75" customWidth="1" style="628" min="2071" max="2074"/>
    <col width="2.375" customWidth="1" style="628" min="2075" max="2080"/>
    <col width="2.125" customWidth="1" style="628" min="2081" max="2084"/>
    <col width="8.375" customWidth="1" style="628" min="2085" max="2304"/>
    <col width="1.375" customWidth="1" style="628" min="2305" max="2305"/>
    <col width="14.25" customWidth="1" style="628" min="2306" max="2306"/>
    <col width="6.625" customWidth="1" style="628" min="2307" max="2307"/>
    <col width="11.375" customWidth="1" style="628" min="2308" max="2308"/>
    <col width="9.625" customWidth="1" style="628" min="2309" max="2309"/>
    <col width="8" customWidth="1" style="628" min="2310" max="2310"/>
    <col width="11.375" customWidth="1" style="628" min="2311" max="2311"/>
    <col width="10" customWidth="1" style="628" min="2312" max="2313"/>
    <col width="9.625" customWidth="1" style="628" min="2314" max="2314"/>
    <col width="8.5" customWidth="1" style="628" min="2315" max="2315"/>
    <col width="11.375" customWidth="1" style="628" min="2316" max="2316"/>
    <col width="2.375" customWidth="1" style="628" min="2317" max="2322"/>
    <col width="3" customWidth="1" style="628" min="2323" max="2326"/>
    <col width="2.75" customWidth="1" style="628" min="2327" max="2330"/>
    <col width="2.375" customWidth="1" style="628" min="2331" max="2336"/>
    <col width="2.125" customWidth="1" style="628" min="2337" max="2340"/>
    <col width="8.375" customWidth="1" style="628" min="2341" max="2560"/>
    <col width="1.375" customWidth="1" style="628" min="2561" max="2561"/>
    <col width="14.25" customWidth="1" style="628" min="2562" max="2562"/>
    <col width="6.625" customWidth="1" style="628" min="2563" max="2563"/>
    <col width="11.375" customWidth="1" style="628" min="2564" max="2564"/>
    <col width="9.625" customWidth="1" style="628" min="2565" max="2565"/>
    <col width="8" customWidth="1" style="628" min="2566" max="2566"/>
    <col width="11.375" customWidth="1" style="628" min="2567" max="2567"/>
    <col width="10" customWidth="1" style="628" min="2568" max="2569"/>
    <col width="9.625" customWidth="1" style="628" min="2570" max="2570"/>
    <col width="8.5" customWidth="1" style="628" min="2571" max="2571"/>
    <col width="11.375" customWidth="1" style="628" min="2572" max="2572"/>
    <col width="2.375" customWidth="1" style="628" min="2573" max="2578"/>
    <col width="3" customWidth="1" style="628" min="2579" max="2582"/>
    <col width="2.75" customWidth="1" style="628" min="2583" max="2586"/>
    <col width="2.375" customWidth="1" style="628" min="2587" max="2592"/>
    <col width="2.125" customWidth="1" style="628" min="2593" max="2596"/>
    <col width="8.375" customWidth="1" style="628" min="2597" max="2816"/>
    <col width="1.375" customWidth="1" style="628" min="2817" max="2817"/>
    <col width="14.25" customWidth="1" style="628" min="2818" max="2818"/>
    <col width="6.625" customWidth="1" style="628" min="2819" max="2819"/>
    <col width="11.375" customWidth="1" style="628" min="2820" max="2820"/>
    <col width="9.625" customWidth="1" style="628" min="2821" max="2821"/>
    <col width="8" customWidth="1" style="628" min="2822" max="2822"/>
    <col width="11.375" customWidth="1" style="628" min="2823" max="2823"/>
    <col width="10" customWidth="1" style="628" min="2824" max="2825"/>
    <col width="9.625" customWidth="1" style="628" min="2826" max="2826"/>
    <col width="8.5" customWidth="1" style="628" min="2827" max="2827"/>
    <col width="11.375" customWidth="1" style="628" min="2828" max="2828"/>
    <col width="2.375" customWidth="1" style="628" min="2829" max="2834"/>
    <col width="3" customWidth="1" style="628" min="2835" max="2838"/>
    <col width="2.75" customWidth="1" style="628" min="2839" max="2842"/>
    <col width="2.375" customWidth="1" style="628" min="2843" max="2848"/>
    <col width="2.125" customWidth="1" style="628" min="2849" max="2852"/>
    <col width="8.375" customWidth="1" style="628" min="2853" max="3072"/>
    <col width="1.375" customWidth="1" style="628" min="3073" max="3073"/>
    <col width="14.25" customWidth="1" style="628" min="3074" max="3074"/>
    <col width="6.625" customWidth="1" style="628" min="3075" max="3075"/>
    <col width="11.375" customWidth="1" style="628" min="3076" max="3076"/>
    <col width="9.625" customWidth="1" style="628" min="3077" max="3077"/>
    <col width="8" customWidth="1" style="628" min="3078" max="3078"/>
    <col width="11.375" customWidth="1" style="628" min="3079" max="3079"/>
    <col width="10" customWidth="1" style="628" min="3080" max="3081"/>
    <col width="9.625" customWidth="1" style="628" min="3082" max="3082"/>
    <col width="8.5" customWidth="1" style="628" min="3083" max="3083"/>
    <col width="11.375" customWidth="1" style="628" min="3084" max="3084"/>
    <col width="2.375" customWidth="1" style="628" min="3085" max="3090"/>
    <col width="3" customWidth="1" style="628" min="3091" max="3094"/>
    <col width="2.75" customWidth="1" style="628" min="3095" max="3098"/>
    <col width="2.375" customWidth="1" style="628" min="3099" max="3104"/>
    <col width="2.125" customWidth="1" style="628" min="3105" max="3108"/>
    <col width="8.375" customWidth="1" style="628" min="3109" max="3328"/>
    <col width="1.375" customWidth="1" style="628" min="3329" max="3329"/>
    <col width="14.25" customWidth="1" style="628" min="3330" max="3330"/>
    <col width="6.625" customWidth="1" style="628" min="3331" max="3331"/>
    <col width="11.375" customWidth="1" style="628" min="3332" max="3332"/>
    <col width="9.625" customWidth="1" style="628" min="3333" max="3333"/>
    <col width="8" customWidth="1" style="628" min="3334" max="3334"/>
    <col width="11.375" customWidth="1" style="628" min="3335" max="3335"/>
    <col width="10" customWidth="1" style="628" min="3336" max="3337"/>
    <col width="9.625" customWidth="1" style="628" min="3338" max="3338"/>
    <col width="8.5" customWidth="1" style="628" min="3339" max="3339"/>
    <col width="11.375" customWidth="1" style="628" min="3340" max="3340"/>
    <col width="2.375" customWidth="1" style="628" min="3341" max="3346"/>
    <col width="3" customWidth="1" style="628" min="3347" max="3350"/>
    <col width="2.75" customWidth="1" style="628" min="3351" max="3354"/>
    <col width="2.375" customWidth="1" style="628" min="3355" max="3360"/>
    <col width="2.125" customWidth="1" style="628" min="3361" max="3364"/>
    <col width="8.375" customWidth="1" style="628" min="3365" max="3584"/>
    <col width="1.375" customWidth="1" style="628" min="3585" max="3585"/>
    <col width="14.25" customWidth="1" style="628" min="3586" max="3586"/>
    <col width="6.625" customWidth="1" style="628" min="3587" max="3587"/>
    <col width="11.375" customWidth="1" style="628" min="3588" max="3588"/>
    <col width="9.625" customWidth="1" style="628" min="3589" max="3589"/>
    <col width="8" customWidth="1" style="628" min="3590" max="3590"/>
    <col width="11.375" customWidth="1" style="628" min="3591" max="3591"/>
    <col width="10" customWidth="1" style="628" min="3592" max="3593"/>
    <col width="9.625" customWidth="1" style="628" min="3594" max="3594"/>
    <col width="8.5" customWidth="1" style="628" min="3595" max="3595"/>
    <col width="11.375" customWidth="1" style="628" min="3596" max="3596"/>
    <col width="2.375" customWidth="1" style="628" min="3597" max="3602"/>
    <col width="3" customWidth="1" style="628" min="3603" max="3606"/>
    <col width="2.75" customWidth="1" style="628" min="3607" max="3610"/>
    <col width="2.375" customWidth="1" style="628" min="3611" max="3616"/>
    <col width="2.125" customWidth="1" style="628" min="3617" max="3620"/>
    <col width="8.375" customWidth="1" style="628" min="3621" max="3840"/>
    <col width="1.375" customWidth="1" style="628" min="3841" max="3841"/>
    <col width="14.25" customWidth="1" style="628" min="3842" max="3842"/>
    <col width="6.625" customWidth="1" style="628" min="3843" max="3843"/>
    <col width="11.375" customWidth="1" style="628" min="3844" max="3844"/>
    <col width="9.625" customWidth="1" style="628" min="3845" max="3845"/>
    <col width="8" customWidth="1" style="628" min="3846" max="3846"/>
    <col width="11.375" customWidth="1" style="628" min="3847" max="3847"/>
    <col width="10" customWidth="1" style="628" min="3848" max="3849"/>
    <col width="9.625" customWidth="1" style="628" min="3850" max="3850"/>
    <col width="8.5" customWidth="1" style="628" min="3851" max="3851"/>
    <col width="11.375" customWidth="1" style="628" min="3852" max="3852"/>
    <col width="2.375" customWidth="1" style="628" min="3853" max="3858"/>
    <col width="3" customWidth="1" style="628" min="3859" max="3862"/>
    <col width="2.75" customWidth="1" style="628" min="3863" max="3866"/>
    <col width="2.375" customWidth="1" style="628" min="3867" max="3872"/>
    <col width="2.125" customWidth="1" style="628" min="3873" max="3876"/>
    <col width="8.375" customWidth="1" style="628" min="3877" max="4096"/>
    <col width="1.375" customWidth="1" style="628" min="4097" max="4097"/>
    <col width="14.25" customWidth="1" style="628" min="4098" max="4098"/>
    <col width="6.625" customWidth="1" style="628" min="4099" max="4099"/>
    <col width="11.375" customWidth="1" style="628" min="4100" max="4100"/>
    <col width="9.625" customWidth="1" style="628" min="4101" max="4101"/>
    <col width="8" customWidth="1" style="628" min="4102" max="4102"/>
    <col width="11.375" customWidth="1" style="628" min="4103" max="4103"/>
    <col width="10" customWidth="1" style="628" min="4104" max="4105"/>
    <col width="9.625" customWidth="1" style="628" min="4106" max="4106"/>
    <col width="8.5" customWidth="1" style="628" min="4107" max="4107"/>
    <col width="11.375" customWidth="1" style="628" min="4108" max="4108"/>
    <col width="2.375" customWidth="1" style="628" min="4109" max="4114"/>
    <col width="3" customWidth="1" style="628" min="4115" max="4118"/>
    <col width="2.75" customWidth="1" style="628" min="4119" max="4122"/>
    <col width="2.375" customWidth="1" style="628" min="4123" max="4128"/>
    <col width="2.125" customWidth="1" style="628" min="4129" max="4132"/>
    <col width="8.375" customWidth="1" style="628" min="4133" max="4352"/>
    <col width="1.375" customWidth="1" style="628" min="4353" max="4353"/>
    <col width="14.25" customWidth="1" style="628" min="4354" max="4354"/>
    <col width="6.625" customWidth="1" style="628" min="4355" max="4355"/>
    <col width="11.375" customWidth="1" style="628" min="4356" max="4356"/>
    <col width="9.625" customWidth="1" style="628" min="4357" max="4357"/>
    <col width="8" customWidth="1" style="628" min="4358" max="4358"/>
    <col width="11.375" customWidth="1" style="628" min="4359" max="4359"/>
    <col width="10" customWidth="1" style="628" min="4360" max="4361"/>
    <col width="9.625" customWidth="1" style="628" min="4362" max="4362"/>
    <col width="8.5" customWidth="1" style="628" min="4363" max="4363"/>
    <col width="11.375" customWidth="1" style="628" min="4364" max="4364"/>
    <col width="2.375" customWidth="1" style="628" min="4365" max="4370"/>
    <col width="3" customWidth="1" style="628" min="4371" max="4374"/>
    <col width="2.75" customWidth="1" style="628" min="4375" max="4378"/>
    <col width="2.375" customWidth="1" style="628" min="4379" max="4384"/>
    <col width="2.125" customWidth="1" style="628" min="4385" max="4388"/>
    <col width="8.375" customWidth="1" style="628" min="4389" max="4608"/>
    <col width="1.375" customWidth="1" style="628" min="4609" max="4609"/>
    <col width="14.25" customWidth="1" style="628" min="4610" max="4610"/>
    <col width="6.625" customWidth="1" style="628" min="4611" max="4611"/>
    <col width="11.375" customWidth="1" style="628" min="4612" max="4612"/>
    <col width="9.625" customWidth="1" style="628" min="4613" max="4613"/>
    <col width="8" customWidth="1" style="628" min="4614" max="4614"/>
    <col width="11.375" customWidth="1" style="628" min="4615" max="4615"/>
    <col width="10" customWidth="1" style="628" min="4616" max="4617"/>
    <col width="9.625" customWidth="1" style="628" min="4618" max="4618"/>
    <col width="8.5" customWidth="1" style="628" min="4619" max="4619"/>
    <col width="11.375" customWidth="1" style="628" min="4620" max="4620"/>
    <col width="2.375" customWidth="1" style="628" min="4621" max="4626"/>
    <col width="3" customWidth="1" style="628" min="4627" max="4630"/>
    <col width="2.75" customWidth="1" style="628" min="4631" max="4634"/>
    <col width="2.375" customWidth="1" style="628" min="4635" max="4640"/>
    <col width="2.125" customWidth="1" style="628" min="4641" max="4644"/>
    <col width="8.375" customWidth="1" style="628" min="4645" max="4864"/>
    <col width="1.375" customWidth="1" style="628" min="4865" max="4865"/>
    <col width="14.25" customWidth="1" style="628" min="4866" max="4866"/>
    <col width="6.625" customWidth="1" style="628" min="4867" max="4867"/>
    <col width="11.375" customWidth="1" style="628" min="4868" max="4868"/>
    <col width="9.625" customWidth="1" style="628" min="4869" max="4869"/>
    <col width="8" customWidth="1" style="628" min="4870" max="4870"/>
    <col width="11.375" customWidth="1" style="628" min="4871" max="4871"/>
    <col width="10" customWidth="1" style="628" min="4872" max="4873"/>
    <col width="9.625" customWidth="1" style="628" min="4874" max="4874"/>
    <col width="8.5" customWidth="1" style="628" min="4875" max="4875"/>
    <col width="11.375" customWidth="1" style="628" min="4876" max="4876"/>
    <col width="2.375" customWidth="1" style="628" min="4877" max="4882"/>
    <col width="3" customWidth="1" style="628" min="4883" max="4886"/>
    <col width="2.75" customWidth="1" style="628" min="4887" max="4890"/>
    <col width="2.375" customWidth="1" style="628" min="4891" max="4896"/>
    <col width="2.125" customWidth="1" style="628" min="4897" max="4900"/>
    <col width="8.375" customWidth="1" style="628" min="4901" max="5120"/>
    <col width="1.375" customWidth="1" style="628" min="5121" max="5121"/>
    <col width="14.25" customWidth="1" style="628" min="5122" max="5122"/>
    <col width="6.625" customWidth="1" style="628" min="5123" max="5123"/>
    <col width="11.375" customWidth="1" style="628" min="5124" max="5124"/>
    <col width="9.625" customWidth="1" style="628" min="5125" max="5125"/>
    <col width="8" customWidth="1" style="628" min="5126" max="5126"/>
    <col width="11.375" customWidth="1" style="628" min="5127" max="5127"/>
    <col width="10" customWidth="1" style="628" min="5128" max="5129"/>
    <col width="9.625" customWidth="1" style="628" min="5130" max="5130"/>
    <col width="8.5" customWidth="1" style="628" min="5131" max="5131"/>
    <col width="11.375" customWidth="1" style="628" min="5132" max="5132"/>
    <col width="2.375" customWidth="1" style="628" min="5133" max="5138"/>
    <col width="3" customWidth="1" style="628" min="5139" max="5142"/>
    <col width="2.75" customWidth="1" style="628" min="5143" max="5146"/>
    <col width="2.375" customWidth="1" style="628" min="5147" max="5152"/>
    <col width="2.125" customWidth="1" style="628" min="5153" max="5156"/>
    <col width="8.375" customWidth="1" style="628" min="5157" max="5376"/>
    <col width="1.375" customWidth="1" style="628" min="5377" max="5377"/>
    <col width="14.25" customWidth="1" style="628" min="5378" max="5378"/>
    <col width="6.625" customWidth="1" style="628" min="5379" max="5379"/>
    <col width="11.375" customWidth="1" style="628" min="5380" max="5380"/>
    <col width="9.625" customWidth="1" style="628" min="5381" max="5381"/>
    <col width="8" customWidth="1" style="628" min="5382" max="5382"/>
    <col width="11.375" customWidth="1" style="628" min="5383" max="5383"/>
    <col width="10" customWidth="1" style="628" min="5384" max="5385"/>
    <col width="9.625" customWidth="1" style="628" min="5386" max="5386"/>
    <col width="8.5" customWidth="1" style="628" min="5387" max="5387"/>
    <col width="11.375" customWidth="1" style="628" min="5388" max="5388"/>
    <col width="2.375" customWidth="1" style="628" min="5389" max="5394"/>
    <col width="3" customWidth="1" style="628" min="5395" max="5398"/>
    <col width="2.75" customWidth="1" style="628" min="5399" max="5402"/>
    <col width="2.375" customWidth="1" style="628" min="5403" max="5408"/>
    <col width="2.125" customWidth="1" style="628" min="5409" max="5412"/>
    <col width="8.375" customWidth="1" style="628" min="5413" max="5632"/>
    <col width="1.375" customWidth="1" style="628" min="5633" max="5633"/>
    <col width="14.25" customWidth="1" style="628" min="5634" max="5634"/>
    <col width="6.625" customWidth="1" style="628" min="5635" max="5635"/>
    <col width="11.375" customWidth="1" style="628" min="5636" max="5636"/>
    <col width="9.625" customWidth="1" style="628" min="5637" max="5637"/>
    <col width="8" customWidth="1" style="628" min="5638" max="5638"/>
    <col width="11.375" customWidth="1" style="628" min="5639" max="5639"/>
    <col width="10" customWidth="1" style="628" min="5640" max="5641"/>
    <col width="9.625" customWidth="1" style="628" min="5642" max="5642"/>
    <col width="8.5" customWidth="1" style="628" min="5643" max="5643"/>
    <col width="11.375" customWidth="1" style="628" min="5644" max="5644"/>
    <col width="2.375" customWidth="1" style="628" min="5645" max="5650"/>
    <col width="3" customWidth="1" style="628" min="5651" max="5654"/>
    <col width="2.75" customWidth="1" style="628" min="5655" max="5658"/>
    <col width="2.375" customWidth="1" style="628" min="5659" max="5664"/>
    <col width="2.125" customWidth="1" style="628" min="5665" max="5668"/>
    <col width="8.375" customWidth="1" style="628" min="5669" max="5888"/>
    <col width="1.375" customWidth="1" style="628" min="5889" max="5889"/>
    <col width="14.25" customWidth="1" style="628" min="5890" max="5890"/>
    <col width="6.625" customWidth="1" style="628" min="5891" max="5891"/>
    <col width="11.375" customWidth="1" style="628" min="5892" max="5892"/>
    <col width="9.625" customWidth="1" style="628" min="5893" max="5893"/>
    <col width="8" customWidth="1" style="628" min="5894" max="5894"/>
    <col width="11.375" customWidth="1" style="628" min="5895" max="5895"/>
    <col width="10" customWidth="1" style="628" min="5896" max="5897"/>
    <col width="9.625" customWidth="1" style="628" min="5898" max="5898"/>
    <col width="8.5" customWidth="1" style="628" min="5899" max="5899"/>
    <col width="11.375" customWidth="1" style="628" min="5900" max="5900"/>
    <col width="2.375" customWidth="1" style="628" min="5901" max="5906"/>
    <col width="3" customWidth="1" style="628" min="5907" max="5910"/>
    <col width="2.75" customWidth="1" style="628" min="5911" max="5914"/>
    <col width="2.375" customWidth="1" style="628" min="5915" max="5920"/>
    <col width="2.125" customWidth="1" style="628" min="5921" max="5924"/>
    <col width="8.375" customWidth="1" style="628" min="5925" max="6144"/>
    <col width="1.375" customWidth="1" style="628" min="6145" max="6145"/>
    <col width="14.25" customWidth="1" style="628" min="6146" max="6146"/>
    <col width="6.625" customWidth="1" style="628" min="6147" max="6147"/>
    <col width="11.375" customWidth="1" style="628" min="6148" max="6148"/>
    <col width="9.625" customWidth="1" style="628" min="6149" max="6149"/>
    <col width="8" customWidth="1" style="628" min="6150" max="6150"/>
    <col width="11.375" customWidth="1" style="628" min="6151" max="6151"/>
    <col width="10" customWidth="1" style="628" min="6152" max="6153"/>
    <col width="9.625" customWidth="1" style="628" min="6154" max="6154"/>
    <col width="8.5" customWidth="1" style="628" min="6155" max="6155"/>
    <col width="11.375" customWidth="1" style="628" min="6156" max="6156"/>
    <col width="2.375" customWidth="1" style="628" min="6157" max="6162"/>
    <col width="3" customWidth="1" style="628" min="6163" max="6166"/>
    <col width="2.75" customWidth="1" style="628" min="6167" max="6170"/>
    <col width="2.375" customWidth="1" style="628" min="6171" max="6176"/>
    <col width="2.125" customWidth="1" style="628" min="6177" max="6180"/>
    <col width="8.375" customWidth="1" style="628" min="6181" max="6400"/>
    <col width="1.375" customWidth="1" style="628" min="6401" max="6401"/>
    <col width="14.25" customWidth="1" style="628" min="6402" max="6402"/>
    <col width="6.625" customWidth="1" style="628" min="6403" max="6403"/>
    <col width="11.375" customWidth="1" style="628" min="6404" max="6404"/>
    <col width="9.625" customWidth="1" style="628" min="6405" max="6405"/>
    <col width="8" customWidth="1" style="628" min="6406" max="6406"/>
    <col width="11.375" customWidth="1" style="628" min="6407" max="6407"/>
    <col width="10" customWidth="1" style="628" min="6408" max="6409"/>
    <col width="9.625" customWidth="1" style="628" min="6410" max="6410"/>
    <col width="8.5" customWidth="1" style="628" min="6411" max="6411"/>
    <col width="11.375" customWidth="1" style="628" min="6412" max="6412"/>
    <col width="2.375" customWidth="1" style="628" min="6413" max="6418"/>
    <col width="3" customWidth="1" style="628" min="6419" max="6422"/>
    <col width="2.75" customWidth="1" style="628" min="6423" max="6426"/>
    <col width="2.375" customWidth="1" style="628" min="6427" max="6432"/>
    <col width="2.125" customWidth="1" style="628" min="6433" max="6436"/>
    <col width="8.375" customWidth="1" style="628" min="6437" max="6656"/>
    <col width="1.375" customWidth="1" style="628" min="6657" max="6657"/>
    <col width="14.25" customWidth="1" style="628" min="6658" max="6658"/>
    <col width="6.625" customWidth="1" style="628" min="6659" max="6659"/>
    <col width="11.375" customWidth="1" style="628" min="6660" max="6660"/>
    <col width="9.625" customWidth="1" style="628" min="6661" max="6661"/>
    <col width="8" customWidth="1" style="628" min="6662" max="6662"/>
    <col width="11.375" customWidth="1" style="628" min="6663" max="6663"/>
    <col width="10" customWidth="1" style="628" min="6664" max="6665"/>
    <col width="9.625" customWidth="1" style="628" min="6666" max="6666"/>
    <col width="8.5" customWidth="1" style="628" min="6667" max="6667"/>
    <col width="11.375" customWidth="1" style="628" min="6668" max="6668"/>
    <col width="2.375" customWidth="1" style="628" min="6669" max="6674"/>
    <col width="3" customWidth="1" style="628" min="6675" max="6678"/>
    <col width="2.75" customWidth="1" style="628" min="6679" max="6682"/>
    <col width="2.375" customWidth="1" style="628" min="6683" max="6688"/>
    <col width="2.125" customWidth="1" style="628" min="6689" max="6692"/>
    <col width="8.375" customWidth="1" style="628" min="6693" max="6912"/>
    <col width="1.375" customWidth="1" style="628" min="6913" max="6913"/>
    <col width="14.25" customWidth="1" style="628" min="6914" max="6914"/>
    <col width="6.625" customWidth="1" style="628" min="6915" max="6915"/>
    <col width="11.375" customWidth="1" style="628" min="6916" max="6916"/>
    <col width="9.625" customWidth="1" style="628" min="6917" max="6917"/>
    <col width="8" customWidth="1" style="628" min="6918" max="6918"/>
    <col width="11.375" customWidth="1" style="628" min="6919" max="6919"/>
    <col width="10" customWidth="1" style="628" min="6920" max="6921"/>
    <col width="9.625" customWidth="1" style="628" min="6922" max="6922"/>
    <col width="8.5" customWidth="1" style="628" min="6923" max="6923"/>
    <col width="11.375" customWidth="1" style="628" min="6924" max="6924"/>
    <col width="2.375" customWidth="1" style="628" min="6925" max="6930"/>
    <col width="3" customWidth="1" style="628" min="6931" max="6934"/>
    <col width="2.75" customWidth="1" style="628" min="6935" max="6938"/>
    <col width="2.375" customWidth="1" style="628" min="6939" max="6944"/>
    <col width="2.125" customWidth="1" style="628" min="6945" max="6948"/>
    <col width="8.375" customWidth="1" style="628" min="6949" max="7168"/>
    <col width="1.375" customWidth="1" style="628" min="7169" max="7169"/>
    <col width="14.25" customWidth="1" style="628" min="7170" max="7170"/>
    <col width="6.625" customWidth="1" style="628" min="7171" max="7171"/>
    <col width="11.375" customWidth="1" style="628" min="7172" max="7172"/>
    <col width="9.625" customWidth="1" style="628" min="7173" max="7173"/>
    <col width="8" customWidth="1" style="628" min="7174" max="7174"/>
    <col width="11.375" customWidth="1" style="628" min="7175" max="7175"/>
    <col width="10" customWidth="1" style="628" min="7176" max="7177"/>
    <col width="9.625" customWidth="1" style="628" min="7178" max="7178"/>
    <col width="8.5" customWidth="1" style="628" min="7179" max="7179"/>
    <col width="11.375" customWidth="1" style="628" min="7180" max="7180"/>
    <col width="2.375" customWidth="1" style="628" min="7181" max="7186"/>
    <col width="3" customWidth="1" style="628" min="7187" max="7190"/>
    <col width="2.75" customWidth="1" style="628" min="7191" max="7194"/>
    <col width="2.375" customWidth="1" style="628" min="7195" max="7200"/>
    <col width="2.125" customWidth="1" style="628" min="7201" max="7204"/>
    <col width="8.375" customWidth="1" style="628" min="7205" max="7424"/>
    <col width="1.375" customWidth="1" style="628" min="7425" max="7425"/>
    <col width="14.25" customWidth="1" style="628" min="7426" max="7426"/>
    <col width="6.625" customWidth="1" style="628" min="7427" max="7427"/>
    <col width="11.375" customWidth="1" style="628" min="7428" max="7428"/>
    <col width="9.625" customWidth="1" style="628" min="7429" max="7429"/>
    <col width="8" customWidth="1" style="628" min="7430" max="7430"/>
    <col width="11.375" customWidth="1" style="628" min="7431" max="7431"/>
    <col width="10" customWidth="1" style="628" min="7432" max="7433"/>
    <col width="9.625" customWidth="1" style="628" min="7434" max="7434"/>
    <col width="8.5" customWidth="1" style="628" min="7435" max="7435"/>
    <col width="11.375" customWidth="1" style="628" min="7436" max="7436"/>
    <col width="2.375" customWidth="1" style="628" min="7437" max="7442"/>
    <col width="3" customWidth="1" style="628" min="7443" max="7446"/>
    <col width="2.75" customWidth="1" style="628" min="7447" max="7450"/>
    <col width="2.375" customWidth="1" style="628" min="7451" max="7456"/>
    <col width="2.125" customWidth="1" style="628" min="7457" max="7460"/>
    <col width="8.375" customWidth="1" style="628" min="7461" max="7680"/>
    <col width="1.375" customWidth="1" style="628" min="7681" max="7681"/>
    <col width="14.25" customWidth="1" style="628" min="7682" max="7682"/>
    <col width="6.625" customWidth="1" style="628" min="7683" max="7683"/>
    <col width="11.375" customWidth="1" style="628" min="7684" max="7684"/>
    <col width="9.625" customWidth="1" style="628" min="7685" max="7685"/>
    <col width="8" customWidth="1" style="628" min="7686" max="7686"/>
    <col width="11.375" customWidth="1" style="628" min="7687" max="7687"/>
    <col width="10" customWidth="1" style="628" min="7688" max="7689"/>
    <col width="9.625" customWidth="1" style="628" min="7690" max="7690"/>
    <col width="8.5" customWidth="1" style="628" min="7691" max="7691"/>
    <col width="11.375" customWidth="1" style="628" min="7692" max="7692"/>
    <col width="2.375" customWidth="1" style="628" min="7693" max="7698"/>
    <col width="3" customWidth="1" style="628" min="7699" max="7702"/>
    <col width="2.75" customWidth="1" style="628" min="7703" max="7706"/>
    <col width="2.375" customWidth="1" style="628" min="7707" max="7712"/>
    <col width="2.125" customWidth="1" style="628" min="7713" max="7716"/>
    <col width="8.375" customWidth="1" style="628" min="7717" max="7936"/>
    <col width="1.375" customWidth="1" style="628" min="7937" max="7937"/>
    <col width="14.25" customWidth="1" style="628" min="7938" max="7938"/>
    <col width="6.625" customWidth="1" style="628" min="7939" max="7939"/>
    <col width="11.375" customWidth="1" style="628" min="7940" max="7940"/>
    <col width="9.625" customWidth="1" style="628" min="7941" max="7941"/>
    <col width="8" customWidth="1" style="628" min="7942" max="7942"/>
    <col width="11.375" customWidth="1" style="628" min="7943" max="7943"/>
    <col width="10" customWidth="1" style="628" min="7944" max="7945"/>
    <col width="9.625" customWidth="1" style="628" min="7946" max="7946"/>
    <col width="8.5" customWidth="1" style="628" min="7947" max="7947"/>
    <col width="11.375" customWidth="1" style="628" min="7948" max="7948"/>
    <col width="2.375" customWidth="1" style="628" min="7949" max="7954"/>
    <col width="3" customWidth="1" style="628" min="7955" max="7958"/>
    <col width="2.75" customWidth="1" style="628" min="7959" max="7962"/>
    <col width="2.375" customWidth="1" style="628" min="7963" max="7968"/>
    <col width="2.125" customWidth="1" style="628" min="7969" max="7972"/>
    <col width="8.375" customWidth="1" style="628" min="7973" max="8192"/>
    <col width="1.375" customWidth="1" style="628" min="8193" max="8193"/>
    <col width="14.25" customWidth="1" style="628" min="8194" max="8194"/>
    <col width="6.625" customWidth="1" style="628" min="8195" max="8195"/>
    <col width="11.375" customWidth="1" style="628" min="8196" max="8196"/>
    <col width="9.625" customWidth="1" style="628" min="8197" max="8197"/>
    <col width="8" customWidth="1" style="628" min="8198" max="8198"/>
    <col width="11.375" customWidth="1" style="628" min="8199" max="8199"/>
    <col width="10" customWidth="1" style="628" min="8200" max="8201"/>
    <col width="9.625" customWidth="1" style="628" min="8202" max="8202"/>
    <col width="8.5" customWidth="1" style="628" min="8203" max="8203"/>
    <col width="11.375" customWidth="1" style="628" min="8204" max="8204"/>
    <col width="2.375" customWidth="1" style="628" min="8205" max="8210"/>
    <col width="3" customWidth="1" style="628" min="8211" max="8214"/>
    <col width="2.75" customWidth="1" style="628" min="8215" max="8218"/>
    <col width="2.375" customWidth="1" style="628" min="8219" max="8224"/>
    <col width="2.125" customWidth="1" style="628" min="8225" max="8228"/>
    <col width="8.375" customWidth="1" style="628" min="8229" max="8448"/>
    <col width="1.375" customWidth="1" style="628" min="8449" max="8449"/>
    <col width="14.25" customWidth="1" style="628" min="8450" max="8450"/>
    <col width="6.625" customWidth="1" style="628" min="8451" max="8451"/>
    <col width="11.375" customWidth="1" style="628" min="8452" max="8452"/>
    <col width="9.625" customWidth="1" style="628" min="8453" max="8453"/>
    <col width="8" customWidth="1" style="628" min="8454" max="8454"/>
    <col width="11.375" customWidth="1" style="628" min="8455" max="8455"/>
    <col width="10" customWidth="1" style="628" min="8456" max="8457"/>
    <col width="9.625" customWidth="1" style="628" min="8458" max="8458"/>
    <col width="8.5" customWidth="1" style="628" min="8459" max="8459"/>
    <col width="11.375" customWidth="1" style="628" min="8460" max="8460"/>
    <col width="2.375" customWidth="1" style="628" min="8461" max="8466"/>
    <col width="3" customWidth="1" style="628" min="8467" max="8470"/>
    <col width="2.75" customWidth="1" style="628" min="8471" max="8474"/>
    <col width="2.375" customWidth="1" style="628" min="8475" max="8480"/>
    <col width="2.125" customWidth="1" style="628" min="8481" max="8484"/>
    <col width="8.375" customWidth="1" style="628" min="8485" max="8704"/>
    <col width="1.375" customWidth="1" style="628" min="8705" max="8705"/>
    <col width="14.25" customWidth="1" style="628" min="8706" max="8706"/>
    <col width="6.625" customWidth="1" style="628" min="8707" max="8707"/>
    <col width="11.375" customWidth="1" style="628" min="8708" max="8708"/>
    <col width="9.625" customWidth="1" style="628" min="8709" max="8709"/>
    <col width="8" customWidth="1" style="628" min="8710" max="8710"/>
    <col width="11.375" customWidth="1" style="628" min="8711" max="8711"/>
    <col width="10" customWidth="1" style="628" min="8712" max="8713"/>
    <col width="9.625" customWidth="1" style="628" min="8714" max="8714"/>
    <col width="8.5" customWidth="1" style="628" min="8715" max="8715"/>
    <col width="11.375" customWidth="1" style="628" min="8716" max="8716"/>
    <col width="2.375" customWidth="1" style="628" min="8717" max="8722"/>
    <col width="3" customWidth="1" style="628" min="8723" max="8726"/>
    <col width="2.75" customWidth="1" style="628" min="8727" max="8730"/>
    <col width="2.375" customWidth="1" style="628" min="8731" max="8736"/>
    <col width="2.125" customWidth="1" style="628" min="8737" max="8740"/>
    <col width="8.375" customWidth="1" style="628" min="8741" max="8960"/>
    <col width="1.375" customWidth="1" style="628" min="8961" max="8961"/>
    <col width="14.25" customWidth="1" style="628" min="8962" max="8962"/>
    <col width="6.625" customWidth="1" style="628" min="8963" max="8963"/>
    <col width="11.375" customWidth="1" style="628" min="8964" max="8964"/>
    <col width="9.625" customWidth="1" style="628" min="8965" max="8965"/>
    <col width="8" customWidth="1" style="628" min="8966" max="8966"/>
    <col width="11.375" customWidth="1" style="628" min="8967" max="8967"/>
    <col width="10" customWidth="1" style="628" min="8968" max="8969"/>
    <col width="9.625" customWidth="1" style="628" min="8970" max="8970"/>
    <col width="8.5" customWidth="1" style="628" min="8971" max="8971"/>
    <col width="11.375" customWidth="1" style="628" min="8972" max="8972"/>
    <col width="2.375" customWidth="1" style="628" min="8973" max="8978"/>
    <col width="3" customWidth="1" style="628" min="8979" max="8982"/>
    <col width="2.75" customWidth="1" style="628" min="8983" max="8986"/>
    <col width="2.375" customWidth="1" style="628" min="8987" max="8992"/>
    <col width="2.125" customWidth="1" style="628" min="8993" max="8996"/>
    <col width="8.375" customWidth="1" style="628" min="8997" max="9216"/>
    <col width="1.375" customWidth="1" style="628" min="9217" max="9217"/>
    <col width="14.25" customWidth="1" style="628" min="9218" max="9218"/>
    <col width="6.625" customWidth="1" style="628" min="9219" max="9219"/>
    <col width="11.375" customWidth="1" style="628" min="9220" max="9220"/>
    <col width="9.625" customWidth="1" style="628" min="9221" max="9221"/>
    <col width="8" customWidth="1" style="628" min="9222" max="9222"/>
    <col width="11.375" customWidth="1" style="628" min="9223" max="9223"/>
    <col width="10" customWidth="1" style="628" min="9224" max="9225"/>
    <col width="9.625" customWidth="1" style="628" min="9226" max="9226"/>
    <col width="8.5" customWidth="1" style="628" min="9227" max="9227"/>
    <col width="11.375" customWidth="1" style="628" min="9228" max="9228"/>
    <col width="2.375" customWidth="1" style="628" min="9229" max="9234"/>
    <col width="3" customWidth="1" style="628" min="9235" max="9238"/>
    <col width="2.75" customWidth="1" style="628" min="9239" max="9242"/>
    <col width="2.375" customWidth="1" style="628" min="9243" max="9248"/>
    <col width="2.125" customWidth="1" style="628" min="9249" max="9252"/>
    <col width="8.375" customWidth="1" style="628" min="9253" max="9472"/>
    <col width="1.375" customWidth="1" style="628" min="9473" max="9473"/>
    <col width="14.25" customWidth="1" style="628" min="9474" max="9474"/>
    <col width="6.625" customWidth="1" style="628" min="9475" max="9475"/>
    <col width="11.375" customWidth="1" style="628" min="9476" max="9476"/>
    <col width="9.625" customWidth="1" style="628" min="9477" max="9477"/>
    <col width="8" customWidth="1" style="628" min="9478" max="9478"/>
    <col width="11.375" customWidth="1" style="628" min="9479" max="9479"/>
    <col width="10" customWidth="1" style="628" min="9480" max="9481"/>
    <col width="9.625" customWidth="1" style="628" min="9482" max="9482"/>
    <col width="8.5" customWidth="1" style="628" min="9483" max="9483"/>
    <col width="11.375" customWidth="1" style="628" min="9484" max="9484"/>
    <col width="2.375" customWidth="1" style="628" min="9485" max="9490"/>
    <col width="3" customWidth="1" style="628" min="9491" max="9494"/>
    <col width="2.75" customWidth="1" style="628" min="9495" max="9498"/>
    <col width="2.375" customWidth="1" style="628" min="9499" max="9504"/>
    <col width="2.125" customWidth="1" style="628" min="9505" max="9508"/>
    <col width="8.375" customWidth="1" style="628" min="9509" max="9728"/>
    <col width="1.375" customWidth="1" style="628" min="9729" max="9729"/>
    <col width="14.25" customWidth="1" style="628" min="9730" max="9730"/>
    <col width="6.625" customWidth="1" style="628" min="9731" max="9731"/>
    <col width="11.375" customWidth="1" style="628" min="9732" max="9732"/>
    <col width="9.625" customWidth="1" style="628" min="9733" max="9733"/>
    <col width="8" customWidth="1" style="628" min="9734" max="9734"/>
    <col width="11.375" customWidth="1" style="628" min="9735" max="9735"/>
    <col width="10" customWidth="1" style="628" min="9736" max="9737"/>
    <col width="9.625" customWidth="1" style="628" min="9738" max="9738"/>
    <col width="8.5" customWidth="1" style="628" min="9739" max="9739"/>
    <col width="11.375" customWidth="1" style="628" min="9740" max="9740"/>
    <col width="2.375" customWidth="1" style="628" min="9741" max="9746"/>
    <col width="3" customWidth="1" style="628" min="9747" max="9750"/>
    <col width="2.75" customWidth="1" style="628" min="9751" max="9754"/>
    <col width="2.375" customWidth="1" style="628" min="9755" max="9760"/>
    <col width="2.125" customWidth="1" style="628" min="9761" max="9764"/>
    <col width="8.375" customWidth="1" style="628" min="9765" max="9984"/>
    <col width="1.375" customWidth="1" style="628" min="9985" max="9985"/>
    <col width="14.25" customWidth="1" style="628" min="9986" max="9986"/>
    <col width="6.625" customWidth="1" style="628" min="9987" max="9987"/>
    <col width="11.375" customWidth="1" style="628" min="9988" max="9988"/>
    <col width="9.625" customWidth="1" style="628" min="9989" max="9989"/>
    <col width="8" customWidth="1" style="628" min="9990" max="9990"/>
    <col width="11.375" customWidth="1" style="628" min="9991" max="9991"/>
    <col width="10" customWidth="1" style="628" min="9992" max="9993"/>
    <col width="9.625" customWidth="1" style="628" min="9994" max="9994"/>
    <col width="8.5" customWidth="1" style="628" min="9995" max="9995"/>
    <col width="11.375" customWidth="1" style="628" min="9996" max="9996"/>
    <col width="2.375" customWidth="1" style="628" min="9997" max="10002"/>
    <col width="3" customWidth="1" style="628" min="10003" max="10006"/>
    <col width="2.75" customWidth="1" style="628" min="10007" max="10010"/>
    <col width="2.375" customWidth="1" style="628" min="10011" max="10016"/>
    <col width="2.125" customWidth="1" style="628" min="10017" max="10020"/>
    <col width="8.375" customWidth="1" style="628" min="10021" max="10240"/>
    <col width="1.375" customWidth="1" style="628" min="10241" max="10241"/>
    <col width="14.25" customWidth="1" style="628" min="10242" max="10242"/>
    <col width="6.625" customWidth="1" style="628" min="10243" max="10243"/>
    <col width="11.375" customWidth="1" style="628" min="10244" max="10244"/>
    <col width="9.625" customWidth="1" style="628" min="10245" max="10245"/>
    <col width="8" customWidth="1" style="628" min="10246" max="10246"/>
    <col width="11.375" customWidth="1" style="628" min="10247" max="10247"/>
    <col width="10" customWidth="1" style="628" min="10248" max="10249"/>
    <col width="9.625" customWidth="1" style="628" min="10250" max="10250"/>
    <col width="8.5" customWidth="1" style="628" min="10251" max="10251"/>
    <col width="11.375" customWidth="1" style="628" min="10252" max="10252"/>
    <col width="2.375" customWidth="1" style="628" min="10253" max="10258"/>
    <col width="3" customWidth="1" style="628" min="10259" max="10262"/>
    <col width="2.75" customWidth="1" style="628" min="10263" max="10266"/>
    <col width="2.375" customWidth="1" style="628" min="10267" max="10272"/>
    <col width="2.125" customWidth="1" style="628" min="10273" max="10276"/>
    <col width="8.375" customWidth="1" style="628" min="10277" max="10496"/>
    <col width="1.375" customWidth="1" style="628" min="10497" max="10497"/>
    <col width="14.25" customWidth="1" style="628" min="10498" max="10498"/>
    <col width="6.625" customWidth="1" style="628" min="10499" max="10499"/>
    <col width="11.375" customWidth="1" style="628" min="10500" max="10500"/>
    <col width="9.625" customWidth="1" style="628" min="10501" max="10501"/>
    <col width="8" customWidth="1" style="628" min="10502" max="10502"/>
    <col width="11.375" customWidth="1" style="628" min="10503" max="10503"/>
    <col width="10" customWidth="1" style="628" min="10504" max="10505"/>
    <col width="9.625" customWidth="1" style="628" min="10506" max="10506"/>
    <col width="8.5" customWidth="1" style="628" min="10507" max="10507"/>
    <col width="11.375" customWidth="1" style="628" min="10508" max="10508"/>
    <col width="2.375" customWidth="1" style="628" min="10509" max="10514"/>
    <col width="3" customWidth="1" style="628" min="10515" max="10518"/>
    <col width="2.75" customWidth="1" style="628" min="10519" max="10522"/>
    <col width="2.375" customWidth="1" style="628" min="10523" max="10528"/>
    <col width="2.125" customWidth="1" style="628" min="10529" max="10532"/>
    <col width="8.375" customWidth="1" style="628" min="10533" max="10752"/>
    <col width="1.375" customWidth="1" style="628" min="10753" max="10753"/>
    <col width="14.25" customWidth="1" style="628" min="10754" max="10754"/>
    <col width="6.625" customWidth="1" style="628" min="10755" max="10755"/>
    <col width="11.375" customWidth="1" style="628" min="10756" max="10756"/>
    <col width="9.625" customWidth="1" style="628" min="10757" max="10757"/>
    <col width="8" customWidth="1" style="628" min="10758" max="10758"/>
    <col width="11.375" customWidth="1" style="628" min="10759" max="10759"/>
    <col width="10" customWidth="1" style="628" min="10760" max="10761"/>
    <col width="9.625" customWidth="1" style="628" min="10762" max="10762"/>
    <col width="8.5" customWidth="1" style="628" min="10763" max="10763"/>
    <col width="11.375" customWidth="1" style="628" min="10764" max="10764"/>
    <col width="2.375" customWidth="1" style="628" min="10765" max="10770"/>
    <col width="3" customWidth="1" style="628" min="10771" max="10774"/>
    <col width="2.75" customWidth="1" style="628" min="10775" max="10778"/>
    <col width="2.375" customWidth="1" style="628" min="10779" max="10784"/>
    <col width="2.125" customWidth="1" style="628" min="10785" max="10788"/>
    <col width="8.375" customWidth="1" style="628" min="10789" max="11008"/>
    <col width="1.375" customWidth="1" style="628" min="11009" max="11009"/>
    <col width="14.25" customWidth="1" style="628" min="11010" max="11010"/>
    <col width="6.625" customWidth="1" style="628" min="11011" max="11011"/>
    <col width="11.375" customWidth="1" style="628" min="11012" max="11012"/>
    <col width="9.625" customWidth="1" style="628" min="11013" max="11013"/>
    <col width="8" customWidth="1" style="628" min="11014" max="11014"/>
    <col width="11.375" customWidth="1" style="628" min="11015" max="11015"/>
    <col width="10" customWidth="1" style="628" min="11016" max="11017"/>
    <col width="9.625" customWidth="1" style="628" min="11018" max="11018"/>
    <col width="8.5" customWidth="1" style="628" min="11019" max="11019"/>
    <col width="11.375" customWidth="1" style="628" min="11020" max="11020"/>
    <col width="2.375" customWidth="1" style="628" min="11021" max="11026"/>
    <col width="3" customWidth="1" style="628" min="11027" max="11030"/>
    <col width="2.75" customWidth="1" style="628" min="11031" max="11034"/>
    <col width="2.375" customWidth="1" style="628" min="11035" max="11040"/>
    <col width="2.125" customWidth="1" style="628" min="11041" max="11044"/>
    <col width="8.375" customWidth="1" style="628" min="11045" max="11264"/>
    <col width="1.375" customWidth="1" style="628" min="11265" max="11265"/>
    <col width="14.25" customWidth="1" style="628" min="11266" max="11266"/>
    <col width="6.625" customWidth="1" style="628" min="11267" max="11267"/>
    <col width="11.375" customWidth="1" style="628" min="11268" max="11268"/>
    <col width="9.625" customWidth="1" style="628" min="11269" max="11269"/>
    <col width="8" customWidth="1" style="628" min="11270" max="11270"/>
    <col width="11.375" customWidth="1" style="628" min="11271" max="11271"/>
    <col width="10" customWidth="1" style="628" min="11272" max="11273"/>
    <col width="9.625" customWidth="1" style="628" min="11274" max="11274"/>
    <col width="8.5" customWidth="1" style="628" min="11275" max="11275"/>
    <col width="11.375" customWidth="1" style="628" min="11276" max="11276"/>
    <col width="2.375" customWidth="1" style="628" min="11277" max="11282"/>
    <col width="3" customWidth="1" style="628" min="11283" max="11286"/>
    <col width="2.75" customWidth="1" style="628" min="11287" max="11290"/>
    <col width="2.375" customWidth="1" style="628" min="11291" max="11296"/>
    <col width="2.125" customWidth="1" style="628" min="11297" max="11300"/>
    <col width="8.375" customWidth="1" style="628" min="11301" max="11520"/>
    <col width="1.375" customWidth="1" style="628" min="11521" max="11521"/>
    <col width="14.25" customWidth="1" style="628" min="11522" max="11522"/>
    <col width="6.625" customWidth="1" style="628" min="11523" max="11523"/>
    <col width="11.375" customWidth="1" style="628" min="11524" max="11524"/>
    <col width="9.625" customWidth="1" style="628" min="11525" max="11525"/>
    <col width="8" customWidth="1" style="628" min="11526" max="11526"/>
    <col width="11.375" customWidth="1" style="628" min="11527" max="11527"/>
    <col width="10" customWidth="1" style="628" min="11528" max="11529"/>
    <col width="9.625" customWidth="1" style="628" min="11530" max="11530"/>
    <col width="8.5" customWidth="1" style="628" min="11531" max="11531"/>
    <col width="11.375" customWidth="1" style="628" min="11532" max="11532"/>
    <col width="2.375" customWidth="1" style="628" min="11533" max="11538"/>
    <col width="3" customWidth="1" style="628" min="11539" max="11542"/>
    <col width="2.75" customWidth="1" style="628" min="11543" max="11546"/>
    <col width="2.375" customWidth="1" style="628" min="11547" max="11552"/>
    <col width="2.125" customWidth="1" style="628" min="11553" max="11556"/>
    <col width="8.375" customWidth="1" style="628" min="11557" max="11776"/>
    <col width="1.375" customWidth="1" style="628" min="11777" max="11777"/>
    <col width="14.25" customWidth="1" style="628" min="11778" max="11778"/>
    <col width="6.625" customWidth="1" style="628" min="11779" max="11779"/>
    <col width="11.375" customWidth="1" style="628" min="11780" max="11780"/>
    <col width="9.625" customWidth="1" style="628" min="11781" max="11781"/>
    <col width="8" customWidth="1" style="628" min="11782" max="11782"/>
    <col width="11.375" customWidth="1" style="628" min="11783" max="11783"/>
    <col width="10" customWidth="1" style="628" min="11784" max="11785"/>
    <col width="9.625" customWidth="1" style="628" min="11786" max="11786"/>
    <col width="8.5" customWidth="1" style="628" min="11787" max="11787"/>
    <col width="11.375" customWidth="1" style="628" min="11788" max="11788"/>
    <col width="2.375" customWidth="1" style="628" min="11789" max="11794"/>
    <col width="3" customWidth="1" style="628" min="11795" max="11798"/>
    <col width="2.75" customWidth="1" style="628" min="11799" max="11802"/>
    <col width="2.375" customWidth="1" style="628" min="11803" max="11808"/>
    <col width="2.125" customWidth="1" style="628" min="11809" max="11812"/>
    <col width="8.375" customWidth="1" style="628" min="11813" max="12032"/>
    <col width="1.375" customWidth="1" style="628" min="12033" max="12033"/>
    <col width="14.25" customWidth="1" style="628" min="12034" max="12034"/>
    <col width="6.625" customWidth="1" style="628" min="12035" max="12035"/>
    <col width="11.375" customWidth="1" style="628" min="12036" max="12036"/>
    <col width="9.625" customWidth="1" style="628" min="12037" max="12037"/>
    <col width="8" customWidth="1" style="628" min="12038" max="12038"/>
    <col width="11.375" customWidth="1" style="628" min="12039" max="12039"/>
    <col width="10" customWidth="1" style="628" min="12040" max="12041"/>
    <col width="9.625" customWidth="1" style="628" min="12042" max="12042"/>
    <col width="8.5" customWidth="1" style="628" min="12043" max="12043"/>
    <col width="11.375" customWidth="1" style="628" min="12044" max="12044"/>
    <col width="2.375" customWidth="1" style="628" min="12045" max="12050"/>
    <col width="3" customWidth="1" style="628" min="12051" max="12054"/>
    <col width="2.75" customWidth="1" style="628" min="12055" max="12058"/>
    <col width="2.375" customWidth="1" style="628" min="12059" max="12064"/>
    <col width="2.125" customWidth="1" style="628" min="12065" max="12068"/>
    <col width="8.375" customWidth="1" style="628" min="12069" max="12288"/>
    <col width="1.375" customWidth="1" style="628" min="12289" max="12289"/>
    <col width="14.25" customWidth="1" style="628" min="12290" max="12290"/>
    <col width="6.625" customWidth="1" style="628" min="12291" max="12291"/>
    <col width="11.375" customWidth="1" style="628" min="12292" max="12292"/>
    <col width="9.625" customWidth="1" style="628" min="12293" max="12293"/>
    <col width="8" customWidth="1" style="628" min="12294" max="12294"/>
    <col width="11.375" customWidth="1" style="628" min="12295" max="12295"/>
    <col width="10" customWidth="1" style="628" min="12296" max="12297"/>
    <col width="9.625" customWidth="1" style="628" min="12298" max="12298"/>
    <col width="8.5" customWidth="1" style="628" min="12299" max="12299"/>
    <col width="11.375" customWidth="1" style="628" min="12300" max="12300"/>
    <col width="2.375" customWidth="1" style="628" min="12301" max="12306"/>
    <col width="3" customWidth="1" style="628" min="12307" max="12310"/>
    <col width="2.75" customWidth="1" style="628" min="12311" max="12314"/>
    <col width="2.375" customWidth="1" style="628" min="12315" max="12320"/>
    <col width="2.125" customWidth="1" style="628" min="12321" max="12324"/>
    <col width="8.375" customWidth="1" style="628" min="12325" max="12544"/>
    <col width="1.375" customWidth="1" style="628" min="12545" max="12545"/>
    <col width="14.25" customWidth="1" style="628" min="12546" max="12546"/>
    <col width="6.625" customWidth="1" style="628" min="12547" max="12547"/>
    <col width="11.375" customWidth="1" style="628" min="12548" max="12548"/>
    <col width="9.625" customWidth="1" style="628" min="12549" max="12549"/>
    <col width="8" customWidth="1" style="628" min="12550" max="12550"/>
    <col width="11.375" customWidth="1" style="628" min="12551" max="12551"/>
    <col width="10" customWidth="1" style="628" min="12552" max="12553"/>
    <col width="9.625" customWidth="1" style="628" min="12554" max="12554"/>
    <col width="8.5" customWidth="1" style="628" min="12555" max="12555"/>
    <col width="11.375" customWidth="1" style="628" min="12556" max="12556"/>
    <col width="2.375" customWidth="1" style="628" min="12557" max="12562"/>
    <col width="3" customWidth="1" style="628" min="12563" max="12566"/>
    <col width="2.75" customWidth="1" style="628" min="12567" max="12570"/>
    <col width="2.375" customWidth="1" style="628" min="12571" max="12576"/>
    <col width="2.125" customWidth="1" style="628" min="12577" max="12580"/>
    <col width="8.375" customWidth="1" style="628" min="12581" max="12800"/>
    <col width="1.375" customWidth="1" style="628" min="12801" max="12801"/>
    <col width="14.25" customWidth="1" style="628" min="12802" max="12802"/>
    <col width="6.625" customWidth="1" style="628" min="12803" max="12803"/>
    <col width="11.375" customWidth="1" style="628" min="12804" max="12804"/>
    <col width="9.625" customWidth="1" style="628" min="12805" max="12805"/>
    <col width="8" customWidth="1" style="628" min="12806" max="12806"/>
    <col width="11.375" customWidth="1" style="628" min="12807" max="12807"/>
    <col width="10" customWidth="1" style="628" min="12808" max="12809"/>
    <col width="9.625" customWidth="1" style="628" min="12810" max="12810"/>
    <col width="8.5" customWidth="1" style="628" min="12811" max="12811"/>
    <col width="11.375" customWidth="1" style="628" min="12812" max="12812"/>
    <col width="2.375" customWidth="1" style="628" min="12813" max="12818"/>
    <col width="3" customWidth="1" style="628" min="12819" max="12822"/>
    <col width="2.75" customWidth="1" style="628" min="12823" max="12826"/>
    <col width="2.375" customWidth="1" style="628" min="12827" max="12832"/>
    <col width="2.125" customWidth="1" style="628" min="12833" max="12836"/>
    <col width="8.375" customWidth="1" style="628" min="12837" max="13056"/>
    <col width="1.375" customWidth="1" style="628" min="13057" max="13057"/>
    <col width="14.25" customWidth="1" style="628" min="13058" max="13058"/>
    <col width="6.625" customWidth="1" style="628" min="13059" max="13059"/>
    <col width="11.375" customWidth="1" style="628" min="13060" max="13060"/>
    <col width="9.625" customWidth="1" style="628" min="13061" max="13061"/>
    <col width="8" customWidth="1" style="628" min="13062" max="13062"/>
    <col width="11.375" customWidth="1" style="628" min="13063" max="13063"/>
    <col width="10" customWidth="1" style="628" min="13064" max="13065"/>
    <col width="9.625" customWidth="1" style="628" min="13066" max="13066"/>
    <col width="8.5" customWidth="1" style="628" min="13067" max="13067"/>
    <col width="11.375" customWidth="1" style="628" min="13068" max="13068"/>
    <col width="2.375" customWidth="1" style="628" min="13069" max="13074"/>
    <col width="3" customWidth="1" style="628" min="13075" max="13078"/>
    <col width="2.75" customWidth="1" style="628" min="13079" max="13082"/>
    <col width="2.375" customWidth="1" style="628" min="13083" max="13088"/>
    <col width="2.125" customWidth="1" style="628" min="13089" max="13092"/>
    <col width="8.375" customWidth="1" style="628" min="13093" max="13312"/>
    <col width="1.375" customWidth="1" style="628" min="13313" max="13313"/>
    <col width="14.25" customWidth="1" style="628" min="13314" max="13314"/>
    <col width="6.625" customWidth="1" style="628" min="13315" max="13315"/>
    <col width="11.375" customWidth="1" style="628" min="13316" max="13316"/>
    <col width="9.625" customWidth="1" style="628" min="13317" max="13317"/>
    <col width="8" customWidth="1" style="628" min="13318" max="13318"/>
    <col width="11.375" customWidth="1" style="628" min="13319" max="13319"/>
    <col width="10" customWidth="1" style="628" min="13320" max="13321"/>
    <col width="9.625" customWidth="1" style="628" min="13322" max="13322"/>
    <col width="8.5" customWidth="1" style="628" min="13323" max="13323"/>
    <col width="11.375" customWidth="1" style="628" min="13324" max="13324"/>
    <col width="2.375" customWidth="1" style="628" min="13325" max="13330"/>
    <col width="3" customWidth="1" style="628" min="13331" max="13334"/>
    <col width="2.75" customWidth="1" style="628" min="13335" max="13338"/>
    <col width="2.375" customWidth="1" style="628" min="13339" max="13344"/>
    <col width="2.125" customWidth="1" style="628" min="13345" max="13348"/>
    <col width="8.375" customWidth="1" style="628" min="13349" max="13568"/>
    <col width="1.375" customWidth="1" style="628" min="13569" max="13569"/>
    <col width="14.25" customWidth="1" style="628" min="13570" max="13570"/>
    <col width="6.625" customWidth="1" style="628" min="13571" max="13571"/>
    <col width="11.375" customWidth="1" style="628" min="13572" max="13572"/>
    <col width="9.625" customWidth="1" style="628" min="13573" max="13573"/>
    <col width="8" customWidth="1" style="628" min="13574" max="13574"/>
    <col width="11.375" customWidth="1" style="628" min="13575" max="13575"/>
    <col width="10" customWidth="1" style="628" min="13576" max="13577"/>
    <col width="9.625" customWidth="1" style="628" min="13578" max="13578"/>
    <col width="8.5" customWidth="1" style="628" min="13579" max="13579"/>
    <col width="11.375" customWidth="1" style="628" min="13580" max="13580"/>
    <col width="2.375" customWidth="1" style="628" min="13581" max="13586"/>
    <col width="3" customWidth="1" style="628" min="13587" max="13590"/>
    <col width="2.75" customWidth="1" style="628" min="13591" max="13594"/>
    <col width="2.375" customWidth="1" style="628" min="13595" max="13600"/>
    <col width="2.125" customWidth="1" style="628" min="13601" max="13604"/>
    <col width="8.375" customWidth="1" style="628" min="13605" max="13824"/>
    <col width="1.375" customWidth="1" style="628" min="13825" max="13825"/>
    <col width="14.25" customWidth="1" style="628" min="13826" max="13826"/>
    <col width="6.625" customWidth="1" style="628" min="13827" max="13827"/>
    <col width="11.375" customWidth="1" style="628" min="13828" max="13828"/>
    <col width="9.625" customWidth="1" style="628" min="13829" max="13829"/>
    <col width="8" customWidth="1" style="628" min="13830" max="13830"/>
    <col width="11.375" customWidth="1" style="628" min="13831" max="13831"/>
    <col width="10" customWidth="1" style="628" min="13832" max="13833"/>
    <col width="9.625" customWidth="1" style="628" min="13834" max="13834"/>
    <col width="8.5" customWidth="1" style="628" min="13835" max="13835"/>
    <col width="11.375" customWidth="1" style="628" min="13836" max="13836"/>
    <col width="2.375" customWidth="1" style="628" min="13837" max="13842"/>
    <col width="3" customWidth="1" style="628" min="13843" max="13846"/>
    <col width="2.75" customWidth="1" style="628" min="13847" max="13850"/>
    <col width="2.375" customWidth="1" style="628" min="13851" max="13856"/>
    <col width="2.125" customWidth="1" style="628" min="13857" max="13860"/>
    <col width="8.375" customWidth="1" style="628" min="13861" max="14080"/>
    <col width="1.375" customWidth="1" style="628" min="14081" max="14081"/>
    <col width="14.25" customWidth="1" style="628" min="14082" max="14082"/>
    <col width="6.625" customWidth="1" style="628" min="14083" max="14083"/>
    <col width="11.375" customWidth="1" style="628" min="14084" max="14084"/>
    <col width="9.625" customWidth="1" style="628" min="14085" max="14085"/>
    <col width="8" customWidth="1" style="628" min="14086" max="14086"/>
    <col width="11.375" customWidth="1" style="628" min="14087" max="14087"/>
    <col width="10" customWidth="1" style="628" min="14088" max="14089"/>
    <col width="9.625" customWidth="1" style="628" min="14090" max="14090"/>
    <col width="8.5" customWidth="1" style="628" min="14091" max="14091"/>
    <col width="11.375" customWidth="1" style="628" min="14092" max="14092"/>
    <col width="2.375" customWidth="1" style="628" min="14093" max="14098"/>
    <col width="3" customWidth="1" style="628" min="14099" max="14102"/>
    <col width="2.75" customWidth="1" style="628" min="14103" max="14106"/>
    <col width="2.375" customWidth="1" style="628" min="14107" max="14112"/>
    <col width="2.125" customWidth="1" style="628" min="14113" max="14116"/>
    <col width="8.375" customWidth="1" style="628" min="14117" max="14336"/>
    <col width="1.375" customWidth="1" style="628" min="14337" max="14337"/>
    <col width="14.25" customWidth="1" style="628" min="14338" max="14338"/>
    <col width="6.625" customWidth="1" style="628" min="14339" max="14339"/>
    <col width="11.375" customWidth="1" style="628" min="14340" max="14340"/>
    <col width="9.625" customWidth="1" style="628" min="14341" max="14341"/>
    <col width="8" customWidth="1" style="628" min="14342" max="14342"/>
    <col width="11.375" customWidth="1" style="628" min="14343" max="14343"/>
    <col width="10" customWidth="1" style="628" min="14344" max="14345"/>
    <col width="9.625" customWidth="1" style="628" min="14346" max="14346"/>
    <col width="8.5" customWidth="1" style="628" min="14347" max="14347"/>
    <col width="11.375" customWidth="1" style="628" min="14348" max="14348"/>
    <col width="2.375" customWidth="1" style="628" min="14349" max="14354"/>
    <col width="3" customWidth="1" style="628" min="14355" max="14358"/>
    <col width="2.75" customWidth="1" style="628" min="14359" max="14362"/>
    <col width="2.375" customWidth="1" style="628" min="14363" max="14368"/>
    <col width="2.125" customWidth="1" style="628" min="14369" max="14372"/>
    <col width="8.375" customWidth="1" style="628" min="14373" max="14592"/>
    <col width="1.375" customWidth="1" style="628" min="14593" max="14593"/>
    <col width="14.25" customWidth="1" style="628" min="14594" max="14594"/>
    <col width="6.625" customWidth="1" style="628" min="14595" max="14595"/>
    <col width="11.375" customWidth="1" style="628" min="14596" max="14596"/>
    <col width="9.625" customWidth="1" style="628" min="14597" max="14597"/>
    <col width="8" customWidth="1" style="628" min="14598" max="14598"/>
    <col width="11.375" customWidth="1" style="628" min="14599" max="14599"/>
    <col width="10" customWidth="1" style="628" min="14600" max="14601"/>
    <col width="9.625" customWidth="1" style="628" min="14602" max="14602"/>
    <col width="8.5" customWidth="1" style="628" min="14603" max="14603"/>
    <col width="11.375" customWidth="1" style="628" min="14604" max="14604"/>
    <col width="2.375" customWidth="1" style="628" min="14605" max="14610"/>
    <col width="3" customWidth="1" style="628" min="14611" max="14614"/>
    <col width="2.75" customWidth="1" style="628" min="14615" max="14618"/>
    <col width="2.375" customWidth="1" style="628" min="14619" max="14624"/>
    <col width="2.125" customWidth="1" style="628" min="14625" max="14628"/>
    <col width="8.375" customWidth="1" style="628" min="14629" max="14848"/>
    <col width="1.375" customWidth="1" style="628" min="14849" max="14849"/>
    <col width="14.25" customWidth="1" style="628" min="14850" max="14850"/>
    <col width="6.625" customWidth="1" style="628" min="14851" max="14851"/>
    <col width="11.375" customWidth="1" style="628" min="14852" max="14852"/>
    <col width="9.625" customWidth="1" style="628" min="14853" max="14853"/>
    <col width="8" customWidth="1" style="628" min="14854" max="14854"/>
    <col width="11.375" customWidth="1" style="628" min="14855" max="14855"/>
    <col width="10" customWidth="1" style="628" min="14856" max="14857"/>
    <col width="9.625" customWidth="1" style="628" min="14858" max="14858"/>
    <col width="8.5" customWidth="1" style="628" min="14859" max="14859"/>
    <col width="11.375" customWidth="1" style="628" min="14860" max="14860"/>
    <col width="2.375" customWidth="1" style="628" min="14861" max="14866"/>
    <col width="3" customWidth="1" style="628" min="14867" max="14870"/>
    <col width="2.75" customWidth="1" style="628" min="14871" max="14874"/>
    <col width="2.375" customWidth="1" style="628" min="14875" max="14880"/>
    <col width="2.125" customWidth="1" style="628" min="14881" max="14884"/>
    <col width="8.375" customWidth="1" style="628" min="14885" max="15104"/>
    <col width="1.375" customWidth="1" style="628" min="15105" max="15105"/>
    <col width="14.25" customWidth="1" style="628" min="15106" max="15106"/>
    <col width="6.625" customWidth="1" style="628" min="15107" max="15107"/>
    <col width="11.375" customWidth="1" style="628" min="15108" max="15108"/>
    <col width="9.625" customWidth="1" style="628" min="15109" max="15109"/>
    <col width="8" customWidth="1" style="628" min="15110" max="15110"/>
    <col width="11.375" customWidth="1" style="628" min="15111" max="15111"/>
    <col width="10" customWidth="1" style="628" min="15112" max="15113"/>
    <col width="9.625" customWidth="1" style="628" min="15114" max="15114"/>
    <col width="8.5" customWidth="1" style="628" min="15115" max="15115"/>
    <col width="11.375" customWidth="1" style="628" min="15116" max="15116"/>
    <col width="2.375" customWidth="1" style="628" min="15117" max="15122"/>
    <col width="3" customWidth="1" style="628" min="15123" max="15126"/>
    <col width="2.75" customWidth="1" style="628" min="15127" max="15130"/>
    <col width="2.375" customWidth="1" style="628" min="15131" max="15136"/>
    <col width="2.125" customWidth="1" style="628" min="15137" max="15140"/>
    <col width="8.375" customWidth="1" style="628" min="15141" max="15360"/>
    <col width="1.375" customWidth="1" style="628" min="15361" max="15361"/>
    <col width="14.25" customWidth="1" style="628" min="15362" max="15362"/>
    <col width="6.625" customWidth="1" style="628" min="15363" max="15363"/>
    <col width="11.375" customWidth="1" style="628" min="15364" max="15364"/>
    <col width="9.625" customWidth="1" style="628" min="15365" max="15365"/>
    <col width="8" customWidth="1" style="628" min="15366" max="15366"/>
    <col width="11.375" customWidth="1" style="628" min="15367" max="15367"/>
    <col width="10" customWidth="1" style="628" min="15368" max="15369"/>
    <col width="9.625" customWidth="1" style="628" min="15370" max="15370"/>
    <col width="8.5" customWidth="1" style="628" min="15371" max="15371"/>
    <col width="11.375" customWidth="1" style="628" min="15372" max="15372"/>
    <col width="2.375" customWidth="1" style="628" min="15373" max="15378"/>
    <col width="3" customWidth="1" style="628" min="15379" max="15382"/>
    <col width="2.75" customWidth="1" style="628" min="15383" max="15386"/>
    <col width="2.375" customWidth="1" style="628" min="15387" max="15392"/>
    <col width="2.125" customWidth="1" style="628" min="15393" max="15396"/>
    <col width="8.375" customWidth="1" style="628" min="15397" max="15616"/>
    <col width="1.375" customWidth="1" style="628" min="15617" max="15617"/>
    <col width="14.25" customWidth="1" style="628" min="15618" max="15618"/>
    <col width="6.625" customWidth="1" style="628" min="15619" max="15619"/>
    <col width="11.375" customWidth="1" style="628" min="15620" max="15620"/>
    <col width="9.625" customWidth="1" style="628" min="15621" max="15621"/>
    <col width="8" customWidth="1" style="628" min="15622" max="15622"/>
    <col width="11.375" customWidth="1" style="628" min="15623" max="15623"/>
    <col width="10" customWidth="1" style="628" min="15624" max="15625"/>
    <col width="9.625" customWidth="1" style="628" min="15626" max="15626"/>
    <col width="8.5" customWidth="1" style="628" min="15627" max="15627"/>
    <col width="11.375" customWidth="1" style="628" min="15628" max="15628"/>
    <col width="2.375" customWidth="1" style="628" min="15629" max="15634"/>
    <col width="3" customWidth="1" style="628" min="15635" max="15638"/>
    <col width="2.75" customWidth="1" style="628" min="15639" max="15642"/>
    <col width="2.375" customWidth="1" style="628" min="15643" max="15648"/>
    <col width="2.125" customWidth="1" style="628" min="15649" max="15652"/>
    <col width="8.375" customWidth="1" style="628" min="15653" max="15872"/>
    <col width="1.375" customWidth="1" style="628" min="15873" max="15873"/>
    <col width="14.25" customWidth="1" style="628" min="15874" max="15874"/>
    <col width="6.625" customWidth="1" style="628" min="15875" max="15875"/>
    <col width="11.375" customWidth="1" style="628" min="15876" max="15876"/>
    <col width="9.625" customWidth="1" style="628" min="15877" max="15877"/>
    <col width="8" customWidth="1" style="628" min="15878" max="15878"/>
    <col width="11.375" customWidth="1" style="628" min="15879" max="15879"/>
    <col width="10" customWidth="1" style="628" min="15880" max="15881"/>
    <col width="9.625" customWidth="1" style="628" min="15882" max="15882"/>
    <col width="8.5" customWidth="1" style="628" min="15883" max="15883"/>
    <col width="11.375" customWidth="1" style="628" min="15884" max="15884"/>
    <col width="2.375" customWidth="1" style="628" min="15885" max="15890"/>
    <col width="3" customWidth="1" style="628" min="15891" max="15894"/>
    <col width="2.75" customWidth="1" style="628" min="15895" max="15898"/>
    <col width="2.375" customWidth="1" style="628" min="15899" max="15904"/>
    <col width="2.125" customWidth="1" style="628" min="15905" max="15908"/>
    <col width="8.375" customWidth="1" style="628" min="15909" max="16128"/>
    <col width="1.375" customWidth="1" style="628" min="16129" max="16129"/>
    <col width="14.25" customWidth="1" style="628" min="16130" max="16130"/>
    <col width="6.625" customWidth="1" style="628" min="16131" max="16131"/>
    <col width="11.375" customWidth="1" style="628" min="16132" max="16132"/>
    <col width="9.625" customWidth="1" style="628" min="16133" max="16133"/>
    <col width="8" customWidth="1" style="628" min="16134" max="16134"/>
    <col width="11.375" customWidth="1" style="628" min="16135" max="16135"/>
    <col width="10" customWidth="1" style="628" min="16136" max="16137"/>
    <col width="9.625" customWidth="1" style="628" min="16138" max="16138"/>
    <col width="8.5" customWidth="1" style="628" min="16139" max="16139"/>
    <col width="11.375" customWidth="1" style="628" min="16140" max="16140"/>
    <col width="2.375" customWidth="1" style="628" min="16141" max="16146"/>
    <col width="3" customWidth="1" style="628" min="16147" max="16150"/>
    <col width="2.75" customWidth="1" style="628" min="16151" max="16154"/>
    <col width="2.375" customWidth="1" style="628" min="16155" max="16160"/>
    <col width="2.125" customWidth="1" style="628" min="16161" max="16164"/>
    <col width="8.375" customWidth="1" style="628" min="16165" max="16384"/>
  </cols>
  <sheetData>
    <row r="2" ht="12.75" customHeight="1" s="361">
      <c r="B2" s="38" t="n"/>
      <c r="C2" s="627" t="inlineStr">
        <is>
          <t xml:space="preserve">PETROL OFİSİ A.Ş. 
 POGUM 010 – DENİZ ULAŞTIRMA MÜDÜRLÜĞÜ
</t>
        </is>
      </c>
      <c r="D2" s="422" t="n"/>
      <c r="E2" s="422" t="n"/>
      <c r="F2" s="422" t="n"/>
      <c r="G2" s="422" t="n"/>
      <c r="H2" s="422" t="n"/>
      <c r="I2" s="423" t="n"/>
      <c r="J2" s="39" t="n"/>
      <c r="K2" s="40" t="n"/>
      <c r="L2" s="41" t="n"/>
    </row>
    <row r="3" ht="12.75" customHeight="1" s="361">
      <c r="B3" s="43" t="n"/>
      <c r="C3" s="384" t="n"/>
      <c r="I3" s="373" t="n"/>
      <c r="J3" s="630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373" t="n"/>
    </row>
    <row r="4" ht="12.75" customHeight="1" s="361">
      <c r="B4" s="43" t="n"/>
      <c r="C4" s="384" t="n"/>
      <c r="I4" s="373" t="n"/>
      <c r="J4" s="384" t="n"/>
      <c r="L4" s="373" t="n"/>
    </row>
    <row r="5" ht="12.75" customHeight="1" s="361">
      <c r="B5" s="43" t="n"/>
      <c r="C5" s="384" t="n"/>
      <c r="I5" s="373" t="n"/>
      <c r="J5" s="384" t="n"/>
      <c r="L5" s="373" t="n"/>
    </row>
    <row r="6" ht="12.75" customHeight="1" s="361">
      <c r="B6" s="44" t="n"/>
      <c r="C6" s="439" t="n"/>
      <c r="D6" s="398" t="n"/>
      <c r="E6" s="398" t="n"/>
      <c r="F6" s="398" t="n"/>
      <c r="G6" s="398" t="n"/>
      <c r="H6" s="398" t="n"/>
      <c r="I6" s="370" t="n"/>
      <c r="J6" s="439" t="n"/>
      <c r="K6" s="398" t="n"/>
      <c r="L6" s="370" t="n"/>
    </row>
    <row r="7" ht="12.75" customHeight="1" s="361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361">
      <c r="B8" s="623" t="inlineStr">
        <is>
          <t xml:space="preserve">Vessel / Gemi: </t>
        </is>
      </c>
      <c r="C8" s="471" t="n"/>
      <c r="D8" s="472" t="n"/>
      <c r="E8" s="623" t="inlineStr">
        <is>
          <t xml:space="preserve">Port / Terminal : </t>
        </is>
      </c>
      <c r="F8" s="471" t="n"/>
      <c r="G8" s="472" t="n"/>
      <c r="H8" s="615" t="inlineStr">
        <is>
          <t>Date / Tarih :</t>
        </is>
      </c>
      <c r="I8" s="617" t="n"/>
      <c r="J8" s="615" t="inlineStr">
        <is>
          <t>Voy No / Sefer No :</t>
        </is>
      </c>
      <c r="K8" s="616" t="n"/>
      <c r="L8" s="617" t="n"/>
    </row>
    <row r="9" ht="13.15" customHeight="1" s="361">
      <c r="B9" s="623" t="inlineStr">
        <is>
          <t>M/T KUZEY EKİM</t>
        </is>
      </c>
      <c r="C9" s="471" t="n"/>
      <c r="D9" s="472" t="n"/>
      <c r="E9" s="623">
        <f>MASTER!E21 &amp; " / " &amp; MASTER!E22</f>
        <v/>
      </c>
      <c r="F9" s="471" t="n"/>
      <c r="G9" s="472" t="n"/>
      <c r="H9" s="631">
        <f>TODAY()</f>
        <v/>
      </c>
      <c r="I9" s="472" t="n"/>
      <c r="J9" s="624">
        <f>MASTER!#REF!&amp;"/21"</f>
        <v/>
      </c>
      <c r="K9" s="471" t="n"/>
      <c r="L9" s="472" t="n"/>
    </row>
    <row r="10" ht="12.75" customHeight="1" s="361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361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26">
        <f>MASTER!$Y3</f>
        <v/>
      </c>
      <c r="F11" s="472" t="n"/>
      <c r="G11" s="50" t="inlineStr">
        <is>
          <t>Start :</t>
        </is>
      </c>
      <c r="H11" s="622" t="n"/>
      <c r="I11" s="472" t="n"/>
      <c r="J11" s="50" t="inlineStr">
        <is>
          <t>Stop :</t>
        </is>
      </c>
      <c r="K11" s="622" t="n"/>
      <c r="L11" s="472" t="n"/>
    </row>
    <row r="12" ht="19.9" customHeight="1" s="361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26">
        <f>MASTER!$Y4</f>
        <v/>
      </c>
      <c r="F12" s="472" t="n"/>
      <c r="G12" s="50" t="inlineStr">
        <is>
          <t>Start :</t>
        </is>
      </c>
      <c r="H12" s="621" t="n"/>
      <c r="I12" s="472" t="n"/>
      <c r="J12" s="50" t="inlineStr">
        <is>
          <t>Stop :</t>
        </is>
      </c>
      <c r="K12" s="621" t="n"/>
      <c r="L12" s="472" t="n"/>
    </row>
    <row r="13" ht="19.9" customHeight="1" s="361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26">
        <f>MASTER!$Y5</f>
        <v/>
      </c>
      <c r="F13" s="472" t="n"/>
      <c r="G13" s="50" t="inlineStr">
        <is>
          <t>Start :</t>
        </is>
      </c>
      <c r="H13" s="621" t="n"/>
      <c r="I13" s="472" t="n"/>
      <c r="J13" s="50" t="inlineStr">
        <is>
          <t>Stop :</t>
        </is>
      </c>
      <c r="K13" s="621" t="n"/>
      <c r="L13" s="472" t="n"/>
    </row>
    <row r="14" ht="19.9" customHeight="1" s="361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26">
        <f>MASTER!$Y6</f>
        <v/>
      </c>
      <c r="F14" s="472" t="n"/>
      <c r="G14" s="50" t="inlineStr">
        <is>
          <t>Start :</t>
        </is>
      </c>
      <c r="H14" s="622" t="n"/>
      <c r="I14" s="472" t="n"/>
      <c r="J14" s="50" t="inlineStr">
        <is>
          <t>Stop :</t>
        </is>
      </c>
      <c r="K14" s="622" t="n"/>
      <c r="L14" s="472" t="n"/>
    </row>
    <row r="15" ht="19.9" customHeight="1" s="361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26">
        <f>MASTER!$Y7</f>
        <v/>
      </c>
      <c r="F15" s="472" t="n"/>
      <c r="G15" s="50" t="inlineStr">
        <is>
          <t>Start :</t>
        </is>
      </c>
      <c r="H15" s="622" t="n"/>
      <c r="I15" s="472" t="n"/>
      <c r="J15" s="50" t="inlineStr">
        <is>
          <t>Stop :</t>
        </is>
      </c>
      <c r="K15" s="622" t="n"/>
      <c r="L15" s="472" t="n"/>
    </row>
    <row r="17" ht="12.75" customHeight="1" s="361">
      <c r="B17" s="620" t="inlineStr">
        <is>
          <t>TARİH</t>
        </is>
      </c>
      <c r="C17" s="620" t="inlineStr">
        <is>
          <t>SAAT</t>
        </is>
      </c>
      <c r="D17" s="620" t="inlineStr">
        <is>
          <t>ÜRÜN</t>
        </is>
      </c>
      <c r="E17" s="620" t="inlineStr">
        <is>
          <t>BASINÇ</t>
        </is>
      </c>
      <c r="F17" s="375" t="n"/>
      <c r="G17" s="620" t="inlineStr">
        <is>
          <t xml:space="preserve"> TAHLİYE EDİLEN MİKTAR</t>
        </is>
      </c>
      <c r="H17" s="603" t="n"/>
      <c r="I17" s="375" t="n"/>
      <c r="J17" s="620" t="inlineStr">
        <is>
          <t>DEBİ</t>
        </is>
      </c>
      <c r="K17" s="603" t="n"/>
      <c r="L17" s="375" t="n"/>
    </row>
    <row r="18" ht="12.75" customHeight="1" s="361">
      <c r="B18" s="625" t="inlineStr">
        <is>
          <t>DATE</t>
        </is>
      </c>
      <c r="C18" s="625" t="inlineStr">
        <is>
          <t>TIME</t>
        </is>
      </c>
      <c r="D18" s="625" t="inlineStr">
        <is>
          <t>CARGO</t>
        </is>
      </c>
      <c r="E18" s="625" t="n"/>
      <c r="F18" s="375" t="n"/>
      <c r="G18" s="625" t="n"/>
      <c r="H18" s="603" t="n"/>
      <c r="I18" s="375" t="n"/>
      <c r="J18" s="625" t="n"/>
      <c r="K18" s="603" t="n"/>
      <c r="L18" s="375" t="n"/>
    </row>
    <row r="19" ht="21.4" customHeight="1" s="361">
      <c r="B19" s="625" t="inlineStr">
        <is>
          <t>dd/mm/yyyy</t>
        </is>
      </c>
      <c r="C19" s="625" t="inlineStr">
        <is>
          <t>hh/mm</t>
        </is>
      </c>
      <c r="D19" s="53" t="n"/>
      <c r="E19" s="625" t="inlineStr">
        <is>
          <t>SHORE / SAHİL</t>
        </is>
      </c>
      <c r="F19" s="625" t="inlineStr">
        <is>
          <t>SHIP / GEMİ</t>
        </is>
      </c>
      <c r="G19" s="625" t="inlineStr">
        <is>
          <t>SHORE / SAHİL</t>
        </is>
      </c>
      <c r="H19" s="625" t="inlineStr">
        <is>
          <t>SHIP / GEMİ</t>
        </is>
      </c>
      <c r="I19" s="625" t="inlineStr">
        <is>
          <t>DIFFERENCE / FARK</t>
        </is>
      </c>
      <c r="J19" s="625" t="inlineStr">
        <is>
          <t>SHORE / SAHİL</t>
        </is>
      </c>
      <c r="K19" s="625" t="inlineStr">
        <is>
          <t>SHIP / GEMİ</t>
        </is>
      </c>
      <c r="L19" s="625" t="inlineStr">
        <is>
          <t>DIFFERENCE / FARK</t>
        </is>
      </c>
      <c r="N19" s="628" t="inlineStr">
        <is>
          <t>GEMİ MİKTARI (SHIP TOTAL FIGURE) CBM</t>
        </is>
      </c>
    </row>
    <row r="20" ht="12.75" customHeight="1" s="361">
      <c r="B20" s="104">
        <f>TODAY()</f>
        <v/>
      </c>
      <c r="C20" s="55" t="n"/>
      <c r="D20" s="623" t="n"/>
      <c r="E20" s="623" t="n"/>
      <c r="F20" s="623" t="n"/>
      <c r="G20" s="623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361">
      <c r="B21" s="54" t="n"/>
      <c r="C21" s="55" t="n"/>
      <c r="D21" s="623" t="n"/>
      <c r="E21" s="623" t="n"/>
      <c r="F21" s="623" t="n"/>
      <c r="G21" s="623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361">
      <c r="B22" s="54" t="n"/>
      <c r="C22" s="55" t="n"/>
      <c r="D22" s="623" t="n"/>
      <c r="E22" s="623" t="n"/>
      <c r="F22" s="623" t="n"/>
      <c r="G22" s="623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361">
      <c r="B23" s="54" t="n"/>
      <c r="C23" s="55" t="n"/>
      <c r="D23" s="623" t="n"/>
      <c r="E23" s="623" t="n"/>
      <c r="F23" s="623" t="n"/>
      <c r="G23" s="623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361">
      <c r="B24" s="54" t="n"/>
      <c r="C24" s="55" t="n"/>
      <c r="D24" s="623" t="n"/>
      <c r="E24" s="623" t="n"/>
      <c r="F24" s="623" t="n"/>
      <c r="G24" s="623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361">
      <c r="B25" s="54" t="n"/>
      <c r="C25" s="55" t="n"/>
      <c r="D25" s="623" t="n"/>
      <c r="E25" s="623" t="n"/>
      <c r="F25" s="623" t="n"/>
      <c r="G25" s="623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361">
      <c r="B26" s="54" t="n"/>
      <c r="C26" s="55" t="n"/>
      <c r="D26" s="623" t="n"/>
      <c r="E26" s="623" t="n"/>
      <c r="F26" s="623" t="n"/>
      <c r="G26" s="623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361">
      <c r="B27" s="54" t="n"/>
      <c r="C27" s="55" t="n"/>
      <c r="D27" s="623" t="n"/>
      <c r="E27" s="623" t="n"/>
      <c r="F27" s="623" t="n"/>
      <c r="G27" s="623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361">
      <c r="B28" s="54" t="n"/>
      <c r="C28" s="55" t="n"/>
      <c r="D28" s="623" t="n"/>
      <c r="E28" s="623" t="n"/>
      <c r="F28" s="623" t="n"/>
      <c r="G28" s="623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361">
      <c r="B29" s="54" t="n"/>
      <c r="C29" s="55" t="n"/>
      <c r="D29" s="623" t="n"/>
      <c r="E29" s="623" t="n"/>
      <c r="F29" s="623" t="n"/>
      <c r="G29" s="623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361">
      <c r="B30" s="54" t="n"/>
      <c r="C30" s="55" t="n"/>
      <c r="D30" s="623" t="n"/>
      <c r="E30" s="623" t="n"/>
      <c r="F30" s="623" t="n"/>
      <c r="G30" s="623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361">
      <c r="B31" s="54" t="n"/>
      <c r="C31" s="55" t="n"/>
      <c r="D31" s="623" t="n"/>
      <c r="E31" s="623" t="n"/>
      <c r="F31" s="623" t="n"/>
      <c r="G31" s="623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361">
      <c r="B32" s="54" t="n"/>
      <c r="C32" s="55" t="n"/>
      <c r="D32" s="623" t="n"/>
      <c r="E32" s="623" t="n"/>
      <c r="F32" s="623" t="n"/>
      <c r="G32" s="623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361">
      <c r="B33" s="54" t="n"/>
      <c r="C33" s="55" t="n"/>
      <c r="D33" s="623" t="n"/>
      <c r="E33" s="623" t="n"/>
      <c r="F33" s="623" t="n"/>
      <c r="G33" s="623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361">
      <c r="B34" s="54" t="n"/>
      <c r="C34" s="55" t="n"/>
      <c r="D34" s="623" t="n"/>
      <c r="E34" s="623" t="n"/>
      <c r="F34" s="623" t="n"/>
      <c r="G34" s="623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361">
      <c r="B35" s="54" t="n"/>
      <c r="C35" s="55" t="n"/>
      <c r="D35" s="623" t="n"/>
      <c r="E35" s="623" t="n"/>
      <c r="F35" s="623" t="n"/>
      <c r="G35" s="623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361">
      <c r="B36" s="54" t="n"/>
      <c r="C36" s="55" t="n"/>
      <c r="D36" s="623" t="n"/>
      <c r="E36" s="623" t="n"/>
      <c r="F36" s="623" t="n"/>
      <c r="G36" s="623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361">
      <c r="B37" s="54" t="n"/>
      <c r="C37" s="55" t="n"/>
      <c r="D37" s="623" t="n"/>
      <c r="E37" s="623" t="n"/>
      <c r="F37" s="623" t="n"/>
      <c r="G37" s="623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361">
      <c r="B38" s="54" t="n"/>
      <c r="C38" s="55" t="n"/>
      <c r="D38" s="623" t="n"/>
      <c r="E38" s="623" t="n"/>
      <c r="F38" s="623" t="n"/>
      <c r="G38" s="623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361">
      <c r="B39" s="54" t="n"/>
      <c r="C39" s="55" t="n"/>
      <c r="D39" s="623" t="n"/>
      <c r="E39" s="623" t="n"/>
      <c r="F39" s="623" t="n"/>
      <c r="G39" s="623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361">
      <c r="B40" s="54" t="n"/>
      <c r="C40" s="55" t="n"/>
      <c r="D40" s="623" t="n"/>
      <c r="E40" s="623" t="n"/>
      <c r="F40" s="623" t="n"/>
      <c r="G40" s="623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361">
      <c r="B41" s="54" t="n"/>
      <c r="C41" s="55" t="n"/>
      <c r="D41" s="623" t="n"/>
      <c r="E41" s="623" t="n"/>
      <c r="F41" s="623" t="n"/>
      <c r="G41" s="623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361">
      <c r="B42" s="54" t="n"/>
      <c r="C42" s="55" t="n"/>
      <c r="D42" s="623" t="n"/>
      <c r="E42" s="623" t="n"/>
      <c r="F42" s="623" t="n"/>
      <c r="G42" s="623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361">
      <c r="B43" s="54" t="n"/>
      <c r="C43" s="55" t="n"/>
      <c r="D43" s="623" t="n"/>
      <c r="E43" s="623" t="n"/>
      <c r="F43" s="623" t="n"/>
      <c r="G43" s="623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361">
      <c r="B44" s="54" t="n"/>
      <c r="C44" s="55" t="n"/>
      <c r="D44" s="623" t="n"/>
      <c r="E44" s="623" t="n"/>
      <c r="F44" s="623" t="n"/>
      <c r="G44" s="623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361">
      <c r="B45" s="54" t="n"/>
      <c r="C45" s="55" t="n"/>
      <c r="D45" s="623" t="n"/>
      <c r="E45" s="623" t="n"/>
      <c r="F45" s="623" t="n"/>
      <c r="G45" s="623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361">
      <c r="B46" s="54" t="n"/>
      <c r="C46" s="55" t="n"/>
      <c r="D46" s="623" t="n"/>
      <c r="E46" s="623" t="n"/>
      <c r="F46" s="623" t="n"/>
      <c r="G46" s="623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361">
      <c r="B47" s="54" t="n"/>
      <c r="C47" s="55" t="n"/>
      <c r="D47" s="623" t="n"/>
      <c r="E47" s="623" t="n"/>
      <c r="F47" s="623" t="n"/>
      <c r="G47" s="623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361">
      <c r="B48" s="54" t="n"/>
      <c r="C48" s="55" t="n"/>
      <c r="D48" s="623" t="n"/>
      <c r="E48" s="623" t="n"/>
      <c r="F48" s="623" t="n"/>
      <c r="G48" s="623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361">
      <c r="B49" s="54" t="n"/>
      <c r="C49" s="55" t="n"/>
      <c r="D49" s="623" t="n"/>
      <c r="E49" s="623" t="n"/>
      <c r="F49" s="623" t="n"/>
      <c r="G49" s="623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361">
      <c r="B50" s="54" t="n"/>
      <c r="C50" s="55" t="n"/>
      <c r="D50" s="623" t="n"/>
      <c r="E50" s="623" t="n"/>
      <c r="F50" s="623" t="n"/>
      <c r="G50" s="623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361">
      <c r="B51" s="54" t="n"/>
      <c r="C51" s="55" t="n"/>
      <c r="D51" s="623" t="n"/>
      <c r="E51" s="623" t="n"/>
      <c r="F51" s="623" t="n"/>
      <c r="G51" s="623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361">
      <c r="B52" s="54" t="n"/>
      <c r="C52" s="55" t="n"/>
      <c r="D52" s="623" t="n"/>
      <c r="E52" s="623" t="n"/>
      <c r="F52" s="623" t="n"/>
      <c r="G52" s="623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361">
      <c r="B53" s="54" t="n"/>
      <c r="C53" s="55" t="n"/>
      <c r="D53" s="623" t="n"/>
      <c r="E53" s="623" t="n"/>
      <c r="F53" s="623" t="n"/>
      <c r="G53" s="623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361">
      <c r="B54" s="54" t="n"/>
      <c r="C54" s="55" t="n"/>
      <c r="D54" s="623" t="n"/>
      <c r="E54" s="623" t="n"/>
      <c r="F54" s="623" t="n"/>
      <c r="G54" s="623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361">
      <c r="B55" s="54" t="n"/>
      <c r="C55" s="55" t="n"/>
      <c r="D55" s="623" t="n"/>
      <c r="E55" s="623" t="n"/>
      <c r="F55" s="623" t="n"/>
      <c r="G55" s="623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361">
      <c r="B56" s="54" t="n"/>
      <c r="C56" s="55" t="n"/>
      <c r="D56" s="623" t="n"/>
      <c r="E56" s="623" t="n"/>
      <c r="F56" s="623" t="n"/>
      <c r="G56" s="623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361">
      <c r="B57" s="54" t="n"/>
      <c r="C57" s="55" t="n"/>
      <c r="D57" s="623" t="n"/>
      <c r="E57" s="623" t="n"/>
      <c r="F57" s="623" t="n"/>
      <c r="G57" s="623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361">
      <c r="B58" s="54" t="n"/>
      <c r="C58" s="55" t="n"/>
      <c r="D58" s="623" t="n"/>
      <c r="E58" s="623" t="n"/>
      <c r="F58" s="623" t="n"/>
      <c r="G58" s="623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361">
      <c r="B59" s="54" t="n"/>
      <c r="C59" s="55" t="n"/>
      <c r="D59" s="623" t="n"/>
      <c r="E59" s="623" t="n"/>
      <c r="F59" s="623" t="n"/>
      <c r="G59" s="623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361">
      <c r="B60" s="54" t="n"/>
      <c r="C60" s="55" t="n"/>
      <c r="D60" s="623" t="n"/>
      <c r="E60" s="623" t="n"/>
      <c r="F60" s="623" t="n"/>
      <c r="G60" s="623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361">
      <c r="B61" s="54" t="n"/>
      <c r="C61" s="55" t="n"/>
      <c r="D61" s="623" t="n"/>
      <c r="E61" s="623" t="n"/>
      <c r="F61" s="623" t="n"/>
      <c r="G61" s="623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361">
      <c r="B62" s="54" t="n"/>
      <c r="C62" s="55" t="n"/>
      <c r="D62" s="623" t="n"/>
      <c r="E62" s="623" t="n"/>
      <c r="F62" s="623" t="n"/>
      <c r="G62" s="623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361">
      <c r="B63" s="54" t="n"/>
      <c r="C63" s="55" t="n"/>
      <c r="D63" s="623" t="n"/>
      <c r="E63" s="623" t="n"/>
      <c r="F63" s="623" t="n"/>
      <c r="G63" s="623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361">
      <c r="B64" s="54" t="n"/>
      <c r="C64" s="55" t="n"/>
      <c r="D64" s="623" t="n"/>
      <c r="E64" s="623" t="n"/>
      <c r="F64" s="623" t="n"/>
      <c r="G64" s="623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361">
      <c r="B65" s="54" t="n"/>
      <c r="C65" s="55" t="n"/>
      <c r="D65" s="623" t="n"/>
      <c r="E65" s="623" t="n"/>
      <c r="F65" s="623" t="n"/>
      <c r="G65" s="623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361">
      <c r="B66" s="54" t="n"/>
      <c r="C66" s="55" t="n"/>
      <c r="D66" s="623" t="n"/>
      <c r="E66" s="623" t="n"/>
      <c r="F66" s="623" t="n"/>
      <c r="G66" s="623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361">
      <c r="B67" s="54" t="n"/>
      <c r="C67" s="55" t="n"/>
      <c r="D67" s="623" t="n"/>
      <c r="E67" s="623" t="n"/>
      <c r="F67" s="623" t="n"/>
      <c r="G67" s="623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361">
      <c r="B68" s="54" t="n"/>
      <c r="C68" s="55" t="n"/>
      <c r="D68" s="623" t="n"/>
      <c r="E68" s="623" t="n"/>
      <c r="F68" s="623" t="n"/>
      <c r="G68" s="623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361">
      <c r="B69" s="54" t="n"/>
      <c r="C69" s="55" t="n"/>
      <c r="D69" s="623" t="n"/>
      <c r="E69" s="623" t="n"/>
      <c r="F69" s="623" t="n"/>
      <c r="G69" s="623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361">
      <c r="B70" s="54" t="n"/>
      <c r="C70" s="55" t="n"/>
      <c r="D70" s="623" t="n"/>
      <c r="E70" s="623" t="n"/>
      <c r="F70" s="623" t="n"/>
      <c r="G70" s="623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361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361">
      <c r="B72" s="623" t="inlineStr">
        <is>
          <t>Chief Officer
1. Zabit</t>
        </is>
      </c>
      <c r="C72" s="618" t="inlineStr">
        <is>
          <t>     </t>
        </is>
      </c>
      <c r="D72" s="616" t="n"/>
      <c r="E72" s="616" t="n"/>
      <c r="F72" s="617" t="n"/>
      <c r="G72" s="61" t="n"/>
      <c r="H72" s="623" t="inlineStr">
        <is>
          <t>Cargo Surveyor/Shore Rep Sörveyör  -  Sahil Temsilcisi</t>
        </is>
      </c>
      <c r="I72" s="617" t="n"/>
      <c r="J72" s="632" t="n"/>
      <c r="K72" s="616" t="n"/>
      <c r="L72" s="617" t="n"/>
    </row>
    <row r="73" ht="12.75" customHeight="1" s="361">
      <c r="B73" s="629" t="n"/>
      <c r="C73" s="619" t="n"/>
      <c r="D73" s="464" t="n"/>
      <c r="E73" s="464" t="n"/>
      <c r="F73" s="465" t="n"/>
      <c r="G73" s="61" t="n"/>
      <c r="H73" s="619" t="n"/>
      <c r="I73" s="465" t="n"/>
      <c r="J73" s="619" t="n"/>
      <c r="K73" s="464" t="n"/>
      <c r="L73" s="465" t="n"/>
    </row>
    <row r="74" ht="12.75" customHeight="1" s="361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2026-01-01T20:36:22Z</dcterms:modified>
  <cp:lastModifiedBy>AKIN ARIDICI</cp:lastModifiedBy>
  <cp:revision>20</cp:revision>
  <cp:lastPrinted>2025-12-11T13:00:48Z</cp:lastPrinted>
</cp:coreProperties>
</file>